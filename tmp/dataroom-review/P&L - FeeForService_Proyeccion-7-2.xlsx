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" sheetId="1" r:id="rId5"/>
    <sheet state="visible" name="Formulas" sheetId="2" r:id="rId6"/>
    <sheet state="visible" name="Resumen" sheetId="3" r:id="rId7"/>
    <sheet state="visible" name="Por Categoría" sheetId="4" r:id="rId8"/>
    <sheet state="visible" name="1_SEGUROS MONTERREY 🇲🇽" sheetId="5" r:id="rId9"/>
    <sheet state="visible" name="2_SEGUROS MONTERREY 🇲🇽 - Hog" sheetId="6" r:id="rId10"/>
    <sheet state="visible" name="3_CHUBB" sheetId="7" r:id="rId11"/>
    <sheet state="visible" name="4_CHUBB - Hogar Singapur" sheetId="8" r:id="rId12"/>
    <sheet state="visible" name="5_CHUBB · Hogar Perú" sheetId="9" r:id="rId13"/>
    <sheet state="visible" name="6_CHUBB · Salud Chile" sheetId="10" r:id="rId14"/>
    <sheet state="visible" name="7_CHUBB - Salud Singapur" sheetId="11" r:id="rId15"/>
    <sheet state="visible" name="8_Kanguro Insurance" sheetId="12" r:id="rId16"/>
    <sheet state="visible" name="9_Kanguro Insurance - Hogar" sheetId="13" r:id="rId17"/>
    <sheet state="visible" name="10_METLIFE" sheetId="14" r:id="rId18"/>
    <sheet state="visible" name="11_METLIFE  - Salud" sheetId="15" r:id="rId19"/>
    <sheet state="visible" name="12_Seguros Mundial 🇨🇴" sheetId="16" r:id="rId20"/>
    <sheet state="visible" name="13_Seguros Mundial 🇨🇴 - Hogar" sheetId="17" r:id="rId21"/>
    <sheet state="visible" name="14_BNP Paribas Cardif" sheetId="18" r:id="rId22"/>
    <sheet state="visible" name="15_BNP Paribas Cardif - Hogar P" sheetId="19" r:id="rId23"/>
    <sheet state="visible" name="16_BNP Paribas Cardif - Vet Col" sheetId="20" r:id="rId24"/>
    <sheet state="visible" name="17_BNP Paribas Cardif - Salud M" sheetId="21" r:id="rId25"/>
    <sheet state="visible" name="18_BNP Paribas Cardif - Salud B" sheetId="22" r:id="rId26"/>
    <sheet state="visible" name="19_Lemonade" sheetId="23" r:id="rId27"/>
    <sheet state="visible" name="20_Lemonade - Hogar" sheetId="24" r:id="rId28"/>
    <sheet state="visible" name="21_Consorcio" sheetId="25" r:id="rId29"/>
    <sheet state="visible" name="22_Consorcio - Hogar" sheetId="26" r:id="rId30"/>
    <sheet state="visible" name="23_Chilena Consolidada (Zurich)" sheetId="27" r:id="rId31"/>
    <sheet state="visible" name="24_Chilena Consolidada (Zurich)" sheetId="28" r:id="rId32"/>
    <sheet state="visible" name="25_Allstate" sheetId="29" r:id="rId33"/>
    <sheet state="visible" name="26_Allstate - Vehicular" sheetId="30" r:id="rId34"/>
    <sheet state="visible" name="27_SURA Chile" sheetId="31" r:id="rId35"/>
    <sheet state="visible" name="28_SURA Chile - Hogar" sheetId="32" r:id="rId36"/>
    <sheet state="visible" name="29_SURA Colombia" sheetId="33" r:id="rId37"/>
    <sheet state="visible" name="30_SURA Colombia - Hogar" sheetId="34" r:id="rId38"/>
    <sheet state="visible" name="31_Liberty Mutual" sheetId="35" r:id="rId39"/>
    <sheet state="visible" name="32_Liberty Mutual - Hogar" sheetId="36" r:id="rId4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1">
      <text>
        <t xml:space="preserve">Diferecia en cambio</t>
      </text>
    </comment>
  </commentList>
</comments>
</file>

<file path=xl/sharedStrings.xml><?xml version="1.0" encoding="utf-8"?>
<sst xmlns="http://schemas.openxmlformats.org/spreadsheetml/2006/main" count="3304" uniqueCount="335">
  <si>
    <t>Resumen general - Fee for Service</t>
  </si>
  <si>
    <t>Categoría</t>
  </si>
  <si>
    <t>Casos</t>
  </si>
  <si>
    <t>Call Center 20%</t>
  </si>
  <si>
    <t>Revenue Total ($)</t>
  </si>
  <si>
    <t>Revenue Weso ($)</t>
  </si>
  <si>
    <t>Salud y cuidado</t>
  </si>
  <si>
    <t>Hogar y Propiedades</t>
  </si>
  <si>
    <t>Veterinario</t>
  </si>
  <si>
    <t>Actor</t>
  </si>
  <si>
    <t>Asistencia en Ruta - Livianos</t>
  </si>
  <si>
    <t>País</t>
  </si>
  <si>
    <t>Servicio</t>
  </si>
  <si>
    <t>TOTAL SERVICES</t>
  </si>
  <si>
    <t>Costos Proveedor ($)</t>
  </si>
  <si>
    <t>Ticket Prom. ($)</t>
  </si>
  <si>
    <t>Fee Prom. %</t>
  </si>
  <si>
    <t>Churn Acum.</t>
  </si>
  <si>
    <t xml:space="preserve">SEGUROS MONTERREY 🇲🇽 </t>
  </si>
  <si>
    <t>México</t>
  </si>
  <si>
    <t>Asistencia Médica Telefónica</t>
  </si>
  <si>
    <t>SEGUROS MONTERREY 🇲🇽 - Hogar</t>
  </si>
  <si>
    <t>CHUBB</t>
  </si>
  <si>
    <t>Estados Unidos</t>
  </si>
  <si>
    <t>CHUBB - Hogar Singapur</t>
  </si>
  <si>
    <t>Singapur</t>
  </si>
  <si>
    <t>CHUBB · Hogar Perú</t>
  </si>
  <si>
    <t>Perú</t>
  </si>
  <si>
    <t>CHUBB · Salud Chile</t>
  </si>
  <si>
    <t>Chile</t>
  </si>
  <si>
    <t>CHUBB - Salud Singapur</t>
  </si>
  <si>
    <t>Kanguro Insurance</t>
  </si>
  <si>
    <t>Kanguro Insurance - Hogar</t>
  </si>
  <si>
    <t xml:space="preserve">METLIFE </t>
  </si>
  <si>
    <t>METLIFE  - Salud</t>
  </si>
  <si>
    <t>Colombia</t>
  </si>
  <si>
    <t>Unitary Cost</t>
  </si>
  <si>
    <t>Seguros Mundial 🇨🇴</t>
  </si>
  <si>
    <t>Seguros Mundial 🇨🇴 - Hogar</t>
  </si>
  <si>
    <t>% Ai free HR Assist</t>
  </si>
  <si>
    <t>BNP Paribas Cardif</t>
  </si>
  <si>
    <t>Profit and Loss - Current Month</t>
  </si>
  <si>
    <t>BNP Paribas Cardif - Hogar Perú</t>
  </si>
  <si>
    <t>BNP Paribas Cardif - Vet Colombia</t>
  </si>
  <si>
    <t>BNP Paribas Cardif - Salud México</t>
  </si>
  <si>
    <t>BNP Paribas Cardif - Salud Brasil</t>
  </si>
  <si>
    <t>Brasil</t>
  </si>
  <si>
    <t>Lemonade</t>
  </si>
  <si>
    <t>Lemonade - Hogar</t>
  </si>
  <si>
    <t>Consorcio</t>
  </si>
  <si>
    <t>Consorcio - Hogar</t>
  </si>
  <si>
    <t>Chilena Consolidada (Zurich)</t>
  </si>
  <si>
    <t>Chilena Consolidada (Zurich) - Hogar</t>
  </si>
  <si>
    <t>Allstate</t>
  </si>
  <si>
    <t>20% Services</t>
  </si>
  <si>
    <t>Allstate - Vehicular</t>
  </si>
  <si>
    <t>SURA Chile</t>
  </si>
  <si>
    <t>Reporting Book:</t>
  </si>
  <si>
    <t>Categoría: Salud y cuidado · Servicio: Asistencia Médica Telefónica · País: México</t>
  </si>
  <si>
    <t>SS</t>
  </si>
  <si>
    <t>SURA Chile - Hogar</t>
  </si>
  <si>
    <t>Crecimiento: 0.9% · Churn: 0.6%</t>
  </si>
  <si>
    <t>SURA Colombia</t>
  </si>
  <si>
    <t>Métrica</t>
  </si>
  <si>
    <t>M1</t>
  </si>
  <si>
    <t>M2</t>
  </si>
  <si>
    <t>M3</t>
  </si>
  <si>
    <t>M4</t>
  </si>
  <si>
    <t>M5</t>
  </si>
  <si>
    <t>SURA Colombia - Hogar</t>
  </si>
  <si>
    <t>M6</t>
  </si>
  <si>
    <t>M7</t>
  </si>
  <si>
    <t>M8</t>
  </si>
  <si>
    <t>M9</t>
  </si>
  <si>
    <t>M10</t>
  </si>
  <si>
    <t>M11</t>
  </si>
  <si>
    <t>M12</t>
  </si>
  <si>
    <t>M13</t>
  </si>
  <si>
    <t>Liberty Mutual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</si>
  <si>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</si>
  <si>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</si>
  <si>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</si>
  <si>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</si>
  <si>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</si>
  <si>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</si>
  <si>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</si>
  <si>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</si>
  <si>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</si>
  <si>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Liberty Mutual - Hogar</t>
  </si>
  <si>
    <t>M23</t>
  </si>
  <si>
    <t>M24</t>
  </si>
  <si>
    <t>M25</t>
  </si>
  <si>
    <t>M26</t>
  </si>
  <si>
    <t>M27</t>
  </si>
  <si>
    <t>M28</t>
  </si>
  <si>
    <t>M29</t>
  </si>
  <si>
    <t>M30</t>
  </si>
  <si>
    <t>TOTAL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</si>
  <si>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</si>
  <si>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</si>
  <si>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</si>
  <si>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</si>
  <si>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</si>
  <si>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</si>
  <si>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</si>
  <si>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</si>
  <si>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</si>
  <si>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</si>
  <si>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</si>
  <si>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</si>
  <si>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</si>
  <si>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</si>
  <si>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</si>
  <si>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</si>
  <si>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</si>
  <si>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</si>
  <si>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</si>
  <si>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</si>
  <si>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</si>
  <si>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</si>
  <si>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</si>
  <si>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</si>
  <si>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</si>
  <si>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As of Date: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</si>
  <si>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</si>
  <si>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</si>
  <si>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</si>
  <si>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</si>
  <si>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</si>
  <si>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</si>
  <si>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</si>
  <si>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</si>
  <si>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</si>
  <si>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</si>
  <si>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</si>
  <si>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</si>
  <si>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</si>
  <si>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</si>
  <si>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</si>
  <si>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</si>
  <si>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</si>
  <si>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Clientes</t>
  </si>
  <si>
    <t>Clientes Perdidos (Churn)</t>
  </si>
  <si>
    <t>Location:</t>
  </si>
  <si>
    <t>GLOBAL</t>
  </si>
  <si>
    <t>Tasa Uso %</t>
  </si>
  <si>
    <t>Ticket ($)</t>
  </si>
  <si>
    <t>MES</t>
  </si>
  <si>
    <t>40.00</t>
  </si>
  <si>
    <t>Fee Weso %</t>
  </si>
  <si>
    <t>30.00</t>
  </si>
  <si>
    <t xml:space="preserve">    Service per Month</t>
  </si>
  <si>
    <t>Fee Variable Weso ($)</t>
  </si>
  <si>
    <t>Licencia Weso ($)</t>
  </si>
  <si>
    <t>Cases per HR</t>
  </si>
  <si>
    <t># HR Neccesary</t>
  </si>
  <si>
    <t xml:space="preserve">    Revenue</t>
  </si>
  <si>
    <t>Cost</t>
  </si>
  <si>
    <t>Call Center Office</t>
  </si>
  <si>
    <t>Cost per Position</t>
  </si>
  <si>
    <t>Categoría: Hogar y Propiedades · Servicio:  · País: México</t>
  </si>
  <si>
    <t>Costo de IA por llamada</t>
  </si>
  <si>
    <t>📞 Twilio Incoming</t>
  </si>
  <si>
    <t>Transporte de la llamada telefónica</t>
  </si>
  <si>
    <t>🗣️ ElevenLabs Voice</t>
  </si>
  <si>
    <t>Escuchar al usuario y generar la voz de la IA</t>
  </si>
  <si>
    <t>50.00</t>
  </si>
  <si>
    <t>🧠 Qwen 3.5</t>
  </si>
  <si>
    <t>El modelo que procesa la conversación y decide qué responder</t>
  </si>
  <si>
    <t>Total Llamadas</t>
  </si>
  <si>
    <t>Record</t>
  </si>
  <si>
    <t>Grabacion de la llamada</t>
  </si>
  <si>
    <t>Factor</t>
  </si>
  <si>
    <t>TOTAL / MIN</t>
  </si>
  <si>
    <t>TMO / Minutos</t>
  </si>
  <si>
    <t>Categoría: Veterinario · Servicio:  · País: Estados Unidos</t>
  </si>
  <si>
    <t>Crecimiento: 1.2% · Churn: 0.7%</t>
  </si>
  <si>
    <t>110.00</t>
  </si>
  <si>
    <t>20.00</t>
  </si>
  <si>
    <t>Categoría: Hogar y Propiedades · Servicio:  · País: Singapur</t>
  </si>
  <si>
    <t>Crecimiento: 0.8% · Churn: 0.6%</t>
  </si>
  <si>
    <t>70.00</t>
  </si>
  <si>
    <t>Actor: CHUBB · Hogar Perú</t>
  </si>
  <si>
    <t>Categoría: Hogar y Propiedades · Servicio:  · País: Perú</t>
  </si>
  <si>
    <t>45.00</t>
  </si>
  <si>
    <t>Actor: CHUBB · Salud Chile</t>
  </si>
  <si>
    <t>Categoría: Salud y cuidado · Servicio:  · País: Chile</t>
  </si>
  <si>
    <t>55.00</t>
  </si>
  <si>
    <t>Actor: CHUBB - Salud Singapur</t>
  </si>
  <si>
    <t>Categoría: Salud y cuidado · Servicio:  · País: Singapur</t>
  </si>
  <si>
    <t>80.00</t>
  </si>
  <si>
    <t>Actor: Kanguro Insurance</t>
  </si>
  <si>
    <t>Crecimiento: 2.5% · Churn: 1.2%</t>
  </si>
  <si>
    <t>Actor: Kanguro Insurance - Hogar</t>
  </si>
  <si>
    <t>Categoría: Hogar y Propiedades · Servicio:  · País: Estados Unidos</t>
  </si>
  <si>
    <t>150.00</t>
  </si>
  <si>
    <t xml:space="preserve">Actor: METLIFE </t>
  </si>
  <si>
    <t>Actor: METLIFE  - Salud</t>
  </si>
  <si>
    <t>Categoría: Salud y cuidado · Servicio:  · País: Colombia</t>
  </si>
  <si>
    <t>Actor: Seguros Mundial 🇨🇴</t>
  </si>
  <si>
    <t>Categoría: Asistencia en Ruta - Livianos · Servicio:  · País: Colombia</t>
  </si>
  <si>
    <t>Crecimiento: 1% · Churn: 0.7%</t>
  </si>
  <si>
    <t>60.00</t>
  </si>
  <si>
    <t>Actor: Seguros Mundial 🇨🇴 - Hogar</t>
  </si>
  <si>
    <t>Categoría: Hogar y Propiedades · Servicio:  · País: Colombia</t>
  </si>
  <si>
    <t>Actor: BNP Paribas Cardif</t>
  </si>
  <si>
    <t>Actor: BNP Paribas Cardif - Hogar Perú</t>
  </si>
  <si>
    <t>Actor: BNP Paribas Cardif - Vet Colombia</t>
  </si>
  <si>
    <t>Categoría: Veterinario · Servicio:  · País: Colombia</t>
  </si>
  <si>
    <t>Actor: BNP Paribas Cardif - Salud México</t>
  </si>
  <si>
    <t>Categoría: Salud y cuidado · Servicio:  · País: México</t>
  </si>
  <si>
    <t>Actor: BNP Paribas Cardif - Salud Brasil</t>
  </si>
  <si>
    <t>Categoría: Veterinario · Servicio:  · País: Brasil</t>
  </si>
  <si>
    <t>Crecimiento: 1.2% · Churn: 0.8%</t>
  </si>
  <si>
    <t>Actor: Lemonade</t>
  </si>
  <si>
    <t>Crecimiento: 2.2% · Churn: 1%</t>
  </si>
  <si>
    <t>Actor: Lemonade - Hogar</t>
  </si>
  <si>
    <t>Crecimiento: 1.8% · Churn: 0.9%</t>
  </si>
  <si>
    <t>Actor: Consorcio</t>
  </si>
  <si>
    <t>Categoría: Asistencia en Ruta - Livianos · Servicio:  · País: Chile</t>
  </si>
  <si>
    <t>Crecimiento: 0.7% · Churn: 0.6%</t>
  </si>
  <si>
    <t>Actor: Consorcio - Hogar</t>
  </si>
  <si>
    <t>Categoría: Hogar y Propiedades · Servicio:  · País: Chile</t>
  </si>
  <si>
    <t xml:space="preserve">    Revenue - Services</t>
  </si>
  <si>
    <t>Actor: Chilena Consolidada (Zurich)</t>
  </si>
  <si>
    <t xml:space="preserve">    Revenue - Membership</t>
  </si>
  <si>
    <t xml:space="preserve">    Other Revenues</t>
  </si>
  <si>
    <t xml:space="preserve">  Total Revenue</t>
  </si>
  <si>
    <t>Actor: Chilena Consolidada (Zurich) - Hogar</t>
  </si>
  <si>
    <t xml:space="preserve"> </t>
  </si>
  <si>
    <t xml:space="preserve">   Cost of Revenue</t>
  </si>
  <si>
    <t xml:space="preserve">  </t>
  </si>
  <si>
    <t xml:space="preserve">    Fee &amp; Comitions</t>
  </si>
  <si>
    <t xml:space="preserve">    Cost of Operations</t>
  </si>
  <si>
    <t xml:space="preserve">    Avg Service Cost / Inlcuid Fee</t>
  </si>
  <si>
    <t xml:space="preserve">    Total Cost of Revenue</t>
  </si>
  <si>
    <t xml:space="preserve">   Gross Profit</t>
  </si>
  <si>
    <t>Actor: Allstate</t>
  </si>
  <si>
    <t>Categoría: Asistencia en Ruta - Livianos · Servicio:  · País: Estados Unidos</t>
  </si>
  <si>
    <t>100.00</t>
  </si>
  <si>
    <t xml:space="preserve">   Gross Profit %</t>
  </si>
  <si>
    <t xml:space="preserve">    Operating Expenses &amp; Ai</t>
  </si>
  <si>
    <t xml:space="preserve">    Software</t>
  </si>
  <si>
    <t xml:space="preserve">    Offices</t>
  </si>
  <si>
    <t xml:space="preserve">    Call Center Office</t>
  </si>
  <si>
    <t>Actor: Allstate - Vehicular</t>
  </si>
  <si>
    <t xml:space="preserve">    Costo de IA por llamada</t>
  </si>
  <si>
    <t>Actor: SURA Chile</t>
  </si>
  <si>
    <t xml:space="preserve">    Mails</t>
  </si>
  <si>
    <t xml:space="preserve">    QuickBook</t>
  </si>
  <si>
    <t xml:space="preserve">    Chat GPT</t>
  </si>
  <si>
    <t xml:space="preserve">    Lovable</t>
  </si>
  <si>
    <t xml:space="preserve">    Supabase</t>
  </si>
  <si>
    <t>Actor: SURA Chile - Hogar</t>
  </si>
  <si>
    <t xml:space="preserve">    Eleven labs</t>
  </si>
  <si>
    <t xml:space="preserve">    Gemini</t>
  </si>
  <si>
    <t xml:space="preserve">    Insurance</t>
  </si>
  <si>
    <t>Actor: SURA Colombia</t>
  </si>
  <si>
    <t xml:space="preserve">  Total Operating Expenses</t>
  </si>
  <si>
    <t xml:space="preserve">    Payroll and Related Expenses</t>
  </si>
  <si>
    <t xml:space="preserve">    Sebastian Sarovich - CEO</t>
  </si>
  <si>
    <t xml:space="preserve">    Ximena Hincapie</t>
  </si>
  <si>
    <t xml:space="preserve">    Laura Ospina - CAIO</t>
  </si>
  <si>
    <t>Actor: SURA Colombia - Hogar</t>
  </si>
  <si>
    <t>Actor: Liberty Mutual</t>
  </si>
  <si>
    <t xml:space="preserve">    Ai - Specialist 1</t>
  </si>
  <si>
    <t xml:space="preserve">    Ai - Specialist 2</t>
  </si>
  <si>
    <t xml:space="preserve">    Martin Baumann - CoS</t>
  </si>
  <si>
    <t xml:space="preserve">    CIO</t>
  </si>
  <si>
    <t xml:space="preserve">    Information Team 1</t>
  </si>
  <si>
    <t xml:space="preserve">    Information Team 2</t>
  </si>
  <si>
    <t xml:space="preserve">    Eduardo Diaz - COO</t>
  </si>
  <si>
    <t>Actor: Liberty Mutual - Hogar</t>
  </si>
  <si>
    <t xml:space="preserve">    Operation Team 1</t>
  </si>
  <si>
    <t xml:space="preserve">    Operation Team 2</t>
  </si>
  <si>
    <t xml:space="preserve">    Operation Team 3</t>
  </si>
  <si>
    <t xml:space="preserve">    Operation Team 4</t>
  </si>
  <si>
    <t xml:space="preserve">    Operation Team 5</t>
  </si>
  <si>
    <t xml:space="preserve">    Operation Center</t>
  </si>
  <si>
    <t xml:space="preserve">    Finantial Team - CFO</t>
  </si>
  <si>
    <t xml:space="preserve">    Accounting 1</t>
  </si>
  <si>
    <t xml:space="preserve">    Accounting 2</t>
  </si>
  <si>
    <t xml:space="preserve">    Accounting 3</t>
  </si>
  <si>
    <t xml:space="preserve">    Accounting 4</t>
  </si>
  <si>
    <t xml:space="preserve">    Felipe Botero - CTO</t>
  </si>
  <si>
    <t xml:space="preserve">    Development 1</t>
  </si>
  <si>
    <t xml:space="preserve">    Development 2</t>
  </si>
  <si>
    <t xml:space="preserve">    Development 3</t>
  </si>
  <si>
    <t xml:space="preserve">    Development 4</t>
  </si>
  <si>
    <t xml:space="preserve">    Aux. Adm</t>
  </si>
  <si>
    <t xml:space="preserve">    Suppliers Team 1</t>
  </si>
  <si>
    <t xml:space="preserve">    Suppliers Team 2</t>
  </si>
  <si>
    <t xml:space="preserve">    Suppliers Team 3</t>
  </si>
  <si>
    <t xml:space="preserve">    Human Resouces</t>
  </si>
  <si>
    <t xml:space="preserve">    Strategy &amp; Investment</t>
  </si>
  <si>
    <t xml:space="preserve">    Martin Pinto - CCO</t>
  </si>
  <si>
    <t xml:space="preserve">    Commercial Team 2</t>
  </si>
  <si>
    <t xml:space="preserve">    Commercial Team 3</t>
  </si>
  <si>
    <t xml:space="preserve">    Expererience Chief - CXO</t>
  </si>
  <si>
    <t xml:space="preserve">    Expererience Team 1</t>
  </si>
  <si>
    <t xml:space="preserve">    Expererience Team 2</t>
  </si>
  <si>
    <t xml:space="preserve">    Sales Commitions</t>
  </si>
  <si>
    <t xml:space="preserve">    Others</t>
  </si>
  <si>
    <t>Total Payroll and Related Expenses</t>
  </si>
  <si>
    <t xml:space="preserve">    External Team</t>
  </si>
  <si>
    <t xml:space="preserve">    Mkt Agency</t>
  </si>
  <si>
    <t xml:space="preserve">    Legal Agency</t>
  </si>
  <si>
    <t xml:space="preserve">    Finantial Agency</t>
  </si>
  <si>
    <t xml:space="preserve">    HR Agency</t>
  </si>
  <si>
    <t xml:space="preserve">  Total External Team</t>
  </si>
  <si>
    <t xml:space="preserve">    Finantials Expenses</t>
  </si>
  <si>
    <t xml:space="preserve">    Bank Fees</t>
  </si>
  <si>
    <t xml:space="preserve">    Payment Processing Fees</t>
  </si>
  <si>
    <t xml:space="preserve">    FX / Foreign Exchange Fees</t>
  </si>
  <si>
    <t xml:space="preserve">    Interest Expense</t>
  </si>
  <si>
    <t xml:space="preserve">    Loan Fees </t>
  </si>
  <si>
    <t xml:space="preserve">    Credit Card Fees</t>
  </si>
  <si>
    <t xml:space="preserve">    Other Financial Expenses</t>
  </si>
  <si>
    <t xml:space="preserve">  Total Finantial Expenses</t>
  </si>
  <si>
    <t xml:space="preserve">    Travel &amp; Entertainment Expenses</t>
  </si>
  <si>
    <t xml:space="preserve">    Airfare</t>
  </si>
  <si>
    <t xml:space="preserve">    Hotels &amp; Lodging</t>
  </si>
  <si>
    <t xml:space="preserve">    Ground Transportation</t>
  </si>
  <si>
    <t xml:space="preserve">    Meals &amp; Entertainment</t>
  </si>
  <si>
    <t xml:space="preserve">    Travel Miscellaneous</t>
  </si>
  <si>
    <t xml:space="preserve">  Total  Travel &amp; Entertainment Expenses</t>
  </si>
  <si>
    <t xml:space="preserve">   Total Expenses</t>
  </si>
  <si>
    <t xml:space="preserve">  EBITDA</t>
  </si>
  <si>
    <t xml:space="preserve">  Other Income</t>
  </si>
  <si>
    <t xml:space="preserve">    Interest Income</t>
  </si>
  <si>
    <t xml:space="preserve">    Foreign Currency Exchange Gain / Loss</t>
  </si>
  <si>
    <t xml:space="preserve">    Other Income</t>
  </si>
  <si>
    <t xml:space="preserve">    Interest Expenses</t>
  </si>
  <si>
    <t xml:space="preserve">    Total Other Income</t>
  </si>
  <si>
    <t>Net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</si>
</sst>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"/>
    <numFmt numFmtId="165" formatCode="0.0%"/>
    <numFmt numFmtId="166" formatCode="mm/dd/yyyy"/>
    <numFmt numFmtId="167" formatCode="&quot;$&quot;#,##0.0"/>
    <numFmt numFmtId="168" formatCode="&quot;$&quot;#,##0.0000"/>
    <numFmt numFmtId="169" formatCode="&quot;$&quot;#,##0.00"/>
    <numFmt numFmtId="170" formatCode="$#,##0"/>
    <numFmt numFmtId="171" formatCode="#,##0.00;\(#,##0.00\)"/>
    <numFmt numFmtId="172" formatCode="#,##0.0;\(#,##0.0\)"/>
    <numFmt numFmtId="173" formatCode="&quot;$&quot;\ #,##0;&quot;$&quot;\ \(#,##0\)"/>
  </numFmts>
  <fonts count="24">
    <font>
      <sz val="12.0"/>
      <color theme="1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  <font>
      <b/>
      <u/>
      <sz val="11.0"/>
      <color rgb="FF1155CC"/>
      <name val="Arial"/>
    </font>
    <font>
      <b/>
      <sz val="11.0"/>
      <color theme="1"/>
      <name val="Arial"/>
    </font>
    <font>
      <sz val="11.0"/>
      <color theme="1"/>
      <name val="Arial"/>
    </font>
    <font>
      <b/>
      <color rgb="FFFFFFFF"/>
      <name val="Calibri"/>
      <scheme val="minor"/>
    </font>
    <font>
      <sz val="11.0"/>
      <color rgb="FF000000"/>
      <name val="Calibri"/>
    </font>
    <font/>
    <font>
      <b/>
      <sz val="11.0"/>
      <color theme="1"/>
      <name val="Calibri"/>
      <scheme val="minor"/>
    </font>
    <font>
      <sz val="11.0"/>
      <color theme="1"/>
      <name val="Calibri"/>
      <scheme val="minor"/>
    </font>
    <font>
      <sz val="11.0"/>
      <color rgb="FFFFFFFF"/>
      <name val="Arial"/>
    </font>
    <font>
      <sz val="11.0"/>
      <color rgb="FF000000"/>
      <name val="Arial"/>
    </font>
    <font>
      <b/>
      <sz val="11.0"/>
      <color rgb="FFFFFFFF"/>
      <name val="Arial"/>
    </font>
    <font>
      <b/>
      <sz val="11.0"/>
      <color rgb="FF9900FF"/>
      <name val="Arial"/>
    </font>
    <font>
      <sz val="12.0"/>
      <color rgb="FF000000"/>
      <name val="Calibri"/>
      <scheme val="minor"/>
    </font>
    <font>
      <sz val="7.0"/>
      <color rgb="FF000000"/>
      <name val="Calibri"/>
      <scheme val="minor"/>
    </font>
    <font>
      <sz val="7.0"/>
      <color theme="1"/>
      <name val="Calibri"/>
      <scheme val="minor"/>
    </font>
    <font>
      <b/>
      <sz val="12.0"/>
      <color rgb="FF000000"/>
      <name val="Calibri"/>
      <scheme val="minor"/>
    </font>
    <font>
      <sz val="11.0"/>
      <color rgb="FF8E7CC3"/>
      <name val="Arial"/>
    </font>
    <font>
      <sz val="11.0"/>
      <color rgb="FFD9D2E9"/>
      <name val="Arial"/>
    </font>
    <font>
      <b/>
      <sz val="11.0"/>
      <color rgb="FFFF00FF"/>
      <name val="Arial"/>
    </font>
    <font>
      <sz val="11.0"/>
      <color rgb="FFC27BA0"/>
      <name val="Arial"/>
    </font>
    <font>
      <sz val="11.0"/>
      <color rgb="FF0000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8E7CC3"/>
        <bgColor rgb="FF8E7CC3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E1F2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0" fontId="1" numFmtId="3" xfId="0" applyFont="1" applyNumberFormat="1"/>
    <xf borderId="0" fillId="3" fontId="3" numFmtId="0" xfId="0" applyAlignment="1" applyFill="1" applyFont="1">
      <alignment horizontal="left" vertical="bottom"/>
    </xf>
    <xf borderId="0" fillId="0" fontId="1" numFmtId="164" xfId="0" applyFont="1" applyNumberFormat="1"/>
    <xf borderId="1" fillId="0" fontId="4" numFmtId="164" xfId="0" applyAlignment="1" applyBorder="1" applyFont="1" applyNumberFormat="1">
      <alignment horizontal="left" readingOrder="0" shrinkToFit="0" vertical="center" wrapText="1"/>
    </xf>
    <xf borderId="0" fillId="3" fontId="5" numFmtId="165" xfId="0" applyAlignment="1" applyFill="1" applyFont="1" applyNumberFormat="1">
      <alignment horizontal="left" vertical="bottom"/>
    </xf>
    <xf borderId="0" fillId="4" fontId="6" numFmtId="0" xfId="0" applyFill="1" applyFont="1"/>
    <xf borderId="2" fillId="0" fontId="7" numFmtId="3" xfId="0" applyAlignment="1" applyBorder="1" applyFont="1" applyNumberFormat="1">
      <alignment horizontal="left" readingOrder="0" vertical="bottom"/>
    </xf>
    <xf borderId="0" fillId="3" fontId="5" numFmtId="0" xfId="0" applyAlignment="1" applyFill="1" applyFont="1">
      <alignment horizontal="left" vertical="bottom"/>
    </xf>
    <xf borderId="0" fillId="4" fontId="6" numFmtId="3" xfId="0" applyFill="1" applyFont="1" applyNumberFormat="1"/>
    <xf borderId="0" fillId="4" fontId="6" numFmtId="164" xfId="0" applyFill="1" applyFont="1" applyNumberFormat="1"/>
    <xf borderId="3" fillId="0" fontId="8" numFmtId="0" xfId="0" applyBorder="1" applyFont="1"/>
    <xf borderId="0" fillId="0" fontId="7" numFmtId="3" xfId="0" applyAlignment="1" applyFont="1" applyNumberFormat="1">
      <alignment horizontal="left" readingOrder="0" vertical="bottom"/>
    </xf>
    <xf borderId="4" fillId="0" fontId="8" numFmtId="0" xfId="0" applyBorder="1" applyFont="1"/>
    <xf borderId="0" fillId="0" fontId="9" numFmtId="0" xfId="0" applyAlignment="1" applyFont="1">
      <alignment horizontal="left" readingOrder="0"/>
    </xf>
    <xf borderId="5" fillId="0" fontId="9" numFmtId="0" xfId="0" applyAlignment="1" applyBorder="1" applyFont="1">
      <alignment horizontal="left" readingOrder="0"/>
    </xf>
    <xf borderId="0" fillId="0" fontId="10" numFmtId="0" xfId="0" applyAlignment="1" applyFont="1">
      <alignment horizontal="left"/>
    </xf>
    <xf borderId="0" fillId="4" fontId="5" numFmtId="0" xfId="0" applyAlignment="1" applyFill="1" applyFont="1">
      <alignment horizontal="left" vertical="bottom"/>
    </xf>
    <xf borderId="0" fillId="3" fontId="4" numFmtId="0" xfId="0" applyAlignment="1" applyFill="1" applyFont="1">
      <alignment horizontal="left" vertical="bottom"/>
    </xf>
    <xf borderId="0" fillId="0" fontId="10" numFmtId="164" xfId="0" applyAlignment="1" applyFont="1" applyNumberFormat="1">
      <alignment horizontal="left" readingOrder="0"/>
    </xf>
    <xf borderId="5" fillId="0" fontId="10" numFmtId="9" xfId="0" applyAlignment="1" applyBorder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4" fontId="2" numFmtId="0" xfId="0" applyFill="1" applyFont="1"/>
    <xf borderId="0" fillId="4" fontId="2" numFmtId="3" xfId="0" applyFill="1" applyFont="1" applyNumberFormat="1"/>
    <xf borderId="0" fillId="4" fontId="2" numFmtId="164" xfId="0" applyFill="1" applyFont="1" applyNumberFormat="1"/>
    <xf borderId="0" fillId="3" fontId="5" numFmtId="166" xfId="0" applyAlignment="1" applyFill="1" applyFont="1" applyNumberFormat="1">
      <alignment horizontal="left" readingOrder="0" vertical="bottom"/>
    </xf>
    <xf borderId="0" fillId="4" fontId="11" numFmtId="0" xfId="0" applyAlignment="1" applyFill="1" applyFont="1">
      <alignment horizontal="left" readingOrder="0" vertical="bottom"/>
    </xf>
    <xf borderId="0" fillId="4" fontId="11" numFmtId="165" xfId="0" applyAlignment="1" applyFill="1" applyFont="1" applyNumberFormat="1">
      <alignment horizontal="left" readingOrder="0" vertical="center"/>
    </xf>
    <xf borderId="0" fillId="4" fontId="11" numFmtId="0" xfId="0" applyAlignment="1" applyFill="1" applyFont="1">
      <alignment horizontal="left" readingOrder="0" vertical="center"/>
    </xf>
    <xf borderId="0" fillId="5" fontId="1" numFmtId="167" xfId="0" applyFill="1" applyFont="1" applyNumberFormat="1"/>
    <xf borderId="0" fillId="3" fontId="5" numFmtId="3" xfId="0" applyAlignment="1" applyFill="1" applyFont="1" applyNumberFormat="1">
      <alignment horizontal="left" readingOrder="0" vertical="bottom"/>
    </xf>
    <xf borderId="0" fillId="0" fontId="5" numFmtId="3" xfId="0" applyAlignment="1" applyFont="1" applyNumberFormat="1">
      <alignment horizontal="left" vertical="bottom"/>
    </xf>
    <xf borderId="0" fillId="0" fontId="12" numFmtId="3" xfId="0" applyAlignment="1" applyFont="1" applyNumberFormat="1">
      <alignment readingOrder="0" vertical="bottom"/>
    </xf>
    <xf borderId="0" fillId="0" fontId="10" numFmtId="1" xfId="0" applyAlignment="1" applyFont="1" applyNumberFormat="1">
      <alignment horizontal="left"/>
    </xf>
    <xf borderId="0" fillId="4" fontId="13" numFmtId="3" xfId="0" applyAlignment="1" applyFill="1" applyFont="1" applyNumberFormat="1">
      <alignment horizontal="left" vertical="bottom"/>
    </xf>
    <xf borderId="6" fillId="0" fontId="10" numFmtId="1" xfId="0" applyAlignment="1" applyBorder="1" applyFont="1" applyNumberFormat="1">
      <alignment horizontal="left" readingOrder="0"/>
    </xf>
    <xf borderId="0" fillId="3" fontId="14" numFmtId="0" xfId="0" applyAlignment="1" applyFill="1" applyFont="1">
      <alignment horizontal="left" vertical="bottom"/>
    </xf>
    <xf borderId="0" fillId="3" fontId="4" numFmtId="165" xfId="0" applyAlignment="1" applyFill="1" applyFont="1" applyNumberFormat="1">
      <alignment horizontal="left" vertical="bottom"/>
    </xf>
    <xf borderId="0" fillId="4" fontId="4" numFmtId="0" xfId="0" applyAlignment="1" applyFill="1" applyFont="1">
      <alignment horizontal="left" vertical="bottom"/>
    </xf>
    <xf borderId="0" fillId="3" fontId="5" numFmtId="164" xfId="0" applyAlignment="1" applyFill="1" applyFont="1" applyNumberFormat="1">
      <alignment horizontal="left" vertical="bottom"/>
    </xf>
    <xf borderId="0" fillId="0" fontId="5" numFmtId="165" xfId="0" applyAlignment="1" applyFont="1" applyNumberFormat="1">
      <alignment horizontal="left" vertical="bottom"/>
    </xf>
    <xf borderId="0" fillId="0" fontId="5" numFmtId="164" xfId="0" applyAlignment="1" applyFont="1" applyNumberFormat="1">
      <alignment horizontal="left"/>
    </xf>
    <xf borderId="5" fillId="0" fontId="10" numFmtId="0" xfId="0" applyAlignment="1" applyBorder="1" applyFont="1">
      <alignment horizontal="left" readingOrder="0"/>
    </xf>
    <xf borderId="6" fillId="0" fontId="10" numFmtId="0" xfId="0" applyAlignment="1" applyBorder="1" applyFont="1">
      <alignment horizontal="left" readingOrder="0"/>
    </xf>
    <xf borderId="0" fillId="0" fontId="10" numFmtId="164" xfId="0" applyAlignment="1" applyFont="1" applyNumberFormat="1">
      <alignment horizontal="left"/>
    </xf>
    <xf borderId="7" fillId="0" fontId="8" numFmtId="0" xfId="0" applyBorder="1" applyFont="1"/>
    <xf borderId="8" fillId="0" fontId="10" numFmtId="0" xfId="0" applyAlignment="1" applyBorder="1" applyFont="1">
      <alignment horizontal="left"/>
    </xf>
    <xf borderId="9" fillId="0" fontId="10" numFmtId="0" xfId="0" applyAlignment="1" applyBorder="1" applyFont="1">
      <alignment horizontal="left"/>
    </xf>
    <xf borderId="0" fillId="4" fontId="5" numFmtId="164" xfId="0" applyAlignment="1" applyFill="1" applyFont="1" applyNumberFormat="1">
      <alignment horizontal="left"/>
    </xf>
    <xf borderId="0" fillId="0" fontId="5" numFmtId="164" xfId="0" applyAlignment="1" applyFont="1" applyNumberFormat="1">
      <alignment horizontal="left" vertical="bottom"/>
    </xf>
    <xf borderId="10" fillId="3" fontId="10" numFmtId="0" xfId="0" applyAlignment="1" applyBorder="1" applyFill="1" applyFont="1">
      <alignment horizontal="left" readingOrder="0" shrinkToFit="0" vertical="center" wrapText="1"/>
    </xf>
    <xf borderId="11" fillId="0" fontId="8" numFmtId="0" xfId="0" applyBorder="1" applyFont="1"/>
    <xf borderId="11" fillId="3" fontId="10" numFmtId="0" xfId="0" applyAlignment="1" applyBorder="1" applyFill="1" applyFont="1">
      <alignment horizontal="left" readingOrder="0" vertical="center"/>
    </xf>
    <xf borderId="12" fillId="3" fontId="10" numFmtId="164" xfId="0" applyAlignment="1" applyBorder="1" applyFill="1" applyFont="1" applyNumberFormat="1">
      <alignment horizontal="left" readingOrder="0" vertical="center"/>
    </xf>
    <xf borderId="0" fillId="0" fontId="10" numFmtId="164" xfId="0" applyAlignment="1" applyFont="1" applyNumberFormat="1">
      <alignment horizontal="left" vertical="center"/>
    </xf>
    <xf borderId="1" fillId="0" fontId="9" numFmtId="0" xfId="0" applyAlignment="1" applyBorder="1" applyFont="1">
      <alignment horizontal="left" readingOrder="0" shrinkToFit="0" vertical="center" wrapText="1"/>
    </xf>
    <xf borderId="2" fillId="0" fontId="15" numFmtId="0" xfId="0" applyAlignment="1" applyBorder="1" applyFont="1">
      <alignment horizontal="left" readingOrder="0"/>
    </xf>
    <xf borderId="2" fillId="0" fontId="16" numFmtId="0" xfId="0" applyAlignment="1" applyBorder="1" applyFont="1">
      <alignment horizontal="left" readingOrder="0" shrinkToFit="0" wrapText="1"/>
    </xf>
    <xf borderId="3" fillId="0" fontId="10" numFmtId="168" xfId="0" applyAlignment="1" applyBorder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5" numFmtId="0" xfId="0" applyAlignment="1" applyFont="1">
      <alignment horizontal="left" readingOrder="0"/>
    </xf>
    <xf borderId="0" fillId="0" fontId="16" numFmtId="0" xfId="0" applyAlignment="1" applyFont="1">
      <alignment horizontal="left" readingOrder="0" shrinkToFit="0" wrapText="1"/>
    </xf>
    <xf borderId="6" fillId="0" fontId="10" numFmtId="168" xfId="0" applyAlignment="1" applyBorder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7" numFmtId="0" xfId="0" applyAlignment="1" applyFont="1">
      <alignment horizontal="left" readingOrder="0" shrinkToFit="0" wrapText="1"/>
    </xf>
    <xf borderId="0" fillId="4" fontId="5" numFmtId="164" xfId="0" applyAlignment="1" applyFill="1" applyFont="1" applyNumberFormat="1">
      <alignment horizontal="left" vertical="bottom"/>
    </xf>
    <xf borderId="0" fillId="0" fontId="10" numFmtId="0" xfId="0" applyAlignment="1" applyFont="1">
      <alignment horizontal="left" readingOrder="0"/>
    </xf>
    <xf borderId="8" fillId="0" fontId="18" numFmtId="0" xfId="0" applyAlignment="1" applyBorder="1" applyFont="1">
      <alignment horizontal="left" readingOrder="0"/>
    </xf>
    <xf borderId="8" fillId="0" fontId="9" numFmtId="0" xfId="0" applyAlignment="1" applyBorder="1" applyFont="1">
      <alignment horizontal="left"/>
    </xf>
    <xf borderId="9" fillId="0" fontId="9" numFmtId="168" xfId="0" applyAlignment="1" applyBorder="1" applyFont="1" applyNumberFormat="1">
      <alignment horizontal="left"/>
    </xf>
    <xf borderId="10" fillId="0" fontId="10" numFmtId="0" xfId="0" applyAlignment="1" applyBorder="1" applyFont="1">
      <alignment horizontal="left"/>
    </xf>
    <xf borderId="11" fillId="0" fontId="9" numFmtId="0" xfId="0" applyAlignment="1" applyBorder="1" applyFont="1">
      <alignment horizontal="left" readingOrder="0"/>
    </xf>
    <xf borderId="11" fillId="0" fontId="10" numFmtId="0" xfId="0" applyAlignment="1" applyBorder="1" applyFont="1">
      <alignment horizontal="left" readingOrder="0"/>
    </xf>
    <xf borderId="12" fillId="0" fontId="9" numFmtId="168" xfId="0" applyAlignment="1" applyBorder="1" applyFont="1" applyNumberFormat="1">
      <alignment horizontal="left"/>
    </xf>
    <xf borderId="0" fillId="0" fontId="10" numFmtId="169" xfId="0" applyAlignment="1" applyFont="1" applyNumberFormat="1">
      <alignment horizontal="left"/>
    </xf>
    <xf borderId="0" fillId="3" fontId="5" numFmtId="164" xfId="0" applyAlignment="1" applyFill="1" applyFont="1" applyNumberFormat="1">
      <alignment horizontal="left" readingOrder="0" vertical="bottom"/>
    </xf>
    <xf borderId="0" fillId="3" fontId="5" numFmtId="165" xfId="0" applyAlignment="1" applyFill="1" applyFont="1" applyNumberFormat="1">
      <alignment horizontal="left" readingOrder="0" vertical="bottom"/>
    </xf>
    <xf borderId="0" fillId="4" fontId="5" numFmtId="164" xfId="0" applyAlignment="1" applyFill="1" applyFont="1" applyNumberFormat="1">
      <alignment horizontal="left" readingOrder="0" vertical="bottom"/>
    </xf>
    <xf borderId="0" fillId="3" fontId="4" numFmtId="164" xfId="0" applyAlignment="1" applyFill="1" applyFont="1" applyNumberFormat="1">
      <alignment horizontal="left" vertical="bottom"/>
    </xf>
    <xf borderId="0" fillId="0" fontId="4" numFmtId="165" xfId="0" applyAlignment="1" applyFont="1" applyNumberFormat="1">
      <alignment horizontal="left" vertical="bottom"/>
    </xf>
    <xf borderId="13" fillId="0" fontId="4" numFmtId="164" xfId="0" applyAlignment="1" applyBorder="1" applyFont="1" applyNumberFormat="1">
      <alignment horizontal="left" readingOrder="0" vertical="bottom"/>
    </xf>
    <xf borderId="0" fillId="4" fontId="4" numFmtId="164" xfId="0" applyAlignment="1" applyFill="1" applyFont="1" applyNumberFormat="1">
      <alignment horizontal="left" readingOrder="0" vertical="bottom"/>
    </xf>
    <xf borderId="0" fillId="6" fontId="4" numFmtId="164" xfId="0" applyAlignment="1" applyFill="1" applyFont="1" applyNumberFormat="1">
      <alignment horizontal="left" vertical="bottom"/>
    </xf>
    <xf borderId="0" fillId="6" fontId="4" numFmtId="165" xfId="0" applyAlignment="1" applyFill="1" applyFont="1" applyNumberFormat="1">
      <alignment horizontal="left" vertical="bottom"/>
    </xf>
    <xf borderId="0" fillId="4" fontId="13" numFmtId="164" xfId="0" applyAlignment="1" applyFill="1" applyFont="1" applyNumberFormat="1">
      <alignment horizontal="left" vertical="bottom"/>
    </xf>
    <xf borderId="0" fillId="0" fontId="12" numFmtId="164" xfId="0" applyAlignment="1" applyFont="1" applyNumberFormat="1">
      <alignment horizontal="left" readingOrder="0" vertical="bottom"/>
    </xf>
    <xf borderId="0" fillId="4" fontId="12" numFmtId="164" xfId="0" applyAlignment="1" applyFill="1" applyFont="1" applyNumberFormat="1">
      <alignment horizontal="left" readingOrder="0" vertical="bottom"/>
    </xf>
    <xf borderId="0" fillId="0" fontId="5" numFmtId="170" xfId="0" applyAlignment="1" applyFont="1" applyNumberFormat="1">
      <alignment horizontal="left" readingOrder="0" vertical="bottom"/>
    </xf>
    <xf borderId="0" fillId="0" fontId="5" numFmtId="170" xfId="0" applyAlignment="1" applyFont="1" applyNumberFormat="1">
      <alignment horizontal="left" vertical="bottom"/>
    </xf>
    <xf borderId="0" fillId="4" fontId="5" numFmtId="170" xfId="0" applyAlignment="1" applyFill="1" applyFont="1" applyNumberFormat="1">
      <alignment horizontal="left" vertical="bottom"/>
    </xf>
    <xf borderId="0" fillId="6" fontId="5" numFmtId="164" xfId="0" applyAlignment="1" applyFill="1" applyFont="1" applyNumberFormat="1">
      <alignment horizontal="left" vertical="bottom"/>
    </xf>
    <xf borderId="0" fillId="6" fontId="5" numFmtId="165" xfId="0" applyAlignment="1" applyFill="1" applyFont="1" applyNumberFormat="1">
      <alignment horizontal="left" vertical="bottom"/>
    </xf>
    <xf borderId="0" fillId="7" fontId="5" numFmtId="0" xfId="0" applyAlignment="1" applyFill="1" applyFont="1">
      <alignment horizontal="left" vertical="bottom"/>
    </xf>
    <xf borderId="0" fillId="8" fontId="4" numFmtId="164" xfId="0" applyAlignment="1" applyFill="1" applyFont="1" applyNumberFormat="1">
      <alignment horizontal="left" readingOrder="0" vertical="bottom"/>
    </xf>
    <xf borderId="0" fillId="8" fontId="4" numFmtId="165" xfId="0" applyAlignment="1" applyFill="1" applyFont="1" applyNumberFormat="1">
      <alignment horizontal="left" vertical="bottom"/>
    </xf>
    <xf borderId="0" fillId="8" fontId="4" numFmtId="164" xfId="0" applyAlignment="1" applyFill="1" applyFont="1" applyNumberFormat="1">
      <alignment horizontal="left" vertical="bottom"/>
    </xf>
    <xf borderId="0" fillId="7" fontId="4" numFmtId="164" xfId="0" applyAlignment="1" applyFill="1" applyFont="1" applyNumberFormat="1">
      <alignment horizontal="left" vertical="bottom"/>
    </xf>
    <xf borderId="0" fillId="3" fontId="4" numFmtId="165" xfId="0" applyAlignment="1" applyFill="1" applyFont="1" applyNumberFormat="1">
      <alignment horizontal="left" readingOrder="0" vertical="bottom"/>
    </xf>
    <xf borderId="0" fillId="3" fontId="19" numFmtId="165" xfId="0" applyAlignment="1" applyFill="1" applyFont="1" applyNumberFormat="1">
      <alignment horizontal="left" readingOrder="0" vertical="bottom"/>
    </xf>
    <xf borderId="0" fillId="3" fontId="19" numFmtId="165" xfId="0" applyAlignment="1" applyFill="1" applyFont="1" applyNumberFormat="1">
      <alignment horizontal="left" vertical="bottom"/>
    </xf>
    <xf borderId="0" fillId="4" fontId="19" numFmtId="165" xfId="0" applyAlignment="1" applyFill="1" applyFont="1" applyNumberFormat="1">
      <alignment horizontal="left" vertical="bottom"/>
    </xf>
    <xf borderId="0" fillId="9" fontId="5" numFmtId="164" xfId="0" applyAlignment="1" applyFill="1" applyFont="1" applyNumberFormat="1">
      <alignment horizontal="left" readingOrder="0" vertical="bottom"/>
    </xf>
    <xf borderId="0" fillId="9" fontId="5" numFmtId="164" xfId="0" applyAlignment="1" applyFill="1" applyFont="1" applyNumberFormat="1">
      <alignment horizontal="left" vertical="bottom"/>
    </xf>
    <xf borderId="0" fillId="10" fontId="5" numFmtId="164" xfId="0" applyAlignment="1" applyFill="1" applyFont="1" applyNumberFormat="1">
      <alignment horizontal="left" readingOrder="0" vertical="bottom"/>
    </xf>
    <xf borderId="0" fillId="10" fontId="5" numFmtId="164" xfId="0" applyAlignment="1" applyFill="1" applyFont="1" applyNumberFormat="1">
      <alignment horizontal="left" vertical="bottom"/>
    </xf>
    <xf borderId="0" fillId="3" fontId="5" numFmtId="171" xfId="0" applyAlignment="1" applyFill="1" applyFont="1" applyNumberFormat="1">
      <alignment horizontal="left" vertical="bottom"/>
    </xf>
    <xf borderId="0" fillId="4" fontId="5" numFmtId="171" xfId="0" applyAlignment="1" applyFill="1" applyFont="1" applyNumberFormat="1">
      <alignment horizontal="left" vertical="bottom"/>
    </xf>
    <xf borderId="0" fillId="11" fontId="4" numFmtId="164" xfId="0" applyAlignment="1" applyFill="1" applyFont="1" applyNumberFormat="1">
      <alignment horizontal="left" vertical="bottom"/>
    </xf>
    <xf borderId="0" fillId="3" fontId="20" numFmtId="165" xfId="0" applyAlignment="1" applyFill="1" applyFont="1" applyNumberFormat="1">
      <alignment horizontal="left" readingOrder="0" vertical="bottom"/>
    </xf>
    <xf borderId="0" fillId="3" fontId="20" numFmtId="10" xfId="0" applyAlignment="1" applyFill="1" applyFont="1" applyNumberFormat="1">
      <alignment horizontal="left" readingOrder="0" vertical="bottom"/>
    </xf>
    <xf borderId="0" fillId="3" fontId="21" numFmtId="164" xfId="0" applyAlignment="1" applyFill="1" applyFont="1" applyNumberFormat="1">
      <alignment horizontal="left" readingOrder="0" vertical="bottom"/>
    </xf>
    <xf borderId="0" fillId="3" fontId="20" numFmtId="165" xfId="0" applyAlignment="1" applyFill="1" applyFont="1" applyNumberFormat="1">
      <alignment horizontal="left" vertical="bottom"/>
    </xf>
    <xf borderId="0" fillId="3" fontId="22" numFmtId="164" xfId="0" applyAlignment="1" applyFill="1" applyFont="1" applyNumberFormat="1">
      <alignment horizontal="left" readingOrder="0" vertical="bottom"/>
    </xf>
    <xf borderId="0" fillId="4" fontId="22" numFmtId="164" xfId="0" applyAlignment="1" applyFill="1" applyFont="1" applyNumberForma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171" xfId="0" applyAlignment="1" applyFont="1" applyNumberFormat="1">
      <alignment horizontal="left" vertical="bottom"/>
    </xf>
    <xf borderId="0" fillId="7" fontId="4" numFmtId="164" xfId="0" applyAlignment="1" applyFill="1" applyFont="1" applyNumberFormat="1">
      <alignment horizontal="left" readingOrder="0" vertical="bottom"/>
    </xf>
    <xf borderId="0" fillId="4" fontId="4" numFmtId="164" xfId="0" applyAlignment="1" applyFill="1" applyFont="1" applyNumberFormat="1">
      <alignment horizontal="left" vertical="bottom"/>
    </xf>
    <xf borderId="0" fillId="7" fontId="5" numFmtId="171" xfId="0" applyAlignment="1" applyFill="1" applyFont="1" applyNumberFormat="1">
      <alignment horizontal="left" vertical="bottom"/>
    </xf>
    <xf borderId="0" fillId="12" fontId="4" numFmtId="164" xfId="0" applyAlignment="1" applyFill="1" applyFont="1" applyNumberFormat="1">
      <alignment horizontal="left" vertical="bottom"/>
    </xf>
    <xf borderId="0" fillId="7" fontId="4" numFmtId="0" xfId="0" applyAlignment="1" applyFill="1" applyFont="1">
      <alignment horizontal="left" vertical="bottom"/>
    </xf>
    <xf borderId="0" fillId="0" fontId="5" numFmtId="0" xfId="0" applyAlignment="1" applyFont="1">
      <alignment horizontal="left" vertical="bottom"/>
    </xf>
    <xf borderId="0" fillId="3" fontId="5" numFmtId="171" xfId="0" applyAlignment="1" applyFill="1" applyFont="1" applyNumberFormat="1">
      <alignment horizontal="left" readingOrder="0" vertical="bottom"/>
    </xf>
    <xf borderId="0" fillId="3" fontId="14" numFmtId="164" xfId="0" applyAlignment="1" applyFill="1" applyFont="1" applyNumberFormat="1">
      <alignment horizontal="left" vertical="bottom"/>
    </xf>
    <xf borderId="0" fillId="13" fontId="4" numFmtId="167" xfId="0" applyAlignment="1" applyFill="1" applyFont="1" applyNumberFormat="1">
      <alignment horizontal="left" readingOrder="0" vertical="bottom"/>
    </xf>
    <xf borderId="0" fillId="13" fontId="4" numFmtId="167" xfId="0" applyAlignment="1" applyFill="1" applyFont="1" applyNumberFormat="1">
      <alignment horizontal="left" vertical="bottom"/>
    </xf>
    <xf borderId="0" fillId="4" fontId="4" numFmtId="167" xfId="0" applyAlignment="1" applyFill="1" applyFont="1" applyNumberFormat="1">
      <alignment horizontal="left" vertical="bottom"/>
    </xf>
    <xf borderId="0" fillId="0" fontId="4" numFmtId="165" xfId="0" applyAlignment="1" applyFont="1" applyNumberFormat="1">
      <alignment horizontal="left" readingOrder="0" vertical="bottom"/>
    </xf>
    <xf borderId="0" fillId="6" fontId="23" numFmtId="172" xfId="0" applyAlignment="1" applyFill="1" applyFont="1" applyNumberFormat="1">
      <alignment horizontal="left" readingOrder="0" vertical="bottom"/>
    </xf>
    <xf borderId="0" fillId="6" fontId="23" numFmtId="165" xfId="0" applyAlignment="1" applyFill="1" applyFont="1" applyNumberFormat="1">
      <alignment horizontal="left" vertical="bottom"/>
    </xf>
    <xf borderId="0" fillId="6" fontId="23" numFmtId="172" xfId="0" applyAlignment="1" applyFill="1" applyFont="1" applyNumberFormat="1">
      <alignment horizontal="left" vertical="bottom"/>
    </xf>
    <xf borderId="0" fillId="6" fontId="23" numFmtId="171" xfId="0" applyAlignment="1" applyFill="1" applyFont="1" applyNumberFormat="1">
      <alignment horizontal="left" vertical="bottom"/>
    </xf>
    <xf borderId="0" fillId="4" fontId="23" numFmtId="171" xfId="0" applyAlignment="1" applyFill="1" applyFont="1" applyNumberFormat="1">
      <alignment horizontal="left" vertical="bottom"/>
    </xf>
    <xf borderId="0" fillId="14" fontId="5" numFmtId="0" xfId="0" applyAlignment="1" applyFill="1" applyFont="1">
      <alignment horizontal="left" vertical="bottom"/>
    </xf>
    <xf borderId="0" fillId="14" fontId="5" numFmtId="165" xfId="0" applyAlignment="1" applyFill="1" applyFont="1" applyNumberFormat="1">
      <alignment horizontal="left" vertical="bottom"/>
    </xf>
    <xf borderId="0" fillId="14" fontId="5" numFmtId="171" xfId="0" applyAlignment="1" applyFill="1" applyFont="1" applyNumberFormat="1">
      <alignment horizontal="left" vertical="bottom"/>
    </xf>
    <xf borderId="0" fillId="15" fontId="4" numFmtId="173" xfId="0" applyAlignment="1" applyFill="1" applyFont="1" applyNumberFormat="1">
      <alignment horizontal="left" readingOrder="0" vertical="bottom"/>
    </xf>
    <xf borderId="0" fillId="15" fontId="4" numFmtId="165" xfId="0" applyAlignment="1" applyFill="1" applyFont="1" applyNumberFormat="1">
      <alignment horizontal="left" vertical="bottom"/>
    </xf>
    <xf borderId="0" fillId="15" fontId="4" numFmtId="173" xfId="0" applyAlignment="1" applyFill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43075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34.44"/>
    <col customWidth="1" min="2" max="2" width="4.44"/>
  </cols>
  <sheetData>
    <row r="1" ht="42.75" customHeight="1">
      <c r="A1" s="4"/>
      <c r="B1" s="7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9"/>
    </row>
    <row r="2">
      <c r="A2" s="20" t="s">
        <v>41</v>
      </c>
      <c r="B2" s="7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9"/>
    </row>
    <row r="3">
      <c r="A3" s="10" t="s">
        <v>57</v>
      </c>
      <c r="B3" s="7"/>
      <c r="C3" s="20" t="s">
        <v>59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9"/>
    </row>
    <row r="4">
      <c r="A4" s="10" t="s">
        <v>123</v>
      </c>
      <c r="B4" s="7"/>
      <c r="C4" s="27">
        <v>46270.0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9"/>
    </row>
    <row r="5">
      <c r="A5" s="10" t="s">
        <v>143</v>
      </c>
      <c r="B5" s="7"/>
      <c r="C5" s="10" t="s">
        <v>144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9"/>
    </row>
    <row r="6">
      <c r="A6" s="28" t="s">
        <v>147</v>
      </c>
      <c r="B6" s="29"/>
      <c r="C6" s="30">
        <v>1.0</v>
      </c>
      <c r="D6" s="30">
        <v>2.0</v>
      </c>
      <c r="E6" s="30">
        <v>3.0</v>
      </c>
      <c r="F6" s="30">
        <v>4.0</v>
      </c>
      <c r="G6" s="30">
        <v>5.0</v>
      </c>
      <c r="H6" s="30">
        <v>6.0</v>
      </c>
      <c r="I6" s="30">
        <v>7.0</v>
      </c>
      <c r="J6" s="30">
        <v>8.0</v>
      </c>
      <c r="K6" s="30">
        <v>9.0</v>
      </c>
      <c r="L6" s="30">
        <v>10.0</v>
      </c>
      <c r="M6" s="30">
        <v>11.0</v>
      </c>
      <c r="N6" s="30">
        <v>12.0</v>
      </c>
      <c r="O6" s="30">
        <v>13.0</v>
      </c>
      <c r="P6" s="30">
        <v>14.0</v>
      </c>
      <c r="Q6" s="30">
        <v>15.0</v>
      </c>
      <c r="R6" s="30">
        <v>16.0</v>
      </c>
      <c r="S6" s="30">
        <v>17.0</v>
      </c>
      <c r="T6" s="30">
        <v>18.0</v>
      </c>
      <c r="U6" s="30">
        <v>19.0</v>
      </c>
      <c r="V6" s="30">
        <v>20.0</v>
      </c>
      <c r="W6" s="30">
        <v>21.0</v>
      </c>
      <c r="X6" s="30">
        <v>22.0</v>
      </c>
      <c r="Y6" s="30">
        <v>23.0</v>
      </c>
      <c r="Z6" s="30">
        <v>24.0</v>
      </c>
      <c r="AA6" s="30">
        <v>25.0</v>
      </c>
      <c r="AB6" s="30">
        <v>26.0</v>
      </c>
      <c r="AC6" s="30">
        <v>27.0</v>
      </c>
      <c r="AD6" s="30">
        <v>28.0</v>
      </c>
      <c r="AE6" s="30">
        <v>29.0</v>
      </c>
      <c r="AF6" s="30">
        <v>30.0</v>
      </c>
      <c r="AG6" s="30">
        <v>31.0</v>
      </c>
      <c r="AH6" s="30">
        <v>32.0</v>
      </c>
      <c r="AI6" s="30">
        <v>33.0</v>
      </c>
      <c r="AJ6" s="30">
        <v>34.0</v>
      </c>
      <c r="AK6" s="30">
        <v>35.0</v>
      </c>
      <c r="AL6" s="30">
        <v>36.0</v>
      </c>
      <c r="AM6" s="30">
        <v>37.0</v>
      </c>
      <c r="AN6" s="30">
        <v>38.0</v>
      </c>
      <c r="AO6" s="30">
        <v>39.0</v>
      </c>
      <c r="AP6" s="30">
        <v>40.0</v>
      </c>
      <c r="AQ6" s="30">
        <v>41.0</v>
      </c>
      <c r="AR6" s="30">
        <v>42.0</v>
      </c>
      <c r="AS6" s="30">
        <v>43.0</v>
      </c>
      <c r="AT6" s="30">
        <v>44.0</v>
      </c>
      <c r="AU6" s="30">
        <v>45.0</v>
      </c>
      <c r="AV6" s="30">
        <v>46.0</v>
      </c>
      <c r="AW6" s="30">
        <v>47.0</v>
      </c>
      <c r="AX6" s="30">
        <v>48.0</v>
      </c>
      <c r="AY6" s="30">
        <v>49.0</v>
      </c>
      <c r="AZ6" s="30">
        <v>50.0</v>
      </c>
      <c r="BA6" s="30">
        <v>51.0</v>
      </c>
      <c r="BB6" s="30">
        <v>52.0</v>
      </c>
      <c r="BC6" s="30">
        <v>53.0</v>
      </c>
      <c r="BD6" s="30">
        <v>54.0</v>
      </c>
      <c r="BE6" s="30">
        <v>55.0</v>
      </c>
      <c r="BF6" s="30">
        <v>56.0</v>
      </c>
      <c r="BG6" s="30">
        <v>57.0</v>
      </c>
      <c r="BH6" s="30">
        <v>58.0</v>
      </c>
      <c r="BI6" s="30">
        <v>59.0</v>
      </c>
      <c r="BJ6" s="30">
        <v>60.0</v>
      </c>
      <c r="BK6" s="30">
        <v>61.0</v>
      </c>
      <c r="BL6" s="30">
        <v>62.0</v>
      </c>
      <c r="BM6" s="30">
        <v>63.0</v>
      </c>
      <c r="BN6" s="30">
        <v>64.0</v>
      </c>
      <c r="BO6" s="30">
        <v>65.0</v>
      </c>
      <c r="BP6" s="30">
        <v>66.0</v>
      </c>
      <c r="BQ6" s="30">
        <v>67.0</v>
      </c>
      <c r="BR6" s="30">
        <v>68.0</v>
      </c>
      <c r="BS6" s="30">
        <v>69.0</v>
      </c>
      <c r="BT6" s="30">
        <v>70.0</v>
      </c>
      <c r="BU6" s="30">
        <v>71.0</v>
      </c>
      <c r="BV6" s="30">
        <v>72.0</v>
      </c>
      <c r="BW6" s="30" t="s">
        <v>97</v>
      </c>
    </row>
    <row r="7">
      <c r="A7" s="32" t="s">
        <v>151</v>
      </c>
      <c r="B7" s="33"/>
      <c r="C7" s="34">
        <v>0.0</v>
      </c>
      <c r="D7" s="34">
        <v>0.0</v>
      </c>
      <c r="E7" s="34">
        <v>0.0</v>
      </c>
      <c r="F7" s="34">
        <v>0.0</v>
      </c>
      <c r="G7" s="34">
        <v>0.0</v>
      </c>
      <c r="H7" s="34">
        <v>0.0</v>
      </c>
      <c r="I7" s="34">
        <v>150.0</v>
      </c>
      <c r="J7" s="34">
        <v>1100.0</v>
      </c>
      <c r="K7" s="34">
        <v>9666.0</v>
      </c>
      <c r="L7" s="34">
        <v>9776.0</v>
      </c>
      <c r="M7" s="34">
        <v>9821.0</v>
      </c>
      <c r="N7" s="34">
        <v>10854.0</v>
      </c>
      <c r="O7" s="34">
        <v>11606.0</v>
      </c>
      <c r="P7" s="34">
        <v>20415.0</v>
      </c>
      <c r="Q7" s="34">
        <v>27297.0</v>
      </c>
      <c r="R7" s="34">
        <v>39496.0</v>
      </c>
      <c r="S7" s="34">
        <v>39614.0</v>
      </c>
      <c r="T7" s="34">
        <v>87668.0</v>
      </c>
      <c r="U7" s="34">
        <v>87839.0</v>
      </c>
      <c r="V7" s="34">
        <v>104910.0</v>
      </c>
      <c r="W7" s="34">
        <v>105143.0</v>
      </c>
      <c r="X7" s="34">
        <v>105371.0</v>
      </c>
      <c r="Y7" s="34">
        <v>105610.0</v>
      </c>
      <c r="Z7" s="34">
        <v>105849.0</v>
      </c>
      <c r="AA7" s="34">
        <v>122084.0</v>
      </c>
      <c r="AB7" s="34">
        <v>122340.0</v>
      </c>
      <c r="AC7" s="34">
        <v>125593.0</v>
      </c>
      <c r="AD7" s="34">
        <v>125876.0</v>
      </c>
      <c r="AE7" s="34">
        <v>126164.0</v>
      </c>
      <c r="AF7" s="34">
        <v>126445.0</v>
      </c>
      <c r="AG7" s="34">
        <v>126732.0</v>
      </c>
      <c r="AH7" s="34">
        <v>127022.0</v>
      </c>
      <c r="AI7" s="34">
        <v>127313.0</v>
      </c>
      <c r="AJ7" s="34">
        <v>127602.0</v>
      </c>
      <c r="AK7" s="34">
        <v>127894.0</v>
      </c>
      <c r="AL7" s="34">
        <v>128192.0</v>
      </c>
      <c r="AM7" s="34">
        <v>128483.0</v>
      </c>
      <c r="AN7" s="34">
        <v>128783.0</v>
      </c>
      <c r="AO7" s="34">
        <v>129083.0</v>
      </c>
      <c r="AP7" s="34">
        <v>129380.0</v>
      </c>
      <c r="AQ7" s="34">
        <v>129685.0</v>
      </c>
      <c r="AR7" s="34">
        <v>129988.0</v>
      </c>
      <c r="AS7" s="34">
        <v>130291.0</v>
      </c>
      <c r="AT7" s="34">
        <v>130600.0</v>
      </c>
      <c r="AU7" s="34">
        <v>130905.0</v>
      </c>
      <c r="AV7" s="34">
        <v>131218.0</v>
      </c>
      <c r="AW7" s="34">
        <v>131530.0</v>
      </c>
      <c r="AX7" s="34">
        <v>131839.0</v>
      </c>
      <c r="AY7" s="34">
        <v>132155.0</v>
      </c>
      <c r="AZ7" s="34">
        <v>132474.0</v>
      </c>
      <c r="BA7" s="34">
        <v>132788.0</v>
      </c>
      <c r="BB7" s="34">
        <v>133108.0</v>
      </c>
      <c r="BC7" s="34">
        <v>133430.0</v>
      </c>
      <c r="BD7" s="34">
        <v>133754.0</v>
      </c>
      <c r="BE7" s="34">
        <v>134080.0</v>
      </c>
      <c r="BF7" s="34">
        <v>134406.0</v>
      </c>
      <c r="BG7" s="34">
        <v>134734.0</v>
      </c>
      <c r="BH7" s="34">
        <v>135066.0</v>
      </c>
      <c r="BI7" s="34">
        <v>135398.0</v>
      </c>
      <c r="BJ7" s="34">
        <v>135734.0</v>
      </c>
      <c r="BK7" s="34">
        <v>136066.0</v>
      </c>
      <c r="BL7" s="34">
        <v>136403.0</v>
      </c>
      <c r="BM7" s="34">
        <v>136743.0</v>
      </c>
      <c r="BN7" s="34">
        <v>137087.0</v>
      </c>
      <c r="BO7" s="34">
        <v>137429.0</v>
      </c>
      <c r="BP7" s="34">
        <v>137775.0</v>
      </c>
      <c r="BQ7" s="34">
        <v>138122.0</v>
      </c>
      <c r="BR7" s="34">
        <v>138473.0</v>
      </c>
      <c r="BS7" s="34">
        <v>138823.0</v>
      </c>
      <c r="BT7" s="34">
        <v>139176.0</v>
      </c>
      <c r="BU7" s="34">
        <v>139532.0</v>
      </c>
      <c r="BV7" s="34">
        <v>139889.0</v>
      </c>
      <c r="BW7" s="36">
        <f>SUM(C7:BV7)</f>
        <v>7219872</v>
      </c>
    </row>
    <row r="8">
      <c r="A8" s="38" t="s">
        <v>156</v>
      </c>
      <c r="B8" s="3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40"/>
    </row>
    <row r="9">
      <c r="A9" s="41"/>
      <c r="B9" s="42"/>
      <c r="C9" s="43">
        <f>'1_SEGUROS MONTERREY 🇲🇽'!B12</f>
        <v>0</v>
      </c>
      <c r="D9" s="43">
        <f>'1_SEGUROS MONTERREY 🇲🇽'!C12</f>
        <v>0</v>
      </c>
      <c r="E9" s="43">
        <f>'1_SEGUROS MONTERREY 🇲🇽'!D12</f>
        <v>0</v>
      </c>
      <c r="F9" s="43">
        <f>'1_SEGUROS MONTERREY 🇲🇽'!E12</f>
        <v>0</v>
      </c>
      <c r="G9" s="43">
        <f>'1_SEGUROS MONTERREY 🇲🇽'!F12</f>
        <v>0</v>
      </c>
      <c r="H9" s="43">
        <f>'1_SEGUROS MONTERREY 🇲🇽'!G12</f>
        <v>0</v>
      </c>
      <c r="I9" s="43">
        <f>'1_SEGUROS MONTERREY 🇲🇽'!H12</f>
        <v>0</v>
      </c>
      <c r="J9" s="43">
        <f>'1_SEGUROS MONTERREY 🇲🇽'!I12</f>
        <v>0</v>
      </c>
      <c r="K9" s="43">
        <f>'1_SEGUROS MONTERREY 🇲🇽'!J12</f>
        <v>60000</v>
      </c>
      <c r="L9" s="43">
        <f>'1_SEGUROS MONTERREY 🇲🇽'!K12</f>
        <v>60177</v>
      </c>
      <c r="M9" s="43">
        <f>'1_SEGUROS MONTERREY 🇲🇽'!L12</f>
        <v>60354</v>
      </c>
      <c r="N9" s="43">
        <f>'1_SEGUROS MONTERREY 🇲🇽'!M12</f>
        <v>60532</v>
      </c>
      <c r="O9" s="43">
        <f>'1_SEGUROS MONTERREY 🇲🇽'!N12</f>
        <v>60710</v>
      </c>
      <c r="P9" s="43">
        <f>'1_SEGUROS MONTERREY 🇲🇽'!O12</f>
        <v>60889</v>
      </c>
      <c r="Q9" s="43">
        <f>'1_SEGUROS MONTERREY 🇲🇽'!P12</f>
        <v>61068</v>
      </c>
      <c r="R9" s="43">
        <f>'1_SEGUROS MONTERREY 🇲🇽'!Q12</f>
        <v>61248</v>
      </c>
      <c r="S9" s="43">
        <f>'1_SEGUROS MONTERREY 🇲🇽'!R12</f>
        <v>61429</v>
      </c>
      <c r="T9" s="43">
        <f>'1_SEGUROS MONTERREY 🇲🇽'!S12</f>
        <v>61610</v>
      </c>
      <c r="U9" s="43">
        <f>'1_SEGUROS MONTERREY 🇲🇽'!T12</f>
        <v>61791</v>
      </c>
      <c r="V9" s="43">
        <f>'1_SEGUROS MONTERREY 🇲🇽'!U12</f>
        <v>61973</v>
      </c>
      <c r="W9" s="43">
        <f>'1_SEGUROS MONTERREY 🇲🇽'!V12</f>
        <v>62156</v>
      </c>
      <c r="X9" s="43">
        <f>'1_SEGUROS MONTERREY 🇲🇽'!W12</f>
        <v>62339</v>
      </c>
      <c r="Y9" s="43">
        <f>'1_SEGUROS MONTERREY 🇲🇽'!X12</f>
        <v>62523</v>
      </c>
      <c r="Z9" s="43">
        <f>'1_SEGUROS MONTERREY 🇲🇽'!Y12</f>
        <v>62707</v>
      </c>
      <c r="AA9" s="43">
        <f>'1_SEGUROS MONTERREY 🇲🇽'!Z12</f>
        <v>62892</v>
      </c>
      <c r="AB9" s="43">
        <f>'1_SEGUROS MONTERREY 🇲🇽'!AA12</f>
        <v>63077</v>
      </c>
      <c r="AC9" s="43">
        <f>'1_SEGUROS MONTERREY 🇲🇽'!AB12</f>
        <v>63263</v>
      </c>
      <c r="AD9" s="43">
        <f>'1_SEGUROS MONTERREY 🇲🇽'!AC12</f>
        <v>63449</v>
      </c>
      <c r="AE9" s="43">
        <f>'1_SEGUROS MONTERREY 🇲🇽'!AD12</f>
        <v>63636</v>
      </c>
      <c r="AF9" s="43">
        <f>'1_SEGUROS MONTERREY 🇲🇽'!AE12</f>
        <v>63823</v>
      </c>
      <c r="AG9" s="43">
        <f>'1_SEGUROS MONTERREY 🇲🇽'!AF12</f>
        <v>64011</v>
      </c>
      <c r="AH9" s="43">
        <f>'1_SEGUROS MONTERREY 🇲🇽'!AG12</f>
        <v>64200</v>
      </c>
      <c r="AI9" s="43">
        <f>'1_SEGUROS MONTERREY 🇲🇽'!AH12</f>
        <v>64389</v>
      </c>
      <c r="AJ9" s="43">
        <f>'1_SEGUROS MONTERREY 🇲🇽'!AI12</f>
        <v>64579</v>
      </c>
      <c r="AK9" s="43">
        <f>'1_SEGUROS MONTERREY 🇲🇽'!AJ12</f>
        <v>64769</v>
      </c>
      <c r="AL9" s="43">
        <f>'1_SEGUROS MONTERREY 🇲🇽'!AK12</f>
        <v>64960</v>
      </c>
      <c r="AM9" s="43">
        <f>'1_SEGUROS MONTERREY 🇲🇽'!AL12</f>
        <v>65151</v>
      </c>
      <c r="AN9" s="43">
        <f>'1_SEGUROS MONTERREY 🇲🇽'!AM12</f>
        <v>65343</v>
      </c>
      <c r="AO9" s="43">
        <f>'1_SEGUROS MONTERREY 🇲🇽'!AN12</f>
        <v>65536</v>
      </c>
      <c r="AP9" s="43">
        <f>'1_SEGUROS MONTERREY 🇲🇽'!AO12</f>
        <v>65729</v>
      </c>
      <c r="AQ9" s="43">
        <f>'1_SEGUROS MONTERREY 🇲🇽'!AP12</f>
        <v>65922</v>
      </c>
      <c r="AR9" s="43">
        <f>'1_SEGUROS MONTERREY 🇲🇽'!AQ12</f>
        <v>66117</v>
      </c>
      <c r="AS9" s="43">
        <f>'1_SEGUROS MONTERREY 🇲🇽'!AR12</f>
        <v>66311</v>
      </c>
      <c r="AT9" s="43">
        <f>'1_SEGUROS MONTERREY 🇲🇽'!AS12</f>
        <v>66507</v>
      </c>
      <c r="AU9" s="43">
        <f>'1_SEGUROS MONTERREY 🇲🇽'!AT12</f>
        <v>66703</v>
      </c>
      <c r="AV9" s="43">
        <f>'1_SEGUROS MONTERREY 🇲🇽'!AU12</f>
        <v>66899</v>
      </c>
      <c r="AW9" s="43">
        <f>'1_SEGUROS MONTERREY 🇲🇽'!AV12</f>
        <v>67096</v>
      </c>
      <c r="AX9" s="43">
        <f>'1_SEGUROS MONTERREY 🇲🇽'!AW12</f>
        <v>67294</v>
      </c>
      <c r="AY9" s="43">
        <f>'1_SEGUROS MONTERREY 🇲🇽'!AX12</f>
        <v>67492</v>
      </c>
      <c r="AZ9" s="43">
        <f>'1_SEGUROS MONTERREY 🇲🇽'!AY12</f>
        <v>67691</v>
      </c>
      <c r="BA9" s="43">
        <f>'1_SEGUROS MONTERREY 🇲🇽'!AZ12</f>
        <v>67890</v>
      </c>
      <c r="BB9" s="43">
        <f>'1_SEGUROS MONTERREY 🇲🇽'!BA12</f>
        <v>68090</v>
      </c>
      <c r="BC9" s="43">
        <f>'1_SEGUROS MONTERREY 🇲🇽'!BB12</f>
        <v>68291</v>
      </c>
      <c r="BD9" s="43">
        <f>'1_SEGUROS MONTERREY 🇲🇽'!BC12</f>
        <v>68492</v>
      </c>
      <c r="BE9" s="43">
        <f>'1_SEGUROS MONTERREY 🇲🇽'!BD12</f>
        <v>68694</v>
      </c>
      <c r="BF9" s="43">
        <f>'1_SEGUROS MONTERREY 🇲🇽'!BE12</f>
        <v>68896</v>
      </c>
      <c r="BG9" s="43">
        <f>'1_SEGUROS MONTERREY 🇲🇽'!BF12</f>
        <v>69099</v>
      </c>
      <c r="BH9" s="43">
        <f>'1_SEGUROS MONTERREY 🇲🇽'!BG12</f>
        <v>69303</v>
      </c>
      <c r="BI9" s="43">
        <f>'1_SEGUROS MONTERREY 🇲🇽'!BH12</f>
        <v>69507</v>
      </c>
      <c r="BJ9" s="43">
        <f>'1_SEGUROS MONTERREY 🇲🇽'!BI12</f>
        <v>69712</v>
      </c>
      <c r="BK9" s="43">
        <f>'1_SEGUROS MONTERREY 🇲🇽'!BJ12</f>
        <v>69917</v>
      </c>
      <c r="BL9" s="43">
        <f>'1_SEGUROS MONTERREY 🇲🇽'!BK12</f>
        <v>70123</v>
      </c>
      <c r="BM9" s="43">
        <f>'1_SEGUROS MONTERREY 🇲🇽'!BL12</f>
        <v>70330</v>
      </c>
      <c r="BN9" s="43">
        <f>'1_SEGUROS MONTERREY 🇲🇽'!BM12</f>
        <v>70537</v>
      </c>
      <c r="BO9" s="43">
        <f>'1_SEGUROS MONTERREY 🇲🇽'!BN12</f>
        <v>70745</v>
      </c>
      <c r="BP9" s="43">
        <f>'1_SEGUROS MONTERREY 🇲🇽'!BO12</f>
        <v>70953</v>
      </c>
      <c r="BQ9" s="43">
        <f>'1_SEGUROS MONTERREY 🇲🇽'!BP12</f>
        <v>71162</v>
      </c>
      <c r="BR9" s="43">
        <f>'1_SEGUROS MONTERREY 🇲🇽'!BQ12</f>
        <v>71372</v>
      </c>
      <c r="BS9" s="43">
        <f>'1_SEGUROS MONTERREY 🇲🇽'!BR12</f>
        <v>71582</v>
      </c>
      <c r="BT9" s="43">
        <f>'1_SEGUROS MONTERREY 🇲🇽'!BS12</f>
        <v>71793</v>
      </c>
      <c r="BU9" s="43">
        <f>'1_SEGUROS MONTERREY 🇲🇽'!BT12</f>
        <v>72004</v>
      </c>
      <c r="BV9" s="43">
        <f>'1_SEGUROS MONTERREY 🇲🇽'!BU12</f>
        <v>72217</v>
      </c>
      <c r="BW9" s="50"/>
    </row>
    <row r="10">
      <c r="A10" s="41" t="str">
        <f>'2_SEGUROS MONTERREY 🇲🇽 - Hog'!A1</f>
        <v>SEGUROS MONTERREY 🇲🇽 - Hogar</v>
      </c>
      <c r="B10" s="42"/>
      <c r="C10" s="51">
        <f>'2_SEGUROS MONTERREY 🇲🇽 - Hog'!B12</f>
        <v>0</v>
      </c>
      <c r="D10" s="51">
        <f>'2_SEGUROS MONTERREY 🇲🇽 - Hog'!C12</f>
        <v>0</v>
      </c>
      <c r="E10" s="51">
        <f>'2_SEGUROS MONTERREY 🇲🇽 - Hog'!D12</f>
        <v>0</v>
      </c>
      <c r="F10" s="51">
        <f>'2_SEGUROS MONTERREY 🇲🇽 - Hog'!E12</f>
        <v>0</v>
      </c>
      <c r="G10" s="51">
        <f>'2_SEGUROS MONTERREY 🇲🇽 - Hog'!F12</f>
        <v>0</v>
      </c>
      <c r="H10" s="51">
        <f>'2_SEGUROS MONTERREY 🇲🇽 - Hog'!G12</f>
        <v>0</v>
      </c>
      <c r="I10" s="51">
        <f>'2_SEGUROS MONTERREY 🇲🇽 - Hog'!H12</f>
        <v>0</v>
      </c>
      <c r="J10" s="51">
        <f>'2_SEGUROS MONTERREY 🇲🇽 - Hog'!I12</f>
        <v>0</v>
      </c>
      <c r="K10" s="51">
        <f>'2_SEGUROS MONTERREY 🇲🇽 - Hog'!J12</f>
        <v>0</v>
      </c>
      <c r="L10" s="51">
        <f>'2_SEGUROS MONTERREY 🇲🇽 - Hog'!K12</f>
        <v>0</v>
      </c>
      <c r="M10" s="51">
        <f>'2_SEGUROS MONTERREY 🇲🇽 - Hog'!L12</f>
        <v>0</v>
      </c>
      <c r="N10" s="51">
        <f>'2_SEGUROS MONTERREY 🇲🇽 - Hog'!M12</f>
        <v>0</v>
      </c>
      <c r="O10" s="51">
        <f>'2_SEGUROS MONTERREY 🇲🇽 - Hog'!N12</f>
        <v>25500</v>
      </c>
      <c r="P10" s="51">
        <f>'2_SEGUROS MONTERREY 🇲🇽 - Hog'!O12</f>
        <v>25575</v>
      </c>
      <c r="Q10" s="51">
        <f>'2_SEGUROS MONTERREY 🇲🇽 - Hog'!P12</f>
        <v>25650</v>
      </c>
      <c r="R10" s="51">
        <f>'2_SEGUROS MONTERREY 🇲🇽 - Hog'!Q12</f>
        <v>25726</v>
      </c>
      <c r="S10" s="51">
        <f>'2_SEGUROS MONTERREY 🇲🇽 - Hog'!R12</f>
        <v>25802</v>
      </c>
      <c r="T10" s="51">
        <f>'2_SEGUROS MONTERREY 🇲🇽 - Hog'!S12</f>
        <v>25878</v>
      </c>
      <c r="U10" s="51">
        <f>'2_SEGUROS MONTERREY 🇲🇽 - Hog'!T12</f>
        <v>25954</v>
      </c>
      <c r="V10" s="51">
        <f>'2_SEGUROS MONTERREY 🇲🇽 - Hog'!U12</f>
        <v>26031</v>
      </c>
      <c r="W10" s="51">
        <f>'2_SEGUROS MONTERREY 🇲🇽 - Hog'!V12</f>
        <v>26107</v>
      </c>
      <c r="X10" s="51">
        <f>'2_SEGUROS MONTERREY 🇲🇽 - Hog'!W12</f>
        <v>26184</v>
      </c>
      <c r="Y10" s="51">
        <f>'2_SEGUROS MONTERREY 🇲🇽 - Hog'!X12</f>
        <v>26261</v>
      </c>
      <c r="Z10" s="51">
        <f>'2_SEGUROS MONTERREY 🇲🇽 - Hog'!Y12</f>
        <v>26339</v>
      </c>
      <c r="AA10" s="51">
        <f>'2_SEGUROS MONTERREY 🇲🇽 - Hog'!Z12</f>
        <v>26416</v>
      </c>
      <c r="AB10" s="51">
        <f>'2_SEGUROS MONTERREY 🇲🇽 - Hog'!AA12</f>
        <v>26494</v>
      </c>
      <c r="AC10" s="51">
        <f>'2_SEGUROS MONTERREY 🇲🇽 - Hog'!AB12</f>
        <v>26572</v>
      </c>
      <c r="AD10" s="51">
        <f>'2_SEGUROS MONTERREY 🇲🇽 - Hog'!AC12</f>
        <v>26650</v>
      </c>
      <c r="AE10" s="51">
        <f>'2_SEGUROS MONTERREY 🇲🇽 - Hog'!AD12</f>
        <v>26729</v>
      </c>
      <c r="AF10" s="51">
        <f>'2_SEGUROS MONTERREY 🇲🇽 - Hog'!AE12</f>
        <v>26808</v>
      </c>
      <c r="AG10" s="51">
        <f>'2_SEGUROS MONTERREY 🇲🇽 - Hog'!AF12</f>
        <v>26887</v>
      </c>
      <c r="AH10" s="51">
        <f>'2_SEGUROS MONTERREY 🇲🇽 - Hog'!AG12</f>
        <v>26966</v>
      </c>
      <c r="AI10" s="51">
        <f>'2_SEGUROS MONTERREY 🇲🇽 - Hog'!AH12</f>
        <v>27045</v>
      </c>
      <c r="AJ10" s="51">
        <f>'2_SEGUROS MONTERREY 🇲🇽 - Hog'!AI12</f>
        <v>27125</v>
      </c>
      <c r="AK10" s="51">
        <f>'2_SEGUROS MONTERREY 🇲🇽 - Hog'!AJ12</f>
        <v>27205</v>
      </c>
      <c r="AL10" s="51">
        <f>'2_SEGUROS MONTERREY 🇲🇽 - Hog'!AK12</f>
        <v>27285</v>
      </c>
      <c r="AM10" s="51">
        <f>'2_SEGUROS MONTERREY 🇲🇽 - Hog'!AL12</f>
        <v>27365</v>
      </c>
      <c r="AN10" s="51">
        <f>'2_SEGUROS MONTERREY 🇲🇽 - Hog'!AM12</f>
        <v>27446</v>
      </c>
      <c r="AO10" s="51">
        <f>'2_SEGUROS MONTERREY 🇲🇽 - Hog'!AN12</f>
        <v>27527</v>
      </c>
      <c r="AP10" s="51">
        <f>'2_SEGUROS MONTERREY 🇲🇽 - Hog'!AO12</f>
        <v>27608</v>
      </c>
      <c r="AQ10" s="51">
        <f>'2_SEGUROS MONTERREY 🇲🇽 - Hog'!AP12</f>
        <v>27689</v>
      </c>
      <c r="AR10" s="51">
        <f>'2_SEGUROS MONTERREY 🇲🇽 - Hog'!AQ12</f>
        <v>27771</v>
      </c>
      <c r="AS10" s="51">
        <f>'2_SEGUROS MONTERREY 🇲🇽 - Hog'!AR12</f>
        <v>27853</v>
      </c>
      <c r="AT10" s="51">
        <f>'2_SEGUROS MONTERREY 🇲🇽 - Hog'!AS12</f>
        <v>27935</v>
      </c>
      <c r="AU10" s="51">
        <f>'2_SEGUROS MONTERREY 🇲🇽 - Hog'!AT12</f>
        <v>28017</v>
      </c>
      <c r="AV10" s="51">
        <f>'2_SEGUROS MONTERREY 🇲🇽 - Hog'!AU12</f>
        <v>28100</v>
      </c>
      <c r="AW10" s="51">
        <f>'2_SEGUROS MONTERREY 🇲🇽 - Hog'!AV12</f>
        <v>28182</v>
      </c>
      <c r="AX10" s="51">
        <f>'2_SEGUROS MONTERREY 🇲🇽 - Hog'!AW12</f>
        <v>28265</v>
      </c>
      <c r="AY10" s="51">
        <f>'2_SEGUROS MONTERREY 🇲🇽 - Hog'!AX12</f>
        <v>28349</v>
      </c>
      <c r="AZ10" s="51">
        <f>'2_SEGUROS MONTERREY 🇲🇽 - Hog'!AY12</f>
        <v>28432</v>
      </c>
      <c r="BA10" s="51">
        <f>'2_SEGUROS MONTERREY 🇲🇽 - Hog'!AZ12</f>
        <v>28516</v>
      </c>
      <c r="BB10" s="51">
        <f>'2_SEGUROS MONTERREY 🇲🇽 - Hog'!BA12</f>
        <v>28600</v>
      </c>
      <c r="BC10" s="51">
        <f>'2_SEGUROS MONTERREY 🇲🇽 - Hog'!BB12</f>
        <v>28684</v>
      </c>
      <c r="BD10" s="51">
        <f>'2_SEGUROS MONTERREY 🇲🇽 - Hog'!BC12</f>
        <v>28769</v>
      </c>
      <c r="BE10" s="51">
        <f>'2_SEGUROS MONTERREY 🇲🇽 - Hog'!BD12</f>
        <v>28853</v>
      </c>
      <c r="BF10" s="51">
        <f>'2_SEGUROS MONTERREY 🇲🇽 - Hog'!BE12</f>
        <v>28938</v>
      </c>
      <c r="BG10" s="51">
        <f>'2_SEGUROS MONTERREY 🇲🇽 - Hog'!BF12</f>
        <v>29024</v>
      </c>
      <c r="BH10" s="51">
        <f>'2_SEGUROS MONTERREY 🇲🇽 - Hog'!BG12</f>
        <v>29109</v>
      </c>
      <c r="BI10" s="51">
        <f>'2_SEGUROS MONTERREY 🇲🇽 - Hog'!BH12</f>
        <v>29195</v>
      </c>
      <c r="BJ10" s="51">
        <f>'2_SEGUROS MONTERREY 🇲🇽 - Hog'!BI12</f>
        <v>29281</v>
      </c>
      <c r="BK10" s="51">
        <f>'2_SEGUROS MONTERREY 🇲🇽 - Hog'!BJ12</f>
        <v>29367</v>
      </c>
      <c r="BL10" s="51">
        <f>'2_SEGUROS MONTERREY 🇲🇽 - Hog'!BK12</f>
        <v>29454</v>
      </c>
      <c r="BM10" s="51">
        <f>'2_SEGUROS MONTERREY 🇲🇽 - Hog'!BL12</f>
        <v>29540</v>
      </c>
      <c r="BN10" s="51">
        <f>'2_SEGUROS MONTERREY 🇲🇽 - Hog'!BM12</f>
        <v>29628</v>
      </c>
      <c r="BO10" s="51">
        <f>'2_SEGUROS MONTERREY 🇲🇽 - Hog'!BN12</f>
        <v>29715</v>
      </c>
      <c r="BP10" s="51">
        <f>'2_SEGUROS MONTERREY 🇲🇽 - Hog'!BO12</f>
        <v>29802</v>
      </c>
      <c r="BQ10" s="51">
        <f>'2_SEGUROS MONTERREY 🇲🇽 - Hog'!BP12</f>
        <v>29890</v>
      </c>
      <c r="BR10" s="51">
        <f>'2_SEGUROS MONTERREY 🇲🇽 - Hog'!BQ12</f>
        <v>29978</v>
      </c>
      <c r="BS10" s="51">
        <f>'2_SEGUROS MONTERREY 🇲🇽 - Hog'!BR12</f>
        <v>30067</v>
      </c>
      <c r="BT10" s="51">
        <f>'2_SEGUROS MONTERREY 🇲🇽 - Hog'!BS12</f>
        <v>30155</v>
      </c>
      <c r="BU10" s="51">
        <f>'2_SEGUROS MONTERREY 🇲🇽 - Hog'!BT12</f>
        <v>30244</v>
      </c>
      <c r="BV10" s="51">
        <f>'2_SEGUROS MONTERREY 🇲🇽 - Hog'!BU12</f>
        <v>30333</v>
      </c>
      <c r="BW10" s="67"/>
    </row>
    <row r="11">
      <c r="A11" s="41" t="str">
        <f>'3_CHUBB'!A1</f>
        <v>CHUBB</v>
      </c>
      <c r="B11" s="42"/>
      <c r="C11" s="51">
        <f>'3_CHUBB'!B12</f>
        <v>0</v>
      </c>
      <c r="D11" s="51">
        <f>'3_CHUBB'!C12</f>
        <v>0</v>
      </c>
      <c r="E11" s="51">
        <f>'3_CHUBB'!D12</f>
        <v>0</v>
      </c>
      <c r="F11" s="51">
        <f>'3_CHUBB'!E12</f>
        <v>0</v>
      </c>
      <c r="G11" s="51">
        <f>'3_CHUBB'!F12</f>
        <v>0</v>
      </c>
      <c r="H11" s="51">
        <f>'3_CHUBB'!G12</f>
        <v>0</v>
      </c>
      <c r="I11" s="51">
        <f>'3_CHUBB'!H12</f>
        <v>0</v>
      </c>
      <c r="J11" s="51">
        <f>'3_CHUBB'!I12</f>
        <v>0</v>
      </c>
      <c r="K11" s="51">
        <f>'3_CHUBB'!J12</f>
        <v>726000</v>
      </c>
      <c r="L11" s="51">
        <f>'3_CHUBB'!K12</f>
        <v>729569</v>
      </c>
      <c r="M11" s="51">
        <f>'3_CHUBB'!L12</f>
        <v>733156</v>
      </c>
      <c r="N11" s="51">
        <f>'3_CHUBB'!M12</f>
        <v>736760</v>
      </c>
      <c r="O11" s="51">
        <f>'3_CHUBB'!N12</f>
        <v>740382</v>
      </c>
      <c r="P11" s="51">
        <f>'3_CHUBB'!O12</f>
        <v>744021</v>
      </c>
      <c r="Q11" s="51">
        <f>'3_CHUBB'!P12</f>
        <v>747679</v>
      </c>
      <c r="R11" s="51">
        <f>'3_CHUBB'!Q12</f>
        <v>751355</v>
      </c>
      <c r="S11" s="51">
        <f>'3_CHUBB'!R12</f>
        <v>755048</v>
      </c>
      <c r="T11" s="51">
        <f>'3_CHUBB'!S12</f>
        <v>758760</v>
      </c>
      <c r="U11" s="51">
        <f>'3_CHUBB'!T12</f>
        <v>762490</v>
      </c>
      <c r="V11" s="51">
        <f>'3_CHUBB'!U12</f>
        <v>766239</v>
      </c>
      <c r="W11" s="51">
        <f>'3_CHUBB'!V12</f>
        <v>770005</v>
      </c>
      <c r="X11" s="51">
        <f>'3_CHUBB'!W12</f>
        <v>773791</v>
      </c>
      <c r="Y11" s="51">
        <f>'3_CHUBB'!X12</f>
        <v>777595</v>
      </c>
      <c r="Z11" s="51">
        <f>'3_CHUBB'!Y12</f>
        <v>781417</v>
      </c>
      <c r="AA11" s="51">
        <f>'3_CHUBB'!Z12</f>
        <v>785259</v>
      </c>
      <c r="AB11" s="51">
        <f>'3_CHUBB'!AA12</f>
        <v>789119</v>
      </c>
      <c r="AC11" s="51">
        <f>'3_CHUBB'!AB12</f>
        <v>792998</v>
      </c>
      <c r="AD11" s="51">
        <f>'3_CHUBB'!AC12</f>
        <v>796897</v>
      </c>
      <c r="AE11" s="51">
        <f>'3_CHUBB'!AD12</f>
        <v>800814</v>
      </c>
      <c r="AF11" s="51">
        <f>'3_CHUBB'!AE12</f>
        <v>804751</v>
      </c>
      <c r="AG11" s="51">
        <f>'3_CHUBB'!AF12</f>
        <v>808707</v>
      </c>
      <c r="AH11" s="51">
        <f>'3_CHUBB'!AG12</f>
        <v>812683</v>
      </c>
      <c r="AI11" s="51">
        <f>'3_CHUBB'!AH12</f>
        <v>816678</v>
      </c>
      <c r="AJ11" s="51">
        <f>'3_CHUBB'!AI12</f>
        <v>820693</v>
      </c>
      <c r="AK11" s="51">
        <f>'3_CHUBB'!AJ12</f>
        <v>824727</v>
      </c>
      <c r="AL11" s="51">
        <f>'3_CHUBB'!AK12</f>
        <v>828782</v>
      </c>
      <c r="AM11" s="51">
        <f>'3_CHUBB'!AL12</f>
        <v>832856</v>
      </c>
      <c r="AN11" s="51">
        <f>'3_CHUBB'!AM12</f>
        <v>836950</v>
      </c>
      <c r="AO11" s="51">
        <f>'3_CHUBB'!AN12</f>
        <v>841065</v>
      </c>
      <c r="AP11" s="51">
        <f>'3_CHUBB'!AO12</f>
        <v>845199</v>
      </c>
      <c r="AQ11" s="51">
        <f>'3_CHUBB'!AP12</f>
        <v>849354</v>
      </c>
      <c r="AR11" s="51">
        <f>'3_CHUBB'!AQ12</f>
        <v>853530</v>
      </c>
      <c r="AS11" s="51">
        <f>'3_CHUBB'!AR12</f>
        <v>857726</v>
      </c>
      <c r="AT11" s="51">
        <f>'3_CHUBB'!AS12</f>
        <v>861942</v>
      </c>
      <c r="AU11" s="51">
        <f>'3_CHUBB'!AT12</f>
        <v>866180</v>
      </c>
      <c r="AV11" s="51">
        <f>'3_CHUBB'!AU12</f>
        <v>870438</v>
      </c>
      <c r="AW11" s="51">
        <f>'3_CHUBB'!AV12</f>
        <v>874717</v>
      </c>
      <c r="AX11" s="51">
        <f>'3_CHUBB'!AW12</f>
        <v>879017</v>
      </c>
      <c r="AY11" s="51">
        <f>'3_CHUBB'!AX12</f>
        <v>883338</v>
      </c>
      <c r="AZ11" s="51">
        <f>'3_CHUBB'!AY12</f>
        <v>887681</v>
      </c>
      <c r="BA11" s="51">
        <f>'3_CHUBB'!AZ12</f>
        <v>892045</v>
      </c>
      <c r="BB11" s="51">
        <f>'3_CHUBB'!BA12</f>
        <v>896430</v>
      </c>
      <c r="BC11" s="51">
        <f>'3_CHUBB'!BB12</f>
        <v>900837</v>
      </c>
      <c r="BD11" s="51">
        <f>'3_CHUBB'!BC12</f>
        <v>905265</v>
      </c>
      <c r="BE11" s="51">
        <f>'3_CHUBB'!BD12</f>
        <v>909716</v>
      </c>
      <c r="BF11" s="51">
        <f>'3_CHUBB'!BE12</f>
        <v>914188</v>
      </c>
      <c r="BG11" s="51">
        <f>'3_CHUBB'!BF12</f>
        <v>918682</v>
      </c>
      <c r="BH11" s="51">
        <f>'3_CHUBB'!BG12</f>
        <v>923198</v>
      </c>
      <c r="BI11" s="51">
        <f>'3_CHUBB'!BH12</f>
        <v>927737</v>
      </c>
      <c r="BJ11" s="51">
        <f>'3_CHUBB'!BI12</f>
        <v>932297</v>
      </c>
      <c r="BK11" s="51">
        <f>'3_CHUBB'!BJ12</f>
        <v>936880</v>
      </c>
      <c r="BL11" s="51">
        <f>'3_CHUBB'!BK12</f>
        <v>941486</v>
      </c>
      <c r="BM11" s="51">
        <f>'3_CHUBB'!BL12</f>
        <v>946115</v>
      </c>
      <c r="BN11" s="51">
        <f>'3_CHUBB'!BM12</f>
        <v>950766</v>
      </c>
      <c r="BO11" s="51">
        <f>'3_CHUBB'!BN12</f>
        <v>955440</v>
      </c>
      <c r="BP11" s="51">
        <f>'3_CHUBB'!BO12</f>
        <v>960137</v>
      </c>
      <c r="BQ11" s="51">
        <f>'3_CHUBB'!BP12</f>
        <v>964857</v>
      </c>
      <c r="BR11" s="51">
        <f>'3_CHUBB'!BQ12</f>
        <v>969600</v>
      </c>
      <c r="BS11" s="51">
        <f>'3_CHUBB'!BR12</f>
        <v>974366</v>
      </c>
      <c r="BT11" s="51">
        <f>'3_CHUBB'!BS12</f>
        <v>979156</v>
      </c>
      <c r="BU11" s="51">
        <f>'3_CHUBB'!BT12</f>
        <v>983970</v>
      </c>
      <c r="BV11" s="51">
        <f>'3_CHUBB'!BU12</f>
        <v>988807</v>
      </c>
      <c r="BW11" s="67"/>
    </row>
    <row r="12">
      <c r="A12" s="41" t="str">
        <f>'4_CHUBB - Hogar Singapur'!A1</f>
        <v>CHUBB - Hogar Singapur</v>
      </c>
      <c r="B12" s="42"/>
      <c r="C12" s="51">
        <f>'4_CHUBB - Hogar Singapur'!B12</f>
        <v>0</v>
      </c>
      <c r="D12" s="51">
        <f>'4_CHUBB - Hogar Singapur'!C12</f>
        <v>0</v>
      </c>
      <c r="E12" s="51">
        <f>'4_CHUBB - Hogar Singapur'!D12</f>
        <v>0</v>
      </c>
      <c r="F12" s="51">
        <f>'4_CHUBB - Hogar Singapur'!E12</f>
        <v>0</v>
      </c>
      <c r="G12" s="51">
        <f>'4_CHUBB - Hogar Singapur'!F12</f>
        <v>0</v>
      </c>
      <c r="H12" s="51">
        <f>'4_CHUBB - Hogar Singapur'!G12</f>
        <v>0</v>
      </c>
      <c r="I12" s="51">
        <f>'4_CHUBB - Hogar Singapur'!H12</f>
        <v>0</v>
      </c>
      <c r="J12" s="51">
        <f>'4_CHUBB - Hogar Singapur'!I12</f>
        <v>21000</v>
      </c>
      <c r="K12" s="51">
        <f>'4_CHUBB - Hogar Singapur'!J12</f>
        <v>21041</v>
      </c>
      <c r="L12" s="51">
        <f>'4_CHUBB - Hogar Singapur'!K12</f>
        <v>21082</v>
      </c>
      <c r="M12" s="51">
        <f>'4_CHUBB - Hogar Singapur'!L12</f>
        <v>21123</v>
      </c>
      <c r="N12" s="51">
        <f>'4_CHUBB - Hogar Singapur'!M12</f>
        <v>21164</v>
      </c>
      <c r="O12" s="51">
        <f>'4_CHUBB - Hogar Singapur'!N12</f>
        <v>21206</v>
      </c>
      <c r="P12" s="51">
        <f>'4_CHUBB - Hogar Singapur'!O12</f>
        <v>21247</v>
      </c>
      <c r="Q12" s="51">
        <f>'4_CHUBB - Hogar Singapur'!P12</f>
        <v>21289</v>
      </c>
      <c r="R12" s="51">
        <f>'4_CHUBB - Hogar Singapur'!Q12</f>
        <v>21330</v>
      </c>
      <c r="S12" s="51">
        <f>'4_CHUBB - Hogar Singapur'!R12</f>
        <v>21372</v>
      </c>
      <c r="T12" s="51">
        <f>'4_CHUBB - Hogar Singapur'!S12</f>
        <v>21414</v>
      </c>
      <c r="U12" s="51">
        <f>'4_CHUBB - Hogar Singapur'!T12</f>
        <v>21455</v>
      </c>
      <c r="V12" s="51">
        <f>'4_CHUBB - Hogar Singapur'!U12</f>
        <v>21497</v>
      </c>
      <c r="W12" s="51">
        <f>'4_CHUBB - Hogar Singapur'!V12</f>
        <v>21539</v>
      </c>
      <c r="X12" s="51">
        <f>'4_CHUBB - Hogar Singapur'!W12</f>
        <v>21581</v>
      </c>
      <c r="Y12" s="51">
        <f>'4_CHUBB - Hogar Singapur'!X12</f>
        <v>21623</v>
      </c>
      <c r="Z12" s="51">
        <f>'4_CHUBB - Hogar Singapur'!Y12</f>
        <v>21666</v>
      </c>
      <c r="AA12" s="51">
        <f>'4_CHUBB - Hogar Singapur'!Z12</f>
        <v>21708</v>
      </c>
      <c r="AB12" s="51">
        <f>'4_CHUBB - Hogar Singapur'!AA12</f>
        <v>21750</v>
      </c>
      <c r="AC12" s="51">
        <f>'4_CHUBB - Hogar Singapur'!AB12</f>
        <v>21793</v>
      </c>
      <c r="AD12" s="51">
        <f>'4_CHUBB - Hogar Singapur'!AC12</f>
        <v>21835</v>
      </c>
      <c r="AE12" s="51">
        <f>'4_CHUBB - Hogar Singapur'!AD12</f>
        <v>21878</v>
      </c>
      <c r="AF12" s="51">
        <f>'4_CHUBB - Hogar Singapur'!AE12</f>
        <v>21921</v>
      </c>
      <c r="AG12" s="51">
        <f>'4_CHUBB - Hogar Singapur'!AF12</f>
        <v>21963</v>
      </c>
      <c r="AH12" s="51">
        <f>'4_CHUBB - Hogar Singapur'!AG12</f>
        <v>22006</v>
      </c>
      <c r="AI12" s="51">
        <f>'4_CHUBB - Hogar Singapur'!AH12</f>
        <v>22049</v>
      </c>
      <c r="AJ12" s="51">
        <f>'4_CHUBB - Hogar Singapur'!AI12</f>
        <v>22092</v>
      </c>
      <c r="AK12" s="51">
        <f>'4_CHUBB - Hogar Singapur'!AJ12</f>
        <v>22135</v>
      </c>
      <c r="AL12" s="51">
        <f>'4_CHUBB - Hogar Singapur'!AK12</f>
        <v>22179</v>
      </c>
      <c r="AM12" s="51">
        <f>'4_CHUBB - Hogar Singapur'!AL12</f>
        <v>22222</v>
      </c>
      <c r="AN12" s="51">
        <f>'4_CHUBB - Hogar Singapur'!AM12</f>
        <v>22265</v>
      </c>
      <c r="AO12" s="51">
        <f>'4_CHUBB - Hogar Singapur'!AN12</f>
        <v>22309</v>
      </c>
      <c r="AP12" s="51">
        <f>'4_CHUBB - Hogar Singapur'!AO12</f>
        <v>22352</v>
      </c>
      <c r="AQ12" s="51">
        <f>'4_CHUBB - Hogar Singapur'!AP12</f>
        <v>22396</v>
      </c>
      <c r="AR12" s="51">
        <f>'4_CHUBB - Hogar Singapur'!AQ12</f>
        <v>22440</v>
      </c>
      <c r="AS12" s="51">
        <f>'4_CHUBB - Hogar Singapur'!AR12</f>
        <v>22483</v>
      </c>
      <c r="AT12" s="51">
        <f>'4_CHUBB - Hogar Singapur'!AS12</f>
        <v>22527</v>
      </c>
      <c r="AU12" s="51">
        <f>'4_CHUBB - Hogar Singapur'!AT12</f>
        <v>22571</v>
      </c>
      <c r="AV12" s="51">
        <f>'4_CHUBB - Hogar Singapur'!AU12</f>
        <v>22615</v>
      </c>
      <c r="AW12" s="51">
        <f>'4_CHUBB - Hogar Singapur'!AV12</f>
        <v>22659</v>
      </c>
      <c r="AX12" s="51">
        <f>'4_CHUBB - Hogar Singapur'!AW12</f>
        <v>22704</v>
      </c>
      <c r="AY12" s="51">
        <f>'4_CHUBB - Hogar Singapur'!AX12</f>
        <v>22748</v>
      </c>
      <c r="AZ12" s="51">
        <f>'4_CHUBB - Hogar Singapur'!AY12</f>
        <v>22792</v>
      </c>
      <c r="BA12" s="51">
        <f>'4_CHUBB - Hogar Singapur'!AZ12</f>
        <v>22837</v>
      </c>
      <c r="BB12" s="51">
        <f>'4_CHUBB - Hogar Singapur'!BA12</f>
        <v>22881</v>
      </c>
      <c r="BC12" s="51">
        <f>'4_CHUBB - Hogar Singapur'!BB12</f>
        <v>22926</v>
      </c>
      <c r="BD12" s="51">
        <f>'4_CHUBB - Hogar Singapur'!BC12</f>
        <v>22971</v>
      </c>
      <c r="BE12" s="51">
        <f>'4_CHUBB - Hogar Singapur'!BD12</f>
        <v>23016</v>
      </c>
      <c r="BF12" s="51">
        <f>'4_CHUBB - Hogar Singapur'!BE12</f>
        <v>23061</v>
      </c>
      <c r="BG12" s="51">
        <f>'4_CHUBB - Hogar Singapur'!BF12</f>
        <v>23106</v>
      </c>
      <c r="BH12" s="51">
        <f>'4_CHUBB - Hogar Singapur'!BG12</f>
        <v>23151</v>
      </c>
      <c r="BI12" s="51">
        <f>'4_CHUBB - Hogar Singapur'!BH12</f>
        <v>23196</v>
      </c>
      <c r="BJ12" s="51">
        <f>'4_CHUBB - Hogar Singapur'!BI12</f>
        <v>23241</v>
      </c>
      <c r="BK12" s="51">
        <f>'4_CHUBB - Hogar Singapur'!BJ12</f>
        <v>23287</v>
      </c>
      <c r="BL12" s="51">
        <f>'4_CHUBB - Hogar Singapur'!BK12</f>
        <v>23332</v>
      </c>
      <c r="BM12" s="51">
        <f>'4_CHUBB - Hogar Singapur'!BL12</f>
        <v>23378</v>
      </c>
      <c r="BN12" s="51">
        <f>'4_CHUBB - Hogar Singapur'!BM12</f>
        <v>23423</v>
      </c>
      <c r="BO12" s="51">
        <f>'4_CHUBB - Hogar Singapur'!BN12</f>
        <v>23469</v>
      </c>
      <c r="BP12" s="51">
        <f>'4_CHUBB - Hogar Singapur'!BO12</f>
        <v>23515</v>
      </c>
      <c r="BQ12" s="51">
        <f>'4_CHUBB - Hogar Singapur'!BP12</f>
        <v>23561</v>
      </c>
      <c r="BR12" s="51">
        <f>'4_CHUBB - Hogar Singapur'!BQ12</f>
        <v>23607</v>
      </c>
      <c r="BS12" s="51">
        <f>'4_CHUBB - Hogar Singapur'!BR12</f>
        <v>23653</v>
      </c>
      <c r="BT12" s="51">
        <f>'4_CHUBB - Hogar Singapur'!BS12</f>
        <v>23699</v>
      </c>
      <c r="BU12" s="51">
        <f>'4_CHUBB - Hogar Singapur'!BT12</f>
        <v>23745</v>
      </c>
      <c r="BV12" s="51">
        <f>'4_CHUBB - Hogar Singapur'!BU12</f>
        <v>23792</v>
      </c>
      <c r="BW12" s="67"/>
    </row>
    <row r="13">
      <c r="A13" s="41" t="str">
        <f>'5_CHUBB · Hogar Perú'!A1</f>
        <v>Actor: CHUBB · Hogar Perú</v>
      </c>
      <c r="B13" s="42"/>
      <c r="C13" s="51">
        <f>'5_CHUBB · Hogar Perú'!B12</f>
        <v>0</v>
      </c>
      <c r="D13" s="51">
        <f>'5_CHUBB · Hogar Perú'!C12</f>
        <v>0</v>
      </c>
      <c r="E13" s="51">
        <f>'5_CHUBB · Hogar Perú'!D12</f>
        <v>0</v>
      </c>
      <c r="F13" s="51">
        <f>'5_CHUBB · Hogar Perú'!E12</f>
        <v>0</v>
      </c>
      <c r="G13" s="51">
        <f>'5_CHUBB · Hogar Perú'!F12</f>
        <v>0</v>
      </c>
      <c r="H13" s="51">
        <f>'5_CHUBB · Hogar Perú'!G12</f>
        <v>0</v>
      </c>
      <c r="I13" s="51">
        <f>'5_CHUBB · Hogar Perú'!H12</f>
        <v>6750</v>
      </c>
      <c r="J13" s="51">
        <f>'5_CHUBB · Hogar Perú'!I12</f>
        <v>6763</v>
      </c>
      <c r="K13" s="51">
        <f>'5_CHUBB · Hogar Perú'!J12</f>
        <v>6776</v>
      </c>
      <c r="L13" s="51">
        <f>'5_CHUBB · Hogar Perú'!K12</f>
        <v>6790</v>
      </c>
      <c r="M13" s="51">
        <f>'5_CHUBB · Hogar Perú'!L12</f>
        <v>6803</v>
      </c>
      <c r="N13" s="51">
        <f>'5_CHUBB · Hogar Perú'!M12</f>
        <v>6816</v>
      </c>
      <c r="O13" s="51">
        <f>'5_CHUBB · Hogar Perú'!N12</f>
        <v>6829</v>
      </c>
      <c r="P13" s="51">
        <f>'5_CHUBB · Hogar Perú'!O12</f>
        <v>6843</v>
      </c>
      <c r="Q13" s="51">
        <f>'5_CHUBB · Hogar Perú'!P12</f>
        <v>6856</v>
      </c>
      <c r="R13" s="51">
        <f>'5_CHUBB · Hogar Perú'!Q12</f>
        <v>6870</v>
      </c>
      <c r="S13" s="51">
        <f>'5_CHUBB · Hogar Perú'!R12</f>
        <v>6883</v>
      </c>
      <c r="T13" s="51">
        <f>'5_CHUBB · Hogar Perú'!S12</f>
        <v>6896</v>
      </c>
      <c r="U13" s="51">
        <f>'5_CHUBB · Hogar Perú'!T12</f>
        <v>6910</v>
      </c>
      <c r="V13" s="51">
        <f>'5_CHUBB · Hogar Perú'!U12</f>
        <v>6923</v>
      </c>
      <c r="W13" s="51">
        <f>'5_CHUBB · Hogar Perú'!V12</f>
        <v>6937</v>
      </c>
      <c r="X13" s="51">
        <f>'5_CHUBB · Hogar Perú'!W12</f>
        <v>6950</v>
      </c>
      <c r="Y13" s="51">
        <f>'5_CHUBB · Hogar Perú'!X12</f>
        <v>6964</v>
      </c>
      <c r="Z13" s="51">
        <f>'5_CHUBB · Hogar Perú'!Y12</f>
        <v>6978</v>
      </c>
      <c r="AA13" s="51">
        <f>'5_CHUBB · Hogar Perú'!Z12</f>
        <v>6991</v>
      </c>
      <c r="AB13" s="51">
        <f>'5_CHUBB · Hogar Perú'!AA12</f>
        <v>7005</v>
      </c>
      <c r="AC13" s="51">
        <f>'5_CHUBB · Hogar Perú'!AB12</f>
        <v>7018</v>
      </c>
      <c r="AD13" s="51">
        <f>'5_CHUBB · Hogar Perú'!AC12</f>
        <v>7032</v>
      </c>
      <c r="AE13" s="51">
        <f>'5_CHUBB · Hogar Perú'!AD12</f>
        <v>7046</v>
      </c>
      <c r="AF13" s="51">
        <f>'5_CHUBB · Hogar Perú'!AE12</f>
        <v>7060</v>
      </c>
      <c r="AG13" s="51">
        <f>'5_CHUBB · Hogar Perú'!AF12</f>
        <v>7073</v>
      </c>
      <c r="AH13" s="51">
        <f>'5_CHUBB · Hogar Perú'!AG12</f>
        <v>7087</v>
      </c>
      <c r="AI13" s="51">
        <f>'5_CHUBB · Hogar Perú'!AH12</f>
        <v>7101</v>
      </c>
      <c r="AJ13" s="51">
        <f>'5_CHUBB · Hogar Perú'!AI12</f>
        <v>7115</v>
      </c>
      <c r="AK13" s="51">
        <f>'5_CHUBB · Hogar Perú'!AJ12</f>
        <v>7129</v>
      </c>
      <c r="AL13" s="51">
        <f>'5_CHUBB · Hogar Perú'!AK12</f>
        <v>7143</v>
      </c>
      <c r="AM13" s="51">
        <f>'5_CHUBB · Hogar Perú'!AL12</f>
        <v>7157</v>
      </c>
      <c r="AN13" s="51">
        <f>'5_CHUBB · Hogar Perú'!AM12</f>
        <v>7171</v>
      </c>
      <c r="AO13" s="51">
        <f>'5_CHUBB · Hogar Perú'!AN12</f>
        <v>7185</v>
      </c>
      <c r="AP13" s="51">
        <f>'5_CHUBB · Hogar Perú'!AO12</f>
        <v>7199</v>
      </c>
      <c r="AQ13" s="51">
        <f>'5_CHUBB · Hogar Perú'!AP12</f>
        <v>7213</v>
      </c>
      <c r="AR13" s="51">
        <f>'5_CHUBB · Hogar Perú'!AQ12</f>
        <v>7227</v>
      </c>
      <c r="AS13" s="51">
        <f>'5_CHUBB · Hogar Perú'!AR12</f>
        <v>7241</v>
      </c>
      <c r="AT13" s="51">
        <f>'5_CHUBB · Hogar Perú'!AS12</f>
        <v>7255</v>
      </c>
      <c r="AU13" s="51">
        <f>'5_CHUBB · Hogar Perú'!AT12</f>
        <v>7269</v>
      </c>
      <c r="AV13" s="51">
        <f>'5_CHUBB · Hogar Perú'!AU12</f>
        <v>7283</v>
      </c>
      <c r="AW13" s="51">
        <f>'5_CHUBB · Hogar Perú'!AV12</f>
        <v>7298</v>
      </c>
      <c r="AX13" s="51">
        <f>'5_CHUBB · Hogar Perú'!AW12</f>
        <v>7312</v>
      </c>
      <c r="AY13" s="51">
        <f>'5_CHUBB · Hogar Perú'!AX12</f>
        <v>7326</v>
      </c>
      <c r="AZ13" s="51">
        <f>'5_CHUBB · Hogar Perú'!AY12</f>
        <v>7340</v>
      </c>
      <c r="BA13" s="51">
        <f>'5_CHUBB · Hogar Perú'!AZ12</f>
        <v>7355</v>
      </c>
      <c r="BB13" s="51">
        <f>'5_CHUBB · Hogar Perú'!BA12</f>
        <v>7369</v>
      </c>
      <c r="BC13" s="51">
        <f>'5_CHUBB · Hogar Perú'!BB12</f>
        <v>7383</v>
      </c>
      <c r="BD13" s="51">
        <f>'5_CHUBB · Hogar Perú'!BC12</f>
        <v>7398</v>
      </c>
      <c r="BE13" s="51">
        <f>'5_CHUBB · Hogar Perú'!BD12</f>
        <v>7412</v>
      </c>
      <c r="BF13" s="51">
        <f>'5_CHUBB · Hogar Perú'!BE12</f>
        <v>7427</v>
      </c>
      <c r="BG13" s="51">
        <f>'5_CHUBB · Hogar Perú'!BF12</f>
        <v>7441</v>
      </c>
      <c r="BH13" s="51">
        <f>'5_CHUBB · Hogar Perú'!BG12</f>
        <v>7456</v>
      </c>
      <c r="BI13" s="51">
        <f>'5_CHUBB · Hogar Perú'!BH12</f>
        <v>7470</v>
      </c>
      <c r="BJ13" s="51">
        <f>'5_CHUBB · Hogar Perú'!BI12</f>
        <v>7485</v>
      </c>
      <c r="BK13" s="51">
        <f>'5_CHUBB · Hogar Perú'!BJ12</f>
        <v>7500</v>
      </c>
      <c r="BL13" s="51">
        <f>'5_CHUBB · Hogar Perú'!BK12</f>
        <v>7514</v>
      </c>
      <c r="BM13" s="51">
        <f>'5_CHUBB · Hogar Perú'!BL12</f>
        <v>7529</v>
      </c>
      <c r="BN13" s="51">
        <f>'5_CHUBB · Hogar Perú'!BM12</f>
        <v>7544</v>
      </c>
      <c r="BO13" s="51">
        <f>'5_CHUBB · Hogar Perú'!BN12</f>
        <v>7558</v>
      </c>
      <c r="BP13" s="51">
        <f>'5_CHUBB · Hogar Perú'!BO12</f>
        <v>7573</v>
      </c>
      <c r="BQ13" s="51">
        <f>'5_CHUBB · Hogar Perú'!BP12</f>
        <v>7588</v>
      </c>
      <c r="BR13" s="51">
        <f>'5_CHUBB · Hogar Perú'!BQ12</f>
        <v>7603</v>
      </c>
      <c r="BS13" s="51">
        <f>'5_CHUBB · Hogar Perú'!BR12</f>
        <v>7618</v>
      </c>
      <c r="BT13" s="51">
        <f>'5_CHUBB · Hogar Perú'!BS12</f>
        <v>7632</v>
      </c>
      <c r="BU13" s="51">
        <f>'5_CHUBB · Hogar Perú'!BT12</f>
        <v>7647</v>
      </c>
      <c r="BV13" s="51">
        <f>'5_CHUBB · Hogar Perú'!BU12</f>
        <v>7662</v>
      </c>
      <c r="BW13" s="67"/>
    </row>
    <row r="14">
      <c r="A14" s="41" t="str">
        <f>'6_CHUBB · Salud Chile'!A1</f>
        <v>Actor: CHUBB · Salud Chile</v>
      </c>
      <c r="B14" s="42"/>
      <c r="C14" s="51">
        <f>'6_CHUBB · Salud Chile'!B12</f>
        <v>0</v>
      </c>
      <c r="D14" s="51">
        <f>'6_CHUBB · Salud Chile'!C12</f>
        <v>0</v>
      </c>
      <c r="E14" s="51">
        <f>'6_CHUBB · Salud Chile'!D12</f>
        <v>0</v>
      </c>
      <c r="F14" s="51">
        <f>'6_CHUBB · Salud Chile'!E12</f>
        <v>0</v>
      </c>
      <c r="G14" s="51">
        <f>'6_CHUBB · Salud Chile'!F12</f>
        <v>0</v>
      </c>
      <c r="H14" s="51">
        <f>'6_CHUBB · Salud Chile'!G12</f>
        <v>0</v>
      </c>
      <c r="I14" s="51">
        <f>'6_CHUBB · Salud Chile'!H12</f>
        <v>0</v>
      </c>
      <c r="J14" s="51">
        <f>'6_CHUBB · Salud Chile'!I12</f>
        <v>0</v>
      </c>
      <c r="K14" s="51">
        <f>'6_CHUBB · Salud Chile'!J12</f>
        <v>22000</v>
      </c>
      <c r="L14" s="51">
        <f>'6_CHUBB · Salud Chile'!K12</f>
        <v>22043</v>
      </c>
      <c r="M14" s="51">
        <f>'6_CHUBB · Salud Chile'!L12</f>
        <v>22086</v>
      </c>
      <c r="N14" s="51">
        <f>'6_CHUBB · Salud Chile'!M12</f>
        <v>22129</v>
      </c>
      <c r="O14" s="51">
        <f>'6_CHUBB · Salud Chile'!N12</f>
        <v>22172</v>
      </c>
      <c r="P14" s="51">
        <f>'6_CHUBB · Salud Chile'!O12</f>
        <v>22216</v>
      </c>
      <c r="Q14" s="51">
        <f>'6_CHUBB · Salud Chile'!P12</f>
        <v>22259</v>
      </c>
      <c r="R14" s="51">
        <f>'6_CHUBB · Salud Chile'!Q12</f>
        <v>22302</v>
      </c>
      <c r="S14" s="51">
        <f>'6_CHUBB · Salud Chile'!R12</f>
        <v>22346</v>
      </c>
      <c r="T14" s="51">
        <f>'6_CHUBB · Salud Chile'!S12</f>
        <v>22390</v>
      </c>
      <c r="U14" s="51">
        <f>'6_CHUBB · Salud Chile'!T12</f>
        <v>22433</v>
      </c>
      <c r="V14" s="51">
        <f>'6_CHUBB · Salud Chile'!U12</f>
        <v>22477</v>
      </c>
      <c r="W14" s="51">
        <f>'6_CHUBB · Salud Chile'!V12</f>
        <v>22521</v>
      </c>
      <c r="X14" s="51">
        <f>'6_CHUBB · Salud Chile'!W12</f>
        <v>22565</v>
      </c>
      <c r="Y14" s="51">
        <f>'6_CHUBB · Salud Chile'!X12</f>
        <v>22609</v>
      </c>
      <c r="Z14" s="51">
        <f>'6_CHUBB · Salud Chile'!Y12</f>
        <v>22653</v>
      </c>
      <c r="AA14" s="51">
        <f>'6_CHUBB · Salud Chile'!Z12</f>
        <v>22697</v>
      </c>
      <c r="AB14" s="51">
        <f>'6_CHUBB · Salud Chile'!AA12</f>
        <v>22742</v>
      </c>
      <c r="AC14" s="51">
        <f>'6_CHUBB · Salud Chile'!AB12</f>
        <v>22786</v>
      </c>
      <c r="AD14" s="51">
        <f>'6_CHUBB · Salud Chile'!AC12</f>
        <v>22830</v>
      </c>
      <c r="AE14" s="51">
        <f>'6_CHUBB · Salud Chile'!AD12</f>
        <v>22875</v>
      </c>
      <c r="AF14" s="51">
        <f>'6_CHUBB · Salud Chile'!AE12</f>
        <v>22920</v>
      </c>
      <c r="AG14" s="51">
        <f>'6_CHUBB · Salud Chile'!AF12</f>
        <v>22964</v>
      </c>
      <c r="AH14" s="51">
        <f>'6_CHUBB · Salud Chile'!AG12</f>
        <v>23009</v>
      </c>
      <c r="AI14" s="51">
        <f>'6_CHUBB · Salud Chile'!AH12</f>
        <v>23054</v>
      </c>
      <c r="AJ14" s="51">
        <f>'6_CHUBB · Salud Chile'!AI12</f>
        <v>23099</v>
      </c>
      <c r="AK14" s="51">
        <f>'6_CHUBB · Salud Chile'!AJ12</f>
        <v>23144</v>
      </c>
      <c r="AL14" s="51">
        <f>'6_CHUBB · Salud Chile'!AK12</f>
        <v>23189</v>
      </c>
      <c r="AM14" s="51">
        <f>'6_CHUBB · Salud Chile'!AL12</f>
        <v>23235</v>
      </c>
      <c r="AN14" s="51">
        <f>'6_CHUBB · Salud Chile'!AM12</f>
        <v>23280</v>
      </c>
      <c r="AO14" s="51">
        <f>'6_CHUBB · Salud Chile'!AN12</f>
        <v>23325</v>
      </c>
      <c r="AP14" s="51">
        <f>'6_CHUBB · Salud Chile'!AO12</f>
        <v>23371</v>
      </c>
      <c r="AQ14" s="51">
        <f>'6_CHUBB · Salud Chile'!AP12</f>
        <v>23417</v>
      </c>
      <c r="AR14" s="51">
        <f>'6_CHUBB · Salud Chile'!AQ12</f>
        <v>23462</v>
      </c>
      <c r="AS14" s="51">
        <f>'6_CHUBB · Salud Chile'!AR12</f>
        <v>23508</v>
      </c>
      <c r="AT14" s="51">
        <f>'6_CHUBB · Salud Chile'!AS12</f>
        <v>23554</v>
      </c>
      <c r="AU14" s="51">
        <f>'6_CHUBB · Salud Chile'!AT12</f>
        <v>23600</v>
      </c>
      <c r="AV14" s="51">
        <f>'6_CHUBB · Salud Chile'!AU12</f>
        <v>23646</v>
      </c>
      <c r="AW14" s="51">
        <f>'6_CHUBB · Salud Chile'!AV12</f>
        <v>23692</v>
      </c>
      <c r="AX14" s="51">
        <f>'6_CHUBB · Salud Chile'!AW12</f>
        <v>23738</v>
      </c>
      <c r="AY14" s="51">
        <f>'6_CHUBB · Salud Chile'!AX12</f>
        <v>23785</v>
      </c>
      <c r="AZ14" s="51">
        <f>'6_CHUBB · Salud Chile'!AY12</f>
        <v>23831</v>
      </c>
      <c r="BA14" s="51">
        <f>'6_CHUBB · Salud Chile'!AZ12</f>
        <v>23878</v>
      </c>
      <c r="BB14" s="51">
        <f>'6_CHUBB · Salud Chile'!BA12</f>
        <v>23924</v>
      </c>
      <c r="BC14" s="51">
        <f>'6_CHUBB · Salud Chile'!BB12</f>
        <v>23971</v>
      </c>
      <c r="BD14" s="51">
        <f>'6_CHUBB · Salud Chile'!BC12</f>
        <v>24018</v>
      </c>
      <c r="BE14" s="51">
        <f>'6_CHUBB · Salud Chile'!BD12</f>
        <v>24065</v>
      </c>
      <c r="BF14" s="51">
        <f>'6_CHUBB · Salud Chile'!BE12</f>
        <v>24112</v>
      </c>
      <c r="BG14" s="51">
        <f>'6_CHUBB · Salud Chile'!BF12</f>
        <v>24159</v>
      </c>
      <c r="BH14" s="51">
        <f>'6_CHUBB · Salud Chile'!BG12</f>
        <v>24206</v>
      </c>
      <c r="BI14" s="51">
        <f>'6_CHUBB · Salud Chile'!BH12</f>
        <v>24253</v>
      </c>
      <c r="BJ14" s="51">
        <f>'6_CHUBB · Salud Chile'!BI12</f>
        <v>24301</v>
      </c>
      <c r="BK14" s="51">
        <f>'6_CHUBB · Salud Chile'!BJ12</f>
        <v>24348</v>
      </c>
      <c r="BL14" s="51">
        <f>'6_CHUBB · Salud Chile'!BK12</f>
        <v>24395</v>
      </c>
      <c r="BM14" s="51">
        <f>'6_CHUBB · Salud Chile'!BL12</f>
        <v>24443</v>
      </c>
      <c r="BN14" s="51">
        <f>'6_CHUBB · Salud Chile'!BM12</f>
        <v>24491</v>
      </c>
      <c r="BO14" s="51">
        <f>'6_CHUBB · Salud Chile'!BN12</f>
        <v>24539</v>
      </c>
      <c r="BP14" s="51">
        <f>'6_CHUBB · Salud Chile'!BO12</f>
        <v>24587</v>
      </c>
      <c r="BQ14" s="51">
        <f>'6_CHUBB · Salud Chile'!BP12</f>
        <v>24635</v>
      </c>
      <c r="BR14" s="51">
        <f>'6_CHUBB · Salud Chile'!BQ12</f>
        <v>24683</v>
      </c>
      <c r="BS14" s="51">
        <f>'6_CHUBB · Salud Chile'!BR12</f>
        <v>24731</v>
      </c>
      <c r="BT14" s="51">
        <f>'6_CHUBB · Salud Chile'!BS12</f>
        <v>24779</v>
      </c>
      <c r="BU14" s="51">
        <f>'6_CHUBB · Salud Chile'!BT12</f>
        <v>24827</v>
      </c>
      <c r="BV14" s="51">
        <f>'6_CHUBB · Salud Chile'!BU12</f>
        <v>24876</v>
      </c>
      <c r="BW14" s="67"/>
    </row>
    <row r="15">
      <c r="A15" s="41" t="str">
        <f>'7_CHUBB - Salud Singapur'!A1</f>
        <v>Actor: CHUBB - Salud Singapur</v>
      </c>
      <c r="B15" s="42"/>
      <c r="C15" s="51">
        <f>'7_CHUBB - Salud Singapur'!B12</f>
        <v>0</v>
      </c>
      <c r="D15" s="51">
        <f>'7_CHUBB - Salud Singapur'!C12</f>
        <v>0</v>
      </c>
      <c r="E15" s="51">
        <f>'7_CHUBB - Salud Singapur'!D12</f>
        <v>0</v>
      </c>
      <c r="F15" s="51">
        <f>'7_CHUBB - Salud Singapur'!E12</f>
        <v>0</v>
      </c>
      <c r="G15" s="51">
        <f>'7_CHUBB - Salud Singapur'!F12</f>
        <v>0</v>
      </c>
      <c r="H15" s="51">
        <f>'7_CHUBB - Salud Singapur'!G12</f>
        <v>0</v>
      </c>
      <c r="I15" s="51">
        <f>'7_CHUBB - Salud Singapur'!H12</f>
        <v>0</v>
      </c>
      <c r="J15" s="51">
        <f>'7_CHUBB - Salud Singapur'!I12</f>
        <v>0</v>
      </c>
      <c r="K15" s="51">
        <f>'7_CHUBB - Salud Singapur'!J12</f>
        <v>0</v>
      </c>
      <c r="L15" s="51">
        <f>'7_CHUBB - Salud Singapur'!K12</f>
        <v>0</v>
      </c>
      <c r="M15" s="51">
        <f>'7_CHUBB - Salud Singapur'!L12</f>
        <v>0</v>
      </c>
      <c r="N15" s="51">
        <f>'7_CHUBB - Salud Singapur'!M12</f>
        <v>7680</v>
      </c>
      <c r="O15" s="51">
        <f>'7_CHUBB - Salud Singapur'!N12</f>
        <v>7695</v>
      </c>
      <c r="P15" s="51">
        <f>'7_CHUBB - Salud Singapur'!O12</f>
        <v>7710</v>
      </c>
      <c r="Q15" s="51">
        <f>'7_CHUBB - Salud Singapur'!P12</f>
        <v>7725</v>
      </c>
      <c r="R15" s="51">
        <f>'7_CHUBB - Salud Singapur'!Q12</f>
        <v>7740</v>
      </c>
      <c r="S15" s="51">
        <f>'7_CHUBB - Salud Singapur'!R12</f>
        <v>7755</v>
      </c>
      <c r="T15" s="51">
        <f>'7_CHUBB - Salud Singapur'!S12</f>
        <v>7770</v>
      </c>
      <c r="U15" s="51">
        <f>'7_CHUBB - Salud Singapur'!T12</f>
        <v>7786</v>
      </c>
      <c r="V15" s="51">
        <f>'7_CHUBB - Salud Singapur'!U12</f>
        <v>7801</v>
      </c>
      <c r="W15" s="51">
        <f>'7_CHUBB - Salud Singapur'!V12</f>
        <v>7816</v>
      </c>
      <c r="X15" s="51">
        <f>'7_CHUBB - Salud Singapur'!W12</f>
        <v>7831</v>
      </c>
      <c r="Y15" s="51">
        <f>'7_CHUBB - Salud Singapur'!X12</f>
        <v>7847</v>
      </c>
      <c r="Z15" s="51">
        <f>'7_CHUBB - Salud Singapur'!Y12</f>
        <v>7862</v>
      </c>
      <c r="AA15" s="51">
        <f>'7_CHUBB - Salud Singapur'!Z12</f>
        <v>7877</v>
      </c>
      <c r="AB15" s="51">
        <f>'7_CHUBB - Salud Singapur'!AA12</f>
        <v>7893</v>
      </c>
      <c r="AC15" s="51">
        <f>'7_CHUBB - Salud Singapur'!AB12</f>
        <v>7908</v>
      </c>
      <c r="AD15" s="51">
        <f>'7_CHUBB - Salud Singapur'!AC12</f>
        <v>7923</v>
      </c>
      <c r="AE15" s="51">
        <f>'7_CHUBB - Salud Singapur'!AD12</f>
        <v>7939</v>
      </c>
      <c r="AF15" s="51">
        <f>'7_CHUBB - Salud Singapur'!AE12</f>
        <v>7954</v>
      </c>
      <c r="AG15" s="51">
        <f>'7_CHUBB - Salud Singapur'!AF12</f>
        <v>7970</v>
      </c>
      <c r="AH15" s="51">
        <f>'7_CHUBB - Salud Singapur'!AG12</f>
        <v>7985</v>
      </c>
      <c r="AI15" s="51">
        <f>'7_CHUBB - Salud Singapur'!AH12</f>
        <v>8001</v>
      </c>
      <c r="AJ15" s="51">
        <f>'7_CHUBB - Salud Singapur'!AI12</f>
        <v>8017</v>
      </c>
      <c r="AK15" s="51">
        <f>'7_CHUBB - Salud Singapur'!AJ12</f>
        <v>8032</v>
      </c>
      <c r="AL15" s="51">
        <f>'7_CHUBB - Salud Singapur'!AK12</f>
        <v>8048</v>
      </c>
      <c r="AM15" s="51">
        <f>'7_CHUBB - Salud Singapur'!AL12</f>
        <v>8064</v>
      </c>
      <c r="AN15" s="51">
        <f>'7_CHUBB - Salud Singapur'!AM12</f>
        <v>8079</v>
      </c>
      <c r="AO15" s="51">
        <f>'7_CHUBB - Salud Singapur'!AN12</f>
        <v>8095</v>
      </c>
      <c r="AP15" s="51">
        <f>'7_CHUBB - Salud Singapur'!AO12</f>
        <v>8111</v>
      </c>
      <c r="AQ15" s="51">
        <f>'7_CHUBB - Salud Singapur'!AP12</f>
        <v>8127</v>
      </c>
      <c r="AR15" s="51">
        <f>'7_CHUBB - Salud Singapur'!AQ12</f>
        <v>8143</v>
      </c>
      <c r="AS15" s="51">
        <f>'7_CHUBB - Salud Singapur'!AR12</f>
        <v>8159</v>
      </c>
      <c r="AT15" s="51">
        <f>'7_CHUBB - Salud Singapur'!AS12</f>
        <v>8175</v>
      </c>
      <c r="AU15" s="51">
        <f>'7_CHUBB - Salud Singapur'!AT12</f>
        <v>8190</v>
      </c>
      <c r="AV15" s="51">
        <f>'7_CHUBB - Salud Singapur'!AU12</f>
        <v>8206</v>
      </c>
      <c r="AW15" s="51">
        <f>'7_CHUBB - Salud Singapur'!AV12</f>
        <v>8222</v>
      </c>
      <c r="AX15" s="51">
        <f>'7_CHUBB - Salud Singapur'!AW12</f>
        <v>8239</v>
      </c>
      <c r="AY15" s="51">
        <f>'7_CHUBB - Salud Singapur'!AX12</f>
        <v>8255</v>
      </c>
      <c r="AZ15" s="51">
        <f>'7_CHUBB - Salud Singapur'!AY12</f>
        <v>8271</v>
      </c>
      <c r="BA15" s="51">
        <f>'7_CHUBB - Salud Singapur'!AZ12</f>
        <v>8287</v>
      </c>
      <c r="BB15" s="51">
        <f>'7_CHUBB - Salud Singapur'!BA12</f>
        <v>8303</v>
      </c>
      <c r="BC15" s="51">
        <f>'7_CHUBB - Salud Singapur'!BB12</f>
        <v>8319</v>
      </c>
      <c r="BD15" s="51">
        <f>'7_CHUBB - Salud Singapur'!BC12</f>
        <v>8336</v>
      </c>
      <c r="BE15" s="51">
        <f>'7_CHUBB - Salud Singapur'!BD12</f>
        <v>8352</v>
      </c>
      <c r="BF15" s="51">
        <f>'7_CHUBB - Salud Singapur'!BE12</f>
        <v>8368</v>
      </c>
      <c r="BG15" s="51">
        <f>'7_CHUBB - Salud Singapur'!BF12</f>
        <v>8384</v>
      </c>
      <c r="BH15" s="51">
        <f>'7_CHUBB - Salud Singapur'!BG12</f>
        <v>8401</v>
      </c>
      <c r="BI15" s="51">
        <f>'7_CHUBB - Salud Singapur'!BH12</f>
        <v>8417</v>
      </c>
      <c r="BJ15" s="51">
        <f>'7_CHUBB - Salud Singapur'!BI12</f>
        <v>8434</v>
      </c>
      <c r="BK15" s="51">
        <f>'7_CHUBB - Salud Singapur'!BJ12</f>
        <v>8450</v>
      </c>
      <c r="BL15" s="51">
        <f>'7_CHUBB - Salud Singapur'!BK12</f>
        <v>8467</v>
      </c>
      <c r="BM15" s="51">
        <f>'7_CHUBB - Salud Singapur'!BL12</f>
        <v>8483</v>
      </c>
      <c r="BN15" s="51">
        <f>'7_CHUBB - Salud Singapur'!BM12</f>
        <v>8500</v>
      </c>
      <c r="BO15" s="51">
        <f>'7_CHUBB - Salud Singapur'!BN12</f>
        <v>8516</v>
      </c>
      <c r="BP15" s="51">
        <f>'7_CHUBB - Salud Singapur'!BO12</f>
        <v>8533</v>
      </c>
      <c r="BQ15" s="51">
        <f>'7_CHUBB - Salud Singapur'!BP12</f>
        <v>8550</v>
      </c>
      <c r="BR15" s="51">
        <f>'7_CHUBB - Salud Singapur'!BQ12</f>
        <v>8566</v>
      </c>
      <c r="BS15" s="51">
        <f>'7_CHUBB - Salud Singapur'!BR12</f>
        <v>8583</v>
      </c>
      <c r="BT15" s="51">
        <f>'7_CHUBB - Salud Singapur'!BS12</f>
        <v>8600</v>
      </c>
      <c r="BU15" s="51">
        <f>'7_CHUBB - Salud Singapur'!BT12</f>
        <v>8616</v>
      </c>
      <c r="BV15" s="51">
        <f>'7_CHUBB - Salud Singapur'!BU12</f>
        <v>8633</v>
      </c>
      <c r="BW15" s="67"/>
    </row>
    <row r="16">
      <c r="A16" s="41" t="str">
        <f>'8_Kanguro Insurance'!A1</f>
        <v>Actor: Kanguro Insurance</v>
      </c>
      <c r="B16" s="42"/>
      <c r="C16" s="51">
        <f>'8_Kanguro Insurance'!B12</f>
        <v>0</v>
      </c>
      <c r="D16" s="51">
        <f>'8_Kanguro Insurance'!C12</f>
        <v>0</v>
      </c>
      <c r="E16" s="51">
        <f>'8_Kanguro Insurance'!D12</f>
        <v>0</v>
      </c>
      <c r="F16" s="51">
        <f>'8_Kanguro Insurance'!E12</f>
        <v>0</v>
      </c>
      <c r="G16" s="51">
        <f>'8_Kanguro Insurance'!F12</f>
        <v>0</v>
      </c>
      <c r="H16" s="51">
        <f>'8_Kanguro Insurance'!G12</f>
        <v>0</v>
      </c>
      <c r="I16" s="51">
        <f>'8_Kanguro Insurance'!H12</f>
        <v>0</v>
      </c>
      <c r="J16" s="51">
        <f>'8_Kanguro Insurance'!I12</f>
        <v>22000</v>
      </c>
      <c r="K16" s="51">
        <f>'8_Kanguro Insurance'!J12</f>
        <v>22279</v>
      </c>
      <c r="L16" s="51">
        <f>'8_Kanguro Insurance'!K12</f>
        <v>22562</v>
      </c>
      <c r="M16" s="51">
        <f>'8_Kanguro Insurance'!L12</f>
        <v>22849</v>
      </c>
      <c r="N16" s="51">
        <f>'8_Kanguro Insurance'!M12</f>
        <v>23139</v>
      </c>
      <c r="O16" s="51">
        <f>'8_Kanguro Insurance'!N12</f>
        <v>23433</v>
      </c>
      <c r="P16" s="51">
        <f>'8_Kanguro Insurance'!O12</f>
        <v>23731</v>
      </c>
      <c r="Q16" s="51">
        <f>'8_Kanguro Insurance'!P12</f>
        <v>24032</v>
      </c>
      <c r="R16" s="51">
        <f>'8_Kanguro Insurance'!Q12</f>
        <v>24337</v>
      </c>
      <c r="S16" s="51">
        <f>'8_Kanguro Insurance'!R12</f>
        <v>24646</v>
      </c>
      <c r="T16" s="51">
        <f>'8_Kanguro Insurance'!S12</f>
        <v>24959</v>
      </c>
      <c r="U16" s="51">
        <f>'8_Kanguro Insurance'!T12</f>
        <v>25276</v>
      </c>
      <c r="V16" s="51">
        <f>'8_Kanguro Insurance'!U12</f>
        <v>25597</v>
      </c>
      <c r="W16" s="51">
        <f>'8_Kanguro Insurance'!V12</f>
        <v>25922</v>
      </c>
      <c r="X16" s="51">
        <f>'8_Kanguro Insurance'!W12</f>
        <v>26251</v>
      </c>
      <c r="Y16" s="51">
        <f>'8_Kanguro Insurance'!X12</f>
        <v>26585</v>
      </c>
      <c r="Z16" s="51">
        <f>'8_Kanguro Insurance'!Y12</f>
        <v>26923</v>
      </c>
      <c r="AA16" s="51">
        <f>'8_Kanguro Insurance'!Z12</f>
        <v>27264</v>
      </c>
      <c r="AB16" s="51">
        <f>'8_Kanguro Insurance'!AA12</f>
        <v>27611</v>
      </c>
      <c r="AC16" s="51">
        <f>'8_Kanguro Insurance'!AB12</f>
        <v>27961</v>
      </c>
      <c r="AD16" s="51">
        <f>'8_Kanguro Insurance'!AC12</f>
        <v>28316</v>
      </c>
      <c r="AE16" s="51">
        <f>'8_Kanguro Insurance'!AD12</f>
        <v>28676</v>
      </c>
      <c r="AF16" s="51">
        <f>'8_Kanguro Insurance'!AE12</f>
        <v>29040</v>
      </c>
      <c r="AG16" s="51">
        <f>'8_Kanguro Insurance'!AF12</f>
        <v>29409</v>
      </c>
      <c r="AH16" s="51">
        <f>'8_Kanguro Insurance'!AG12</f>
        <v>29783</v>
      </c>
      <c r="AI16" s="51">
        <f>'8_Kanguro Insurance'!AH12</f>
        <v>30161</v>
      </c>
      <c r="AJ16" s="51">
        <f>'8_Kanguro Insurance'!AI12</f>
        <v>30544</v>
      </c>
      <c r="AK16" s="51">
        <f>'8_Kanguro Insurance'!AJ12</f>
        <v>30932</v>
      </c>
      <c r="AL16" s="51">
        <f>'8_Kanguro Insurance'!AK12</f>
        <v>31325</v>
      </c>
      <c r="AM16" s="51">
        <f>'8_Kanguro Insurance'!AL12</f>
        <v>31722</v>
      </c>
      <c r="AN16" s="51">
        <f>'8_Kanguro Insurance'!AM12</f>
        <v>32125</v>
      </c>
      <c r="AO16" s="51">
        <f>'8_Kanguro Insurance'!AN12</f>
        <v>32533</v>
      </c>
      <c r="AP16" s="51">
        <f>'8_Kanguro Insurance'!AO12</f>
        <v>32946</v>
      </c>
      <c r="AQ16" s="51">
        <f>'8_Kanguro Insurance'!AP12</f>
        <v>33365</v>
      </c>
      <c r="AR16" s="51">
        <f>'8_Kanguro Insurance'!AQ12</f>
        <v>33789</v>
      </c>
      <c r="AS16" s="51">
        <f>'8_Kanguro Insurance'!AR12</f>
        <v>34218</v>
      </c>
      <c r="AT16" s="51">
        <f>'8_Kanguro Insurance'!AS12</f>
        <v>34652</v>
      </c>
      <c r="AU16" s="51">
        <f>'8_Kanguro Insurance'!AT12</f>
        <v>35092</v>
      </c>
      <c r="AV16" s="51">
        <f>'8_Kanguro Insurance'!AU12</f>
        <v>35538</v>
      </c>
      <c r="AW16" s="51">
        <f>'8_Kanguro Insurance'!AV12</f>
        <v>35989</v>
      </c>
      <c r="AX16" s="51">
        <f>'8_Kanguro Insurance'!AW12</f>
        <v>36446</v>
      </c>
      <c r="AY16" s="51">
        <f>'8_Kanguro Insurance'!AX12</f>
        <v>36909</v>
      </c>
      <c r="AZ16" s="51">
        <f>'8_Kanguro Insurance'!AY12</f>
        <v>37378</v>
      </c>
      <c r="BA16" s="51">
        <f>'8_Kanguro Insurance'!AZ12</f>
        <v>37853</v>
      </c>
      <c r="BB16" s="51">
        <f>'8_Kanguro Insurance'!BA12</f>
        <v>38333</v>
      </c>
      <c r="BC16" s="51">
        <f>'8_Kanguro Insurance'!BB12</f>
        <v>38820</v>
      </c>
      <c r="BD16" s="51">
        <f>'8_Kanguro Insurance'!BC12</f>
        <v>39313</v>
      </c>
      <c r="BE16" s="51">
        <f>'8_Kanguro Insurance'!BD12</f>
        <v>39813</v>
      </c>
      <c r="BF16" s="51">
        <f>'8_Kanguro Insurance'!BE12</f>
        <v>40318</v>
      </c>
      <c r="BG16" s="51">
        <f>'8_Kanguro Insurance'!BF12</f>
        <v>40830</v>
      </c>
      <c r="BH16" s="51">
        <f>'8_Kanguro Insurance'!BG12</f>
        <v>41349</v>
      </c>
      <c r="BI16" s="51">
        <f>'8_Kanguro Insurance'!BH12</f>
        <v>41874</v>
      </c>
      <c r="BJ16" s="51">
        <f>'8_Kanguro Insurance'!BI12</f>
        <v>42406</v>
      </c>
      <c r="BK16" s="51">
        <f>'8_Kanguro Insurance'!BJ12</f>
        <v>42944</v>
      </c>
      <c r="BL16" s="51">
        <f>'8_Kanguro Insurance'!BK12</f>
        <v>43490</v>
      </c>
      <c r="BM16" s="51">
        <f>'8_Kanguro Insurance'!BL12</f>
        <v>44042</v>
      </c>
      <c r="BN16" s="51">
        <f>'8_Kanguro Insurance'!BM12</f>
        <v>44601</v>
      </c>
      <c r="BO16" s="51">
        <f>'8_Kanguro Insurance'!BN12</f>
        <v>45168</v>
      </c>
      <c r="BP16" s="51">
        <f>'8_Kanguro Insurance'!BO12</f>
        <v>45741</v>
      </c>
      <c r="BQ16" s="51">
        <f>'8_Kanguro Insurance'!BP12</f>
        <v>46322</v>
      </c>
      <c r="BR16" s="51">
        <f>'8_Kanguro Insurance'!BQ12</f>
        <v>46911</v>
      </c>
      <c r="BS16" s="51">
        <f>'8_Kanguro Insurance'!BR12</f>
        <v>47506</v>
      </c>
      <c r="BT16" s="51">
        <f>'8_Kanguro Insurance'!BS12</f>
        <v>48110</v>
      </c>
      <c r="BU16" s="51">
        <f>'8_Kanguro Insurance'!BT12</f>
        <v>48721</v>
      </c>
      <c r="BV16" s="51">
        <f>'8_Kanguro Insurance'!BU12</f>
        <v>49339</v>
      </c>
      <c r="BW16" s="67"/>
    </row>
    <row r="17">
      <c r="A17" s="41" t="str">
        <f>'9_Kanguro Insurance - Hogar'!A1</f>
        <v>Actor: Kanguro Insurance - Hogar</v>
      </c>
      <c r="B17" s="42"/>
      <c r="C17" s="51">
        <f>'9_Kanguro Insurance - Hogar'!B12</f>
        <v>0</v>
      </c>
      <c r="D17" s="51">
        <f>'9_Kanguro Insurance - Hogar'!C12</f>
        <v>0</v>
      </c>
      <c r="E17" s="51">
        <f>'9_Kanguro Insurance - Hogar'!D12</f>
        <v>0</v>
      </c>
      <c r="F17" s="51">
        <f>'9_Kanguro Insurance - Hogar'!E12</f>
        <v>0</v>
      </c>
      <c r="G17" s="51">
        <f>'9_Kanguro Insurance - Hogar'!F12</f>
        <v>0</v>
      </c>
      <c r="H17" s="51">
        <f>'9_Kanguro Insurance - Hogar'!G12</f>
        <v>0</v>
      </c>
      <c r="I17" s="51">
        <f>'9_Kanguro Insurance - Hogar'!H12</f>
        <v>0</v>
      </c>
      <c r="J17" s="51">
        <f>'9_Kanguro Insurance - Hogar'!I12</f>
        <v>0</v>
      </c>
      <c r="K17" s="51">
        <f>'9_Kanguro Insurance - Hogar'!J12</f>
        <v>0</v>
      </c>
      <c r="L17" s="51">
        <f>'9_Kanguro Insurance - Hogar'!K12</f>
        <v>10500</v>
      </c>
      <c r="M17" s="51">
        <f>'9_Kanguro Insurance - Hogar'!L12</f>
        <v>10633</v>
      </c>
      <c r="N17" s="51">
        <f>'9_Kanguro Insurance - Hogar'!M12</f>
        <v>10768</v>
      </c>
      <c r="O17" s="51">
        <f>'9_Kanguro Insurance - Hogar'!N12</f>
        <v>10905</v>
      </c>
      <c r="P17" s="51">
        <f>'9_Kanguro Insurance - Hogar'!O12</f>
        <v>11044</v>
      </c>
      <c r="Q17" s="51">
        <f>'9_Kanguro Insurance - Hogar'!P12</f>
        <v>11184</v>
      </c>
      <c r="R17" s="51">
        <f>'9_Kanguro Insurance - Hogar'!Q12</f>
        <v>11326</v>
      </c>
      <c r="S17" s="51">
        <f>'9_Kanguro Insurance - Hogar'!R12</f>
        <v>11470</v>
      </c>
      <c r="T17" s="51">
        <f>'9_Kanguro Insurance - Hogar'!S12</f>
        <v>11615</v>
      </c>
      <c r="U17" s="51">
        <f>'9_Kanguro Insurance - Hogar'!T12</f>
        <v>11763</v>
      </c>
      <c r="V17" s="51">
        <f>'9_Kanguro Insurance - Hogar'!U12</f>
        <v>11912</v>
      </c>
      <c r="W17" s="51">
        <f>'9_Kanguro Insurance - Hogar'!V12</f>
        <v>12064</v>
      </c>
      <c r="X17" s="51">
        <f>'9_Kanguro Insurance - Hogar'!W12</f>
        <v>12217</v>
      </c>
      <c r="Y17" s="51">
        <f>'9_Kanguro Insurance - Hogar'!X12</f>
        <v>12372</v>
      </c>
      <c r="Z17" s="51">
        <f>'9_Kanguro Insurance - Hogar'!Y12</f>
        <v>12529</v>
      </c>
      <c r="AA17" s="51">
        <f>'9_Kanguro Insurance - Hogar'!Z12</f>
        <v>12688</v>
      </c>
      <c r="AB17" s="51">
        <f>'9_Kanguro Insurance - Hogar'!AA12</f>
        <v>12849</v>
      </c>
      <c r="AC17" s="51">
        <f>'9_Kanguro Insurance - Hogar'!AB12</f>
        <v>13013</v>
      </c>
      <c r="AD17" s="51">
        <f>'9_Kanguro Insurance - Hogar'!AC12</f>
        <v>13178</v>
      </c>
      <c r="AE17" s="51">
        <f>'9_Kanguro Insurance - Hogar'!AD12</f>
        <v>13345</v>
      </c>
      <c r="AF17" s="51">
        <f>'9_Kanguro Insurance - Hogar'!AE12</f>
        <v>13515</v>
      </c>
      <c r="AG17" s="51">
        <f>'9_Kanguro Insurance - Hogar'!AF12</f>
        <v>13686</v>
      </c>
      <c r="AH17" s="51">
        <f>'9_Kanguro Insurance - Hogar'!AG12</f>
        <v>13860</v>
      </c>
      <c r="AI17" s="51">
        <f>'9_Kanguro Insurance - Hogar'!AH12</f>
        <v>14036</v>
      </c>
      <c r="AJ17" s="51">
        <f>'9_Kanguro Insurance - Hogar'!AI12</f>
        <v>14214</v>
      </c>
      <c r="AK17" s="51">
        <f>'9_Kanguro Insurance - Hogar'!AJ12</f>
        <v>14395</v>
      </c>
      <c r="AL17" s="51">
        <f>'9_Kanguro Insurance - Hogar'!AK12</f>
        <v>14578</v>
      </c>
      <c r="AM17" s="51">
        <f>'9_Kanguro Insurance - Hogar'!AL12</f>
        <v>14763</v>
      </c>
      <c r="AN17" s="51">
        <f>'9_Kanguro Insurance - Hogar'!AM12</f>
        <v>14950</v>
      </c>
      <c r="AO17" s="51">
        <f>'9_Kanguro Insurance - Hogar'!AN12</f>
        <v>15140</v>
      </c>
      <c r="AP17" s="51">
        <f>'9_Kanguro Insurance - Hogar'!AO12</f>
        <v>15333</v>
      </c>
      <c r="AQ17" s="51">
        <f>'9_Kanguro Insurance - Hogar'!AP12</f>
        <v>15527</v>
      </c>
      <c r="AR17" s="51">
        <f>'9_Kanguro Insurance - Hogar'!AQ12</f>
        <v>15724</v>
      </c>
      <c r="AS17" s="51">
        <f>'9_Kanguro Insurance - Hogar'!AR12</f>
        <v>15924</v>
      </c>
      <c r="AT17" s="51">
        <f>'9_Kanguro Insurance - Hogar'!AS12</f>
        <v>16126</v>
      </c>
      <c r="AU17" s="51">
        <f>'9_Kanguro Insurance - Hogar'!AT12</f>
        <v>16331</v>
      </c>
      <c r="AV17" s="51">
        <f>'9_Kanguro Insurance - Hogar'!AU12</f>
        <v>16539</v>
      </c>
      <c r="AW17" s="51">
        <f>'9_Kanguro Insurance - Hogar'!AV12</f>
        <v>16749</v>
      </c>
      <c r="AX17" s="51">
        <f>'9_Kanguro Insurance - Hogar'!AW12</f>
        <v>16961</v>
      </c>
      <c r="AY17" s="51">
        <f>'9_Kanguro Insurance - Hogar'!AX12</f>
        <v>17177</v>
      </c>
      <c r="AZ17" s="51">
        <f>'9_Kanguro Insurance - Hogar'!AY12</f>
        <v>17395</v>
      </c>
      <c r="BA17" s="51">
        <f>'9_Kanguro Insurance - Hogar'!AZ12</f>
        <v>17616</v>
      </c>
      <c r="BB17" s="51">
        <f>'9_Kanguro Insurance - Hogar'!BA12</f>
        <v>17840</v>
      </c>
      <c r="BC17" s="51">
        <f>'9_Kanguro Insurance - Hogar'!BB12</f>
        <v>18066</v>
      </c>
      <c r="BD17" s="51">
        <f>'9_Kanguro Insurance - Hogar'!BC12</f>
        <v>18296</v>
      </c>
      <c r="BE17" s="51">
        <f>'9_Kanguro Insurance - Hogar'!BD12</f>
        <v>18528</v>
      </c>
      <c r="BF17" s="51">
        <f>'9_Kanguro Insurance - Hogar'!BE12</f>
        <v>18763</v>
      </c>
      <c r="BG17" s="51">
        <f>'9_Kanguro Insurance - Hogar'!BF12</f>
        <v>19001</v>
      </c>
      <c r="BH17" s="51">
        <f>'9_Kanguro Insurance - Hogar'!BG12</f>
        <v>19243</v>
      </c>
      <c r="BI17" s="51">
        <f>'9_Kanguro Insurance - Hogar'!BH12</f>
        <v>19487</v>
      </c>
      <c r="BJ17" s="51">
        <f>'9_Kanguro Insurance - Hogar'!BI12</f>
        <v>19735</v>
      </c>
      <c r="BK17" s="51">
        <f>'9_Kanguro Insurance - Hogar'!BJ12</f>
        <v>19985</v>
      </c>
      <c r="BL17" s="51">
        <f>'9_Kanguro Insurance - Hogar'!BK12</f>
        <v>20239</v>
      </c>
      <c r="BM17" s="51">
        <f>'9_Kanguro Insurance - Hogar'!BL12</f>
        <v>20496</v>
      </c>
      <c r="BN17" s="51">
        <f>'9_Kanguro Insurance - Hogar'!BM12</f>
        <v>20756</v>
      </c>
      <c r="BO17" s="51">
        <f>'9_Kanguro Insurance - Hogar'!BN12</f>
        <v>21020</v>
      </c>
      <c r="BP17" s="51">
        <f>'9_Kanguro Insurance - Hogar'!BO12</f>
        <v>21287</v>
      </c>
      <c r="BQ17" s="51">
        <f>'9_Kanguro Insurance - Hogar'!BP12</f>
        <v>21557</v>
      </c>
      <c r="BR17" s="51">
        <f>'9_Kanguro Insurance - Hogar'!BQ12</f>
        <v>21831</v>
      </c>
      <c r="BS17" s="51">
        <f>'9_Kanguro Insurance - Hogar'!BR12</f>
        <v>22108</v>
      </c>
      <c r="BT17" s="51">
        <f>'9_Kanguro Insurance - Hogar'!BS12</f>
        <v>22389</v>
      </c>
      <c r="BU17" s="51">
        <f>'9_Kanguro Insurance - Hogar'!BT12</f>
        <v>22674</v>
      </c>
      <c r="BV17" s="51">
        <f>'9_Kanguro Insurance - Hogar'!BU12</f>
        <v>22961</v>
      </c>
      <c r="BW17" s="67"/>
    </row>
    <row r="18">
      <c r="A18" s="41" t="str">
        <f>'10_METLIFE'!A1</f>
        <v>Actor: METLIFE </v>
      </c>
      <c r="B18" s="42"/>
      <c r="C18" s="51">
        <f>'10_METLIFE'!B12</f>
        <v>0</v>
      </c>
      <c r="D18" s="51">
        <f>'10_METLIFE'!C12</f>
        <v>0</v>
      </c>
      <c r="E18" s="51">
        <f>'10_METLIFE'!D12</f>
        <v>0</v>
      </c>
      <c r="F18" s="51">
        <f>'10_METLIFE'!E12</f>
        <v>0</v>
      </c>
      <c r="G18" s="51">
        <f>'10_METLIFE'!F12</f>
        <v>0</v>
      </c>
      <c r="H18" s="51">
        <f>'10_METLIFE'!G12</f>
        <v>0</v>
      </c>
      <c r="I18" s="51">
        <f>'10_METLIFE'!H12</f>
        <v>0</v>
      </c>
      <c r="J18" s="51">
        <f>'10_METLIFE'!I12</f>
        <v>31500</v>
      </c>
      <c r="K18" s="51">
        <f>'10_METLIFE'!J12</f>
        <v>31561</v>
      </c>
      <c r="L18" s="51">
        <f>'10_METLIFE'!K12</f>
        <v>31623</v>
      </c>
      <c r="M18" s="51">
        <f>'10_METLIFE'!L12</f>
        <v>31685</v>
      </c>
      <c r="N18" s="51">
        <f>'10_METLIFE'!M12</f>
        <v>31747</v>
      </c>
      <c r="O18" s="51">
        <f>'10_METLIFE'!N12</f>
        <v>31809</v>
      </c>
      <c r="P18" s="51">
        <f>'10_METLIFE'!O12</f>
        <v>31871</v>
      </c>
      <c r="Q18" s="51">
        <f>'10_METLIFE'!P12</f>
        <v>31933</v>
      </c>
      <c r="R18" s="51">
        <f>'10_METLIFE'!Q12</f>
        <v>31995</v>
      </c>
      <c r="S18" s="51">
        <f>'10_METLIFE'!R12</f>
        <v>32058</v>
      </c>
      <c r="T18" s="51">
        <f>'10_METLIFE'!S12</f>
        <v>32120</v>
      </c>
      <c r="U18" s="51">
        <f>'10_METLIFE'!T12</f>
        <v>32183</v>
      </c>
      <c r="V18" s="51">
        <f>'10_METLIFE'!U12</f>
        <v>32246</v>
      </c>
      <c r="W18" s="51">
        <f>'10_METLIFE'!V12</f>
        <v>32309</v>
      </c>
      <c r="X18" s="51">
        <f>'10_METLIFE'!W12</f>
        <v>32372</v>
      </c>
      <c r="Y18" s="51">
        <f>'10_METLIFE'!X12</f>
        <v>32435</v>
      </c>
      <c r="Z18" s="51">
        <f>'10_METLIFE'!Y12</f>
        <v>32498</v>
      </c>
      <c r="AA18" s="51">
        <f>'10_METLIFE'!Z12</f>
        <v>32562</v>
      </c>
      <c r="AB18" s="51">
        <f>'10_METLIFE'!AA12</f>
        <v>32625</v>
      </c>
      <c r="AC18" s="51">
        <f>'10_METLIFE'!AB12</f>
        <v>32689</v>
      </c>
      <c r="AD18" s="51">
        <f>'10_METLIFE'!AC12</f>
        <v>32753</v>
      </c>
      <c r="AE18" s="51">
        <f>'10_METLIFE'!AD12</f>
        <v>32817</v>
      </c>
      <c r="AF18" s="51">
        <f>'10_METLIFE'!AE12</f>
        <v>32881</v>
      </c>
      <c r="AG18" s="51">
        <f>'10_METLIFE'!AF12</f>
        <v>32945</v>
      </c>
      <c r="AH18" s="51">
        <f>'10_METLIFE'!AG12</f>
        <v>33009</v>
      </c>
      <c r="AI18" s="51">
        <f>'10_METLIFE'!AH12</f>
        <v>33074</v>
      </c>
      <c r="AJ18" s="51">
        <f>'10_METLIFE'!AI12</f>
        <v>33138</v>
      </c>
      <c r="AK18" s="51">
        <f>'10_METLIFE'!AJ12</f>
        <v>33203</v>
      </c>
      <c r="AL18" s="51">
        <f>'10_METLIFE'!AK12</f>
        <v>33268</v>
      </c>
      <c r="AM18" s="51">
        <f>'10_METLIFE'!AL12</f>
        <v>33333</v>
      </c>
      <c r="AN18" s="51">
        <f>'10_METLIFE'!AM12</f>
        <v>33398</v>
      </c>
      <c r="AO18" s="51">
        <f>'10_METLIFE'!AN12</f>
        <v>33463</v>
      </c>
      <c r="AP18" s="51">
        <f>'10_METLIFE'!AO12</f>
        <v>33528</v>
      </c>
      <c r="AQ18" s="51">
        <f>'10_METLIFE'!AP12</f>
        <v>33594</v>
      </c>
      <c r="AR18" s="51">
        <f>'10_METLIFE'!AQ12</f>
        <v>33659</v>
      </c>
      <c r="AS18" s="51">
        <f>'10_METLIFE'!AR12</f>
        <v>33725</v>
      </c>
      <c r="AT18" s="51">
        <f>'10_METLIFE'!AS12</f>
        <v>33791</v>
      </c>
      <c r="AU18" s="51">
        <f>'10_METLIFE'!AT12</f>
        <v>33857</v>
      </c>
      <c r="AV18" s="51">
        <f>'10_METLIFE'!AU12</f>
        <v>33923</v>
      </c>
      <c r="AW18" s="51">
        <f>'10_METLIFE'!AV12</f>
        <v>33989</v>
      </c>
      <c r="AX18" s="51">
        <f>'10_METLIFE'!AW12</f>
        <v>34055</v>
      </c>
      <c r="AY18" s="51">
        <f>'10_METLIFE'!AX12</f>
        <v>34122</v>
      </c>
      <c r="AZ18" s="51">
        <f>'10_METLIFE'!AY12</f>
        <v>34189</v>
      </c>
      <c r="BA18" s="51">
        <f>'10_METLIFE'!AZ12</f>
        <v>34255</v>
      </c>
      <c r="BB18" s="51">
        <f>'10_METLIFE'!BA12</f>
        <v>34322</v>
      </c>
      <c r="BC18" s="51">
        <f>'10_METLIFE'!BB12</f>
        <v>34389</v>
      </c>
      <c r="BD18" s="51">
        <f>'10_METLIFE'!BC12</f>
        <v>34456</v>
      </c>
      <c r="BE18" s="51">
        <f>'10_METLIFE'!BD12</f>
        <v>34524</v>
      </c>
      <c r="BF18" s="51">
        <f>'10_METLIFE'!BE12</f>
        <v>34591</v>
      </c>
      <c r="BG18" s="51">
        <f>'10_METLIFE'!BF12</f>
        <v>34658</v>
      </c>
      <c r="BH18" s="51">
        <f>'10_METLIFE'!BG12</f>
        <v>34726</v>
      </c>
      <c r="BI18" s="51">
        <f>'10_METLIFE'!BH12</f>
        <v>34794</v>
      </c>
      <c r="BJ18" s="51">
        <f>'10_METLIFE'!BI12</f>
        <v>34862</v>
      </c>
      <c r="BK18" s="51">
        <f>'10_METLIFE'!BJ12</f>
        <v>34930</v>
      </c>
      <c r="BL18" s="51">
        <f>'10_METLIFE'!BK12</f>
        <v>34998</v>
      </c>
      <c r="BM18" s="51">
        <f>'10_METLIFE'!BL12</f>
        <v>35066</v>
      </c>
      <c r="BN18" s="51">
        <f>'10_METLIFE'!BM12</f>
        <v>35135</v>
      </c>
      <c r="BO18" s="51">
        <f>'10_METLIFE'!BN12</f>
        <v>35203</v>
      </c>
      <c r="BP18" s="51">
        <f>'10_METLIFE'!BO12</f>
        <v>35272</v>
      </c>
      <c r="BQ18" s="51">
        <f>'10_METLIFE'!BP12</f>
        <v>35341</v>
      </c>
      <c r="BR18" s="51">
        <f>'10_METLIFE'!BQ12</f>
        <v>35410</v>
      </c>
      <c r="BS18" s="51">
        <f>'10_METLIFE'!BR12</f>
        <v>35479</v>
      </c>
      <c r="BT18" s="51">
        <f>'10_METLIFE'!BS12</f>
        <v>35548</v>
      </c>
      <c r="BU18" s="51">
        <f>'10_METLIFE'!BT12</f>
        <v>35618</v>
      </c>
      <c r="BV18" s="51">
        <f>'10_METLIFE'!BU12</f>
        <v>35687</v>
      </c>
      <c r="BW18" s="67"/>
    </row>
    <row r="19">
      <c r="A19" s="41" t="str">
        <f>'11_METLIFE  - Salud'!A1</f>
        <v>Actor: METLIFE  - Salud</v>
      </c>
      <c r="B19" s="42"/>
      <c r="C19" s="41">
        <f>'11_METLIFE  - Salud'!B12</f>
        <v>0</v>
      </c>
      <c r="D19" s="41">
        <f>'11_METLIFE  - Salud'!C12</f>
        <v>0</v>
      </c>
      <c r="E19" s="41">
        <f>'11_METLIFE  - Salud'!D12</f>
        <v>0</v>
      </c>
      <c r="F19" s="41">
        <f>'11_METLIFE  - Salud'!E12</f>
        <v>0</v>
      </c>
      <c r="G19" s="41">
        <f>'11_METLIFE  - Salud'!F12</f>
        <v>0</v>
      </c>
      <c r="H19" s="41">
        <f>'11_METLIFE  - Salud'!G12</f>
        <v>0</v>
      </c>
      <c r="I19" s="41">
        <f>'11_METLIFE  - Salud'!H12</f>
        <v>0</v>
      </c>
      <c r="J19" s="41">
        <f>'11_METLIFE  - Salud'!I12</f>
        <v>0</v>
      </c>
      <c r="K19" s="41">
        <f>'11_METLIFE  - Salud'!J12</f>
        <v>0</v>
      </c>
      <c r="L19" s="41">
        <f>'11_METLIFE  - Salud'!K12</f>
        <v>0</v>
      </c>
      <c r="M19" s="41">
        <f>'11_METLIFE  - Salud'!L12</f>
        <v>0</v>
      </c>
      <c r="N19" s="41">
        <f>'11_METLIFE  - Salud'!M12</f>
        <v>29750</v>
      </c>
      <c r="O19" s="41">
        <f>'11_METLIFE  - Salud'!N12</f>
        <v>29808</v>
      </c>
      <c r="P19" s="41">
        <f>'11_METLIFE  - Salud'!O12</f>
        <v>29866</v>
      </c>
      <c r="Q19" s="41">
        <f>'11_METLIFE  - Salud'!P12</f>
        <v>29925</v>
      </c>
      <c r="R19" s="41">
        <f>'11_METLIFE  - Salud'!Q12</f>
        <v>29983</v>
      </c>
      <c r="S19" s="41">
        <f>'11_METLIFE  - Salud'!R12</f>
        <v>30041</v>
      </c>
      <c r="T19" s="41">
        <f>'11_METLIFE  - Salud'!S12</f>
        <v>30100</v>
      </c>
      <c r="U19" s="41">
        <f>'11_METLIFE  - Salud'!T12</f>
        <v>30159</v>
      </c>
      <c r="V19" s="41">
        <f>'11_METLIFE  - Salud'!U12</f>
        <v>30218</v>
      </c>
      <c r="W19" s="41">
        <f>'11_METLIFE  - Salud'!V12</f>
        <v>30277</v>
      </c>
      <c r="X19" s="41">
        <f>'11_METLIFE  - Salud'!W12</f>
        <v>30336</v>
      </c>
      <c r="Y19" s="41">
        <f>'11_METLIFE  - Salud'!X12</f>
        <v>30395</v>
      </c>
      <c r="Z19" s="41">
        <f>'11_METLIFE  - Salud'!Y12</f>
        <v>30454</v>
      </c>
      <c r="AA19" s="41">
        <f>'11_METLIFE  - Salud'!Z12</f>
        <v>30514</v>
      </c>
      <c r="AB19" s="41">
        <f>'11_METLIFE  - Salud'!AA12</f>
        <v>30573</v>
      </c>
      <c r="AC19" s="41">
        <f>'11_METLIFE  - Salud'!AB12</f>
        <v>30633</v>
      </c>
      <c r="AD19" s="41">
        <f>'11_METLIFE  - Salud'!AC12</f>
        <v>30693</v>
      </c>
      <c r="AE19" s="41">
        <f>'11_METLIFE  - Salud'!AD12</f>
        <v>30753</v>
      </c>
      <c r="AF19" s="41">
        <f>'11_METLIFE  - Salud'!AE12</f>
        <v>30813</v>
      </c>
      <c r="AG19" s="41">
        <f>'11_METLIFE  - Salud'!AF12</f>
        <v>30873</v>
      </c>
      <c r="AH19" s="41">
        <f>'11_METLIFE  - Salud'!AG12</f>
        <v>30933</v>
      </c>
      <c r="AI19" s="41">
        <f>'11_METLIFE  - Salud'!AH12</f>
        <v>30994</v>
      </c>
      <c r="AJ19" s="41">
        <f>'11_METLIFE  - Salud'!AI12</f>
        <v>31054</v>
      </c>
      <c r="AK19" s="41">
        <f>'11_METLIFE  - Salud'!AJ12</f>
        <v>31115</v>
      </c>
      <c r="AL19" s="41">
        <f>'11_METLIFE  - Salud'!AK12</f>
        <v>31175</v>
      </c>
      <c r="AM19" s="41">
        <f>'11_METLIFE  - Salud'!AL12</f>
        <v>31236</v>
      </c>
      <c r="AN19" s="41">
        <f>'11_METLIFE  - Salud'!AM12</f>
        <v>31297</v>
      </c>
      <c r="AO19" s="41">
        <f>'11_METLIFE  - Salud'!AN12</f>
        <v>31358</v>
      </c>
      <c r="AP19" s="41">
        <f>'11_METLIFE  - Salud'!AO12</f>
        <v>31420</v>
      </c>
      <c r="AQ19" s="41">
        <f>'11_METLIFE  - Salud'!AP12</f>
        <v>31481</v>
      </c>
      <c r="AR19" s="41">
        <f>'11_METLIFE  - Salud'!AQ12</f>
        <v>31542</v>
      </c>
      <c r="AS19" s="41">
        <f>'11_METLIFE  - Salud'!AR12</f>
        <v>31604</v>
      </c>
      <c r="AT19" s="41">
        <f>'11_METLIFE  - Salud'!AS12</f>
        <v>31666</v>
      </c>
      <c r="AU19" s="41">
        <f>'11_METLIFE  - Salud'!AT12</f>
        <v>31727</v>
      </c>
      <c r="AV19" s="41">
        <f>'11_METLIFE  - Salud'!AU12</f>
        <v>31789</v>
      </c>
      <c r="AW19" s="41">
        <f>'11_METLIFE  - Salud'!AV12</f>
        <v>31851</v>
      </c>
      <c r="AX19" s="41">
        <f>'11_METLIFE  - Salud'!AW12</f>
        <v>31914</v>
      </c>
      <c r="AY19" s="41">
        <f>'11_METLIFE  - Salud'!AX12</f>
        <v>31976</v>
      </c>
      <c r="AZ19" s="41">
        <f>'11_METLIFE  - Salud'!AY12</f>
        <v>32038</v>
      </c>
      <c r="BA19" s="41">
        <f>'11_METLIFE  - Salud'!AZ12</f>
        <v>32101</v>
      </c>
      <c r="BB19" s="41">
        <f>'11_METLIFE  - Salud'!BA12</f>
        <v>32164</v>
      </c>
      <c r="BC19" s="41">
        <f>'11_METLIFE  - Salud'!BB12</f>
        <v>32226</v>
      </c>
      <c r="BD19" s="41">
        <f>'11_METLIFE  - Salud'!BC12</f>
        <v>32289</v>
      </c>
      <c r="BE19" s="41">
        <f>'11_METLIFE  - Salud'!BD12</f>
        <v>32352</v>
      </c>
      <c r="BF19" s="41">
        <f>'11_METLIFE  - Salud'!BE12</f>
        <v>32415</v>
      </c>
      <c r="BG19" s="41">
        <f>'11_METLIFE  - Salud'!BF12</f>
        <v>32479</v>
      </c>
      <c r="BH19" s="41">
        <f>'11_METLIFE  - Salud'!BG12</f>
        <v>32542</v>
      </c>
      <c r="BI19" s="41">
        <f>'11_METLIFE  - Salud'!BH12</f>
        <v>32606</v>
      </c>
      <c r="BJ19" s="41">
        <f>'11_METLIFE  - Salud'!BI12</f>
        <v>32669</v>
      </c>
      <c r="BK19" s="41">
        <f>'11_METLIFE  - Salud'!BJ12</f>
        <v>32733</v>
      </c>
      <c r="BL19" s="41">
        <f>'11_METLIFE  - Salud'!BK12</f>
        <v>32797</v>
      </c>
      <c r="BM19" s="41">
        <f>'11_METLIFE  - Salud'!BL12</f>
        <v>32861</v>
      </c>
      <c r="BN19" s="41">
        <f>'11_METLIFE  - Salud'!BM12</f>
        <v>32925</v>
      </c>
      <c r="BO19" s="41">
        <f>'11_METLIFE  - Salud'!BN12</f>
        <v>32989</v>
      </c>
      <c r="BP19" s="41">
        <f>'11_METLIFE  - Salud'!BO12</f>
        <v>33054</v>
      </c>
      <c r="BQ19" s="41">
        <f>'11_METLIFE  - Salud'!BP12</f>
        <v>33118</v>
      </c>
      <c r="BR19" s="41">
        <f>'11_METLIFE  - Salud'!BQ12</f>
        <v>33183</v>
      </c>
      <c r="BS19" s="41">
        <f>'11_METLIFE  - Salud'!BR12</f>
        <v>33248</v>
      </c>
      <c r="BT19" s="41">
        <f>'11_METLIFE  - Salud'!BS12</f>
        <v>33313</v>
      </c>
      <c r="BU19" s="41">
        <f>'11_METLIFE  - Salud'!BT12</f>
        <v>33378</v>
      </c>
      <c r="BV19" s="41">
        <f>'11_METLIFE  - Salud'!BU12</f>
        <v>33443</v>
      </c>
      <c r="BW19" s="67"/>
    </row>
    <row r="20">
      <c r="A20" s="41" t="str">
        <f>'12_Seguros Mundial 🇨🇴'!A1</f>
        <v>Actor: Seguros Mundial 🇨🇴</v>
      </c>
      <c r="B20" s="7"/>
      <c r="C20" s="41">
        <f>'12_Seguros Mundial 🇨🇴'!B12</f>
        <v>0</v>
      </c>
      <c r="D20" s="41">
        <f>'12_Seguros Mundial 🇨🇴'!C12</f>
        <v>0</v>
      </c>
      <c r="E20" s="41">
        <f>'12_Seguros Mundial 🇨🇴'!D12</f>
        <v>0</v>
      </c>
      <c r="F20" s="41">
        <f>'12_Seguros Mundial 🇨🇴'!E12</f>
        <v>0</v>
      </c>
      <c r="G20" s="41">
        <f>'12_Seguros Mundial 🇨🇴'!F12</f>
        <v>0</v>
      </c>
      <c r="H20" s="41">
        <f>'12_Seguros Mundial 🇨🇴'!G12</f>
        <v>0</v>
      </c>
      <c r="I20" s="41">
        <f>'12_Seguros Mundial 🇨🇴'!H12</f>
        <v>0</v>
      </c>
      <c r="J20" s="41">
        <f>'12_Seguros Mundial 🇨🇴'!I12</f>
        <v>0</v>
      </c>
      <c r="K20" s="41">
        <f>'12_Seguros Mundial 🇨🇴'!J12</f>
        <v>0</v>
      </c>
      <c r="L20" s="41">
        <f>'12_Seguros Mundial 🇨🇴'!K12</f>
        <v>0</v>
      </c>
      <c r="M20" s="41">
        <f>'12_Seguros Mundial 🇨🇴'!L12</f>
        <v>0</v>
      </c>
      <c r="N20" s="41">
        <f>'12_Seguros Mundial 🇨🇴'!M12</f>
        <v>0</v>
      </c>
      <c r="O20" s="41">
        <f>'12_Seguros Mundial 🇨🇴'!N12</f>
        <v>0</v>
      </c>
      <c r="P20" s="41">
        <f>'12_Seguros Mundial 🇨🇴'!O12</f>
        <v>25200</v>
      </c>
      <c r="Q20" s="41">
        <f>'12_Seguros Mundial 🇨🇴'!P12</f>
        <v>25274</v>
      </c>
      <c r="R20" s="41">
        <f>'12_Seguros Mundial 🇨🇴'!Q12</f>
        <v>25348</v>
      </c>
      <c r="S20" s="41">
        <f>'12_Seguros Mundial 🇨🇴'!R12</f>
        <v>25422</v>
      </c>
      <c r="T20" s="41">
        <f>'12_Seguros Mundial 🇨🇴'!S12</f>
        <v>25497</v>
      </c>
      <c r="U20" s="41">
        <f>'12_Seguros Mundial 🇨🇴'!T12</f>
        <v>25571</v>
      </c>
      <c r="V20" s="41">
        <f>'12_Seguros Mundial 🇨🇴'!U12</f>
        <v>25646</v>
      </c>
      <c r="W20" s="41">
        <f>'12_Seguros Mundial 🇨🇴'!V12</f>
        <v>25721</v>
      </c>
      <c r="X20" s="41">
        <f>'12_Seguros Mundial 🇨🇴'!W12</f>
        <v>25797</v>
      </c>
      <c r="Y20" s="41">
        <f>'12_Seguros Mundial 🇨🇴'!X12</f>
        <v>25872</v>
      </c>
      <c r="Z20" s="41">
        <f>'12_Seguros Mundial 🇨🇴'!Y12</f>
        <v>25948</v>
      </c>
      <c r="AA20" s="41">
        <f>'12_Seguros Mundial 🇨🇴'!Z12</f>
        <v>26024</v>
      </c>
      <c r="AB20" s="41">
        <f>'12_Seguros Mundial 🇨🇴'!AA12</f>
        <v>26100</v>
      </c>
      <c r="AC20" s="41">
        <f>'12_Seguros Mundial 🇨🇴'!AB12</f>
        <v>26177</v>
      </c>
      <c r="AD20" s="41">
        <f>'12_Seguros Mundial 🇨🇴'!AC12</f>
        <v>26254</v>
      </c>
      <c r="AE20" s="41">
        <f>'12_Seguros Mundial 🇨🇴'!AD12</f>
        <v>26331</v>
      </c>
      <c r="AF20" s="41">
        <f>'12_Seguros Mundial 🇨🇴'!AE12</f>
        <v>26408</v>
      </c>
      <c r="AG20" s="41">
        <f>'12_Seguros Mundial 🇨🇴'!AF12</f>
        <v>26485</v>
      </c>
      <c r="AH20" s="41">
        <f>'12_Seguros Mundial 🇨🇴'!AG12</f>
        <v>26563</v>
      </c>
      <c r="AI20" s="41">
        <f>'12_Seguros Mundial 🇨🇴'!AH12</f>
        <v>26640</v>
      </c>
      <c r="AJ20" s="41">
        <f>'12_Seguros Mundial 🇨🇴'!AI12</f>
        <v>26719</v>
      </c>
      <c r="AK20" s="41">
        <f>'12_Seguros Mundial 🇨🇴'!AJ12</f>
        <v>26797</v>
      </c>
      <c r="AL20" s="41">
        <f>'12_Seguros Mundial 🇨🇴'!AK12</f>
        <v>26875</v>
      </c>
      <c r="AM20" s="41">
        <f>'12_Seguros Mundial 🇨🇴'!AL12</f>
        <v>26954</v>
      </c>
      <c r="AN20" s="41">
        <f>'12_Seguros Mundial 🇨🇴'!AM12</f>
        <v>27033</v>
      </c>
      <c r="AO20" s="41">
        <f>'12_Seguros Mundial 🇨🇴'!AN12</f>
        <v>27112</v>
      </c>
      <c r="AP20" s="41">
        <f>'12_Seguros Mundial 🇨🇴'!AO12</f>
        <v>27192</v>
      </c>
      <c r="AQ20" s="41">
        <f>'12_Seguros Mundial 🇨🇴'!AP12</f>
        <v>27271</v>
      </c>
      <c r="AR20" s="41">
        <f>'12_Seguros Mundial 🇨🇴'!AQ12</f>
        <v>27351</v>
      </c>
      <c r="AS20" s="41">
        <f>'12_Seguros Mundial 🇨🇴'!AR12</f>
        <v>27431</v>
      </c>
      <c r="AT20" s="41">
        <f>'12_Seguros Mundial 🇨🇴'!AS12</f>
        <v>27512</v>
      </c>
      <c r="AU20" s="41">
        <f>'12_Seguros Mundial 🇨🇴'!AT12</f>
        <v>27592</v>
      </c>
      <c r="AV20" s="41">
        <f>'12_Seguros Mundial 🇨🇴'!AU12</f>
        <v>27673</v>
      </c>
      <c r="AW20" s="41">
        <f>'12_Seguros Mundial 🇨🇴'!AV12</f>
        <v>27754</v>
      </c>
      <c r="AX20" s="41">
        <f>'12_Seguros Mundial 🇨🇴'!AW12</f>
        <v>27836</v>
      </c>
      <c r="AY20" s="41">
        <f>'12_Seguros Mundial 🇨🇴'!AX12</f>
        <v>27917</v>
      </c>
      <c r="AZ20" s="41">
        <f>'12_Seguros Mundial 🇨🇴'!AY12</f>
        <v>27999</v>
      </c>
      <c r="BA20" s="41">
        <f>'12_Seguros Mundial 🇨🇴'!AZ12</f>
        <v>28081</v>
      </c>
      <c r="BB20" s="41">
        <f>'12_Seguros Mundial 🇨🇴'!BA12</f>
        <v>28163</v>
      </c>
      <c r="BC20" s="41">
        <f>'12_Seguros Mundial 🇨🇴'!BB12</f>
        <v>28246</v>
      </c>
      <c r="BD20" s="41">
        <f>'12_Seguros Mundial 🇨🇴'!BC12</f>
        <v>28329</v>
      </c>
      <c r="BE20" s="41">
        <f>'12_Seguros Mundial 🇨🇴'!BD12</f>
        <v>28412</v>
      </c>
      <c r="BF20" s="41">
        <f>'12_Seguros Mundial 🇨🇴'!BE12</f>
        <v>28495</v>
      </c>
      <c r="BG20" s="41">
        <f>'12_Seguros Mundial 🇨🇴'!BF12</f>
        <v>28578</v>
      </c>
      <c r="BH20" s="41">
        <f>'12_Seguros Mundial 🇨🇴'!BG12</f>
        <v>28662</v>
      </c>
      <c r="BI20" s="41">
        <f>'12_Seguros Mundial 🇨🇴'!BH12</f>
        <v>28746</v>
      </c>
      <c r="BJ20" s="41">
        <f>'12_Seguros Mundial 🇨🇴'!BI12</f>
        <v>28830</v>
      </c>
      <c r="BK20" s="41">
        <f>'12_Seguros Mundial 🇨🇴'!BJ12</f>
        <v>28915</v>
      </c>
      <c r="BL20" s="41">
        <f>'12_Seguros Mundial 🇨🇴'!BK12</f>
        <v>28999</v>
      </c>
      <c r="BM20" s="41">
        <f>'12_Seguros Mundial 🇨🇴'!BL12</f>
        <v>29084</v>
      </c>
      <c r="BN20" s="41">
        <f>'12_Seguros Mundial 🇨🇴'!BM12</f>
        <v>29170</v>
      </c>
      <c r="BO20" s="41">
        <f>'12_Seguros Mundial 🇨🇴'!BN12</f>
        <v>29255</v>
      </c>
      <c r="BP20" s="41">
        <f>'12_Seguros Mundial 🇨🇴'!BO12</f>
        <v>29341</v>
      </c>
      <c r="BQ20" s="41">
        <f>'12_Seguros Mundial 🇨🇴'!BP12</f>
        <v>29427</v>
      </c>
      <c r="BR20" s="41">
        <f>'12_Seguros Mundial 🇨🇴'!BQ12</f>
        <v>29513</v>
      </c>
      <c r="BS20" s="41">
        <f>'12_Seguros Mundial 🇨🇴'!BR12</f>
        <v>29600</v>
      </c>
      <c r="BT20" s="41">
        <f>'12_Seguros Mundial 🇨🇴'!BS12</f>
        <v>29686</v>
      </c>
      <c r="BU20" s="41">
        <f>'12_Seguros Mundial 🇨🇴'!BT12</f>
        <v>29773</v>
      </c>
      <c r="BV20" s="41">
        <f>'12_Seguros Mundial 🇨🇴'!BU12</f>
        <v>29860</v>
      </c>
      <c r="BW20" s="67"/>
    </row>
    <row r="21">
      <c r="A21" s="41" t="str">
        <f>'13_Seguros Mundial 🇨🇴 - Hogar'!A1</f>
        <v>Actor: Seguros Mundial 🇨🇴 - Hogar</v>
      </c>
      <c r="B21" s="7"/>
      <c r="C21" s="41">
        <f>'13_Seguros Mundial 🇨🇴 - Hogar'!B12</f>
        <v>0</v>
      </c>
      <c r="D21" s="41">
        <f>'13_Seguros Mundial 🇨🇴 - Hogar'!C12</f>
        <v>0</v>
      </c>
      <c r="E21" s="41">
        <f>'13_Seguros Mundial 🇨🇴 - Hogar'!D12</f>
        <v>0</v>
      </c>
      <c r="F21" s="41">
        <f>'13_Seguros Mundial 🇨🇴 - Hogar'!E12</f>
        <v>0</v>
      </c>
      <c r="G21" s="41">
        <f>'13_Seguros Mundial 🇨🇴 - Hogar'!F12</f>
        <v>0</v>
      </c>
      <c r="H21" s="41">
        <f>'13_Seguros Mundial 🇨🇴 - Hogar'!G12</f>
        <v>0</v>
      </c>
      <c r="I21" s="41">
        <f>'13_Seguros Mundial 🇨🇴 - Hogar'!H12</f>
        <v>0</v>
      </c>
      <c r="J21" s="41">
        <f>'13_Seguros Mundial 🇨🇴 - Hogar'!I12</f>
        <v>0</v>
      </c>
      <c r="K21" s="41">
        <f>'13_Seguros Mundial 🇨🇴 - Hogar'!J12</f>
        <v>2400</v>
      </c>
      <c r="L21" s="41">
        <f>'13_Seguros Mundial 🇨🇴 - Hogar'!K12</f>
        <v>2407</v>
      </c>
      <c r="M21" s="41">
        <f>'13_Seguros Mundial 🇨🇴 - Hogar'!L12</f>
        <v>2414</v>
      </c>
      <c r="N21" s="41">
        <f>'13_Seguros Mundial 🇨🇴 - Hogar'!M12</f>
        <v>2421</v>
      </c>
      <c r="O21" s="41">
        <f>'13_Seguros Mundial 🇨🇴 - Hogar'!N12</f>
        <v>2428</v>
      </c>
      <c r="P21" s="41">
        <f>'13_Seguros Mundial 🇨🇴 - Hogar'!O12</f>
        <v>2435</v>
      </c>
      <c r="Q21" s="41">
        <f>'13_Seguros Mundial 🇨🇴 - Hogar'!P12</f>
        <v>2443</v>
      </c>
      <c r="R21" s="41">
        <f>'13_Seguros Mundial 🇨🇴 - Hogar'!Q12</f>
        <v>2450</v>
      </c>
      <c r="S21" s="41">
        <f>'13_Seguros Mundial 🇨🇴 - Hogar'!R12</f>
        <v>2457</v>
      </c>
      <c r="T21" s="41">
        <f>'13_Seguros Mundial 🇨🇴 - Hogar'!S12</f>
        <v>2464</v>
      </c>
      <c r="U21" s="41">
        <f>'13_Seguros Mundial 🇨🇴 - Hogar'!T12</f>
        <v>2471</v>
      </c>
      <c r="V21" s="41">
        <f>'13_Seguros Mundial 🇨🇴 - Hogar'!U12</f>
        <v>2478</v>
      </c>
      <c r="W21" s="41">
        <f>'13_Seguros Mundial 🇨🇴 - Hogar'!V12</f>
        <v>2486</v>
      </c>
      <c r="X21" s="41">
        <f>'13_Seguros Mundial 🇨🇴 - Hogar'!W12</f>
        <v>2493</v>
      </c>
      <c r="Y21" s="41">
        <f>'13_Seguros Mundial 🇨🇴 - Hogar'!X12</f>
        <v>2500</v>
      </c>
      <c r="Z21" s="41">
        <f>'13_Seguros Mundial 🇨🇴 - Hogar'!Y12</f>
        <v>2508</v>
      </c>
      <c r="AA21" s="41">
        <f>'13_Seguros Mundial 🇨🇴 - Hogar'!Z12</f>
        <v>2515</v>
      </c>
      <c r="AB21" s="41">
        <f>'13_Seguros Mundial 🇨🇴 - Hogar'!AA12</f>
        <v>2522</v>
      </c>
      <c r="AC21" s="41">
        <f>'13_Seguros Mundial 🇨🇴 - Hogar'!AB12</f>
        <v>2530</v>
      </c>
      <c r="AD21" s="41">
        <f>'13_Seguros Mundial 🇨🇴 - Hogar'!AC12</f>
        <v>2537</v>
      </c>
      <c r="AE21" s="41">
        <f>'13_Seguros Mundial 🇨🇴 - Hogar'!AD12</f>
        <v>2545</v>
      </c>
      <c r="AF21" s="41">
        <f>'13_Seguros Mundial 🇨🇴 - Hogar'!AE12</f>
        <v>2552</v>
      </c>
      <c r="AG21" s="41">
        <f>'13_Seguros Mundial 🇨🇴 - Hogar'!AF12</f>
        <v>2560</v>
      </c>
      <c r="AH21" s="41">
        <f>'13_Seguros Mundial 🇨🇴 - Hogar'!AG12</f>
        <v>2567</v>
      </c>
      <c r="AI21" s="41">
        <f>'13_Seguros Mundial 🇨🇴 - Hogar'!AH12</f>
        <v>2575</v>
      </c>
      <c r="AJ21" s="41">
        <f>'13_Seguros Mundial 🇨🇴 - Hogar'!AI12</f>
        <v>2582</v>
      </c>
      <c r="AK21" s="41">
        <f>'13_Seguros Mundial 🇨🇴 - Hogar'!AJ12</f>
        <v>2590</v>
      </c>
      <c r="AL21" s="41">
        <f>'13_Seguros Mundial 🇨🇴 - Hogar'!AK12</f>
        <v>2597</v>
      </c>
      <c r="AM21" s="41">
        <f>'13_Seguros Mundial 🇨🇴 - Hogar'!AL12</f>
        <v>2605</v>
      </c>
      <c r="AN21" s="41">
        <f>'13_Seguros Mundial 🇨🇴 - Hogar'!AM12</f>
        <v>2613</v>
      </c>
      <c r="AO21" s="41">
        <f>'13_Seguros Mundial 🇨🇴 - Hogar'!AN12</f>
        <v>2620</v>
      </c>
      <c r="AP21" s="41">
        <f>'13_Seguros Mundial 🇨🇴 - Hogar'!AO12</f>
        <v>2628</v>
      </c>
      <c r="AQ21" s="41">
        <f>'13_Seguros Mundial 🇨🇴 - Hogar'!AP12</f>
        <v>2636</v>
      </c>
      <c r="AR21" s="41">
        <f>'13_Seguros Mundial 🇨🇴 - Hogar'!AQ12</f>
        <v>2643</v>
      </c>
      <c r="AS21" s="41">
        <f>'13_Seguros Mundial 🇨🇴 - Hogar'!AR12</f>
        <v>2651</v>
      </c>
      <c r="AT21" s="41">
        <f>'13_Seguros Mundial 🇨🇴 - Hogar'!AS12</f>
        <v>2659</v>
      </c>
      <c r="AU21" s="41">
        <f>'13_Seguros Mundial 🇨🇴 - Hogar'!AT12</f>
        <v>2667</v>
      </c>
      <c r="AV21" s="41">
        <f>'13_Seguros Mundial 🇨🇴 - Hogar'!AU12</f>
        <v>2674</v>
      </c>
      <c r="AW21" s="41">
        <f>'13_Seguros Mundial 🇨🇴 - Hogar'!AV12</f>
        <v>2682</v>
      </c>
      <c r="AX21" s="41">
        <f>'13_Seguros Mundial 🇨🇴 - Hogar'!AW12</f>
        <v>2690</v>
      </c>
      <c r="AY21" s="41">
        <f>'13_Seguros Mundial 🇨🇴 - Hogar'!AX12</f>
        <v>2698</v>
      </c>
      <c r="AZ21" s="41">
        <f>'13_Seguros Mundial 🇨🇴 - Hogar'!AY12</f>
        <v>2706</v>
      </c>
      <c r="BA21" s="41">
        <f>'13_Seguros Mundial 🇨🇴 - Hogar'!AZ12</f>
        <v>2714</v>
      </c>
      <c r="BB21" s="41">
        <f>'13_Seguros Mundial 🇨🇴 - Hogar'!BA12</f>
        <v>2722</v>
      </c>
      <c r="BC21" s="41">
        <f>'13_Seguros Mundial 🇨🇴 - Hogar'!BB12</f>
        <v>2730</v>
      </c>
      <c r="BD21" s="41">
        <f>'13_Seguros Mundial 🇨🇴 - Hogar'!BC12</f>
        <v>2738</v>
      </c>
      <c r="BE21" s="41">
        <f>'13_Seguros Mundial 🇨🇴 - Hogar'!BD12</f>
        <v>2746</v>
      </c>
      <c r="BF21" s="41">
        <f>'13_Seguros Mundial 🇨🇴 - Hogar'!BE12</f>
        <v>2754</v>
      </c>
      <c r="BG21" s="41">
        <f>'13_Seguros Mundial 🇨🇴 - Hogar'!BF12</f>
        <v>2762</v>
      </c>
      <c r="BH21" s="41">
        <f>'13_Seguros Mundial 🇨🇴 - Hogar'!BG12</f>
        <v>2770</v>
      </c>
      <c r="BI21" s="41">
        <f>'13_Seguros Mundial 🇨🇴 - Hogar'!BH12</f>
        <v>2778</v>
      </c>
      <c r="BJ21" s="41">
        <f>'13_Seguros Mundial 🇨🇴 - Hogar'!BI12</f>
        <v>2786</v>
      </c>
      <c r="BK21" s="41">
        <f>'13_Seguros Mundial 🇨🇴 - Hogar'!BJ12</f>
        <v>2794</v>
      </c>
      <c r="BL21" s="41">
        <f>'13_Seguros Mundial 🇨🇴 - Hogar'!BK12</f>
        <v>2803</v>
      </c>
      <c r="BM21" s="41">
        <f>'13_Seguros Mundial 🇨🇴 - Hogar'!BL12</f>
        <v>2811</v>
      </c>
      <c r="BN21" s="41">
        <f>'13_Seguros Mundial 🇨🇴 - Hogar'!BM12</f>
        <v>2819</v>
      </c>
      <c r="BO21" s="41">
        <f>'13_Seguros Mundial 🇨🇴 - Hogar'!BN12</f>
        <v>2827</v>
      </c>
      <c r="BP21" s="41">
        <f>'13_Seguros Mundial 🇨🇴 - Hogar'!BO12</f>
        <v>2836</v>
      </c>
      <c r="BQ21" s="41">
        <f>'13_Seguros Mundial 🇨🇴 - Hogar'!BP12</f>
        <v>2844</v>
      </c>
      <c r="BR21" s="41">
        <f>'13_Seguros Mundial 🇨🇴 - Hogar'!BQ12</f>
        <v>2852</v>
      </c>
      <c r="BS21" s="41">
        <f>'13_Seguros Mundial 🇨🇴 - Hogar'!BR12</f>
        <v>2861</v>
      </c>
      <c r="BT21" s="41">
        <f>'13_Seguros Mundial 🇨🇴 - Hogar'!BS12</f>
        <v>2869</v>
      </c>
      <c r="BU21" s="41">
        <f>'13_Seguros Mundial 🇨🇴 - Hogar'!BT12</f>
        <v>2877</v>
      </c>
      <c r="BV21" s="41">
        <f>'13_Seguros Mundial 🇨🇴 - Hogar'!BU12</f>
        <v>2886</v>
      </c>
      <c r="BW21" s="67"/>
    </row>
    <row r="22">
      <c r="A22" s="41" t="str">
        <f>'14_BNP Paribas Cardif'!A1</f>
        <v>Actor: BNP Paribas Cardif</v>
      </c>
      <c r="B22" s="7"/>
      <c r="C22" s="41">
        <f>'14_BNP Paribas Cardif'!B12</f>
        <v>0</v>
      </c>
      <c r="D22" s="41">
        <f>'14_BNP Paribas Cardif'!C12</f>
        <v>0</v>
      </c>
      <c r="E22" s="41">
        <f>'14_BNP Paribas Cardif'!D12</f>
        <v>0</v>
      </c>
      <c r="F22" s="41">
        <f>'14_BNP Paribas Cardif'!E12</f>
        <v>0</v>
      </c>
      <c r="G22" s="41">
        <f>'14_BNP Paribas Cardif'!F12</f>
        <v>0</v>
      </c>
      <c r="H22" s="41">
        <f>'14_BNP Paribas Cardif'!G12</f>
        <v>0</v>
      </c>
      <c r="I22" s="41">
        <f>'14_BNP Paribas Cardif'!H12</f>
        <v>0</v>
      </c>
      <c r="J22" s="41">
        <f>'14_BNP Paribas Cardif'!I12</f>
        <v>0</v>
      </c>
      <c r="K22" s="41">
        <f>'14_BNP Paribas Cardif'!J12</f>
        <v>0</v>
      </c>
      <c r="L22" s="41">
        <f>'14_BNP Paribas Cardif'!K12</f>
        <v>0</v>
      </c>
      <c r="M22" s="41">
        <f>'14_BNP Paribas Cardif'!L12</f>
        <v>0</v>
      </c>
      <c r="N22" s="41">
        <f>'14_BNP Paribas Cardif'!M12</f>
        <v>21000</v>
      </c>
      <c r="O22" s="41">
        <f>'14_BNP Paribas Cardif'!N12</f>
        <v>21062</v>
      </c>
      <c r="P22" s="41">
        <f>'14_BNP Paribas Cardif'!O12</f>
        <v>21123</v>
      </c>
      <c r="Q22" s="41">
        <f>'14_BNP Paribas Cardif'!P12</f>
        <v>21185</v>
      </c>
      <c r="R22" s="41">
        <f>'14_BNP Paribas Cardif'!Q12</f>
        <v>21247</v>
      </c>
      <c r="S22" s="41">
        <f>'14_BNP Paribas Cardif'!R12</f>
        <v>21309</v>
      </c>
      <c r="T22" s="41">
        <f>'14_BNP Paribas Cardif'!S12</f>
        <v>21372</v>
      </c>
      <c r="U22" s="41">
        <f>'14_BNP Paribas Cardif'!T12</f>
        <v>21435</v>
      </c>
      <c r="V22" s="41">
        <f>'14_BNP Paribas Cardif'!U12</f>
        <v>21497</v>
      </c>
      <c r="W22" s="41">
        <f>'14_BNP Paribas Cardif'!V12</f>
        <v>21560</v>
      </c>
      <c r="X22" s="41">
        <f>'14_BNP Paribas Cardif'!W12</f>
        <v>21623</v>
      </c>
      <c r="Y22" s="41">
        <f>'14_BNP Paribas Cardif'!X12</f>
        <v>21687</v>
      </c>
      <c r="Z22" s="41">
        <f>'14_BNP Paribas Cardif'!Y12</f>
        <v>21750</v>
      </c>
      <c r="AA22" s="41">
        <f>'14_BNP Paribas Cardif'!Z12</f>
        <v>21814</v>
      </c>
      <c r="AB22" s="41">
        <f>'14_BNP Paribas Cardif'!AA12</f>
        <v>21878</v>
      </c>
      <c r="AC22" s="41">
        <f>'14_BNP Paribas Cardif'!AB12</f>
        <v>21942</v>
      </c>
      <c r="AD22" s="41">
        <f>'14_BNP Paribas Cardif'!AC12</f>
        <v>22006</v>
      </c>
      <c r="AE22" s="41">
        <f>'14_BNP Paribas Cardif'!AD12</f>
        <v>22071</v>
      </c>
      <c r="AF22" s="41">
        <f>'14_BNP Paribas Cardif'!AE12</f>
        <v>22136</v>
      </c>
      <c r="AG22" s="41">
        <f>'14_BNP Paribas Cardif'!AF12</f>
        <v>22200</v>
      </c>
      <c r="AH22" s="41">
        <f>'14_BNP Paribas Cardif'!AG12</f>
        <v>22265</v>
      </c>
      <c r="AI22" s="41">
        <f>'14_BNP Paribas Cardif'!AH12</f>
        <v>22331</v>
      </c>
      <c r="AJ22" s="41">
        <f>'14_BNP Paribas Cardif'!AI12</f>
        <v>22396</v>
      </c>
      <c r="AK22" s="41">
        <f>'14_BNP Paribas Cardif'!AJ12</f>
        <v>22462</v>
      </c>
      <c r="AL22" s="41">
        <f>'14_BNP Paribas Cardif'!AK12</f>
        <v>22528</v>
      </c>
      <c r="AM22" s="41">
        <f>'14_BNP Paribas Cardif'!AL12</f>
        <v>22594</v>
      </c>
      <c r="AN22" s="41">
        <f>'14_BNP Paribas Cardif'!AM12</f>
        <v>22660</v>
      </c>
      <c r="AO22" s="41">
        <f>'14_BNP Paribas Cardif'!AN12</f>
        <v>22726</v>
      </c>
      <c r="AP22" s="41">
        <f>'14_BNP Paribas Cardif'!AO12</f>
        <v>22793</v>
      </c>
      <c r="AQ22" s="41">
        <f>'14_BNP Paribas Cardif'!AP12</f>
        <v>22860</v>
      </c>
      <c r="AR22" s="41">
        <f>'14_BNP Paribas Cardif'!AQ12</f>
        <v>22927</v>
      </c>
      <c r="AS22" s="41">
        <f>'14_BNP Paribas Cardif'!AR12</f>
        <v>22994</v>
      </c>
      <c r="AT22" s="41">
        <f>'14_BNP Paribas Cardif'!AS12</f>
        <v>23061</v>
      </c>
      <c r="AU22" s="41">
        <f>'14_BNP Paribas Cardif'!AT12</f>
        <v>23129</v>
      </c>
      <c r="AV22" s="41">
        <f>'14_BNP Paribas Cardif'!AU12</f>
        <v>23196</v>
      </c>
      <c r="AW22" s="41">
        <f>'14_BNP Paribas Cardif'!AV12</f>
        <v>23264</v>
      </c>
      <c r="AX22" s="41">
        <f>'14_BNP Paribas Cardif'!AW12</f>
        <v>23333</v>
      </c>
      <c r="AY22" s="41">
        <f>'14_BNP Paribas Cardif'!AX12</f>
        <v>23401</v>
      </c>
      <c r="AZ22" s="41">
        <f>'14_BNP Paribas Cardif'!AY12</f>
        <v>23469</v>
      </c>
      <c r="BA22" s="41">
        <f>'14_BNP Paribas Cardif'!AZ12</f>
        <v>23538</v>
      </c>
      <c r="BB22" s="41">
        <f>'14_BNP Paribas Cardif'!BA12</f>
        <v>23607</v>
      </c>
      <c r="BC22" s="41">
        <f>'14_BNP Paribas Cardif'!BB12</f>
        <v>23676</v>
      </c>
      <c r="BD22" s="41">
        <f>'14_BNP Paribas Cardif'!BC12</f>
        <v>23746</v>
      </c>
      <c r="BE22" s="41">
        <f>'14_BNP Paribas Cardif'!BD12</f>
        <v>23815</v>
      </c>
      <c r="BF22" s="41">
        <f>'14_BNP Paribas Cardif'!BE12</f>
        <v>23885</v>
      </c>
      <c r="BG22" s="41">
        <f>'14_BNP Paribas Cardif'!BF12</f>
        <v>23955</v>
      </c>
      <c r="BH22" s="41">
        <f>'14_BNP Paribas Cardif'!BG12</f>
        <v>24025</v>
      </c>
      <c r="BI22" s="41">
        <f>'14_BNP Paribas Cardif'!BH12</f>
        <v>24096</v>
      </c>
      <c r="BJ22" s="41">
        <f>'14_BNP Paribas Cardif'!BI12</f>
        <v>24166</v>
      </c>
      <c r="BK22" s="41">
        <f>'14_BNP Paribas Cardif'!BJ12</f>
        <v>24237</v>
      </c>
      <c r="BL22" s="41">
        <f>'14_BNP Paribas Cardif'!BK12</f>
        <v>24308</v>
      </c>
      <c r="BM22" s="41">
        <f>'14_BNP Paribas Cardif'!BL12</f>
        <v>24379</v>
      </c>
      <c r="BN22" s="41">
        <f>'14_BNP Paribas Cardif'!BM12</f>
        <v>24451</v>
      </c>
      <c r="BO22" s="41">
        <f>'14_BNP Paribas Cardif'!BN12</f>
        <v>24522</v>
      </c>
      <c r="BP22" s="41">
        <f>'14_BNP Paribas Cardif'!BO12</f>
        <v>24594</v>
      </c>
      <c r="BQ22" s="41">
        <f>'14_BNP Paribas Cardif'!BP12</f>
        <v>24666</v>
      </c>
      <c r="BR22" s="41">
        <f>'14_BNP Paribas Cardif'!BQ12</f>
        <v>24739</v>
      </c>
      <c r="BS22" s="41">
        <f>'14_BNP Paribas Cardif'!BR12</f>
        <v>24811</v>
      </c>
      <c r="BT22" s="41">
        <f>'14_BNP Paribas Cardif'!BS12</f>
        <v>24884</v>
      </c>
      <c r="BU22" s="41">
        <f>'14_BNP Paribas Cardif'!BT12</f>
        <v>24957</v>
      </c>
      <c r="BV22" s="41">
        <f>'14_BNP Paribas Cardif'!BU12</f>
        <v>25030</v>
      </c>
      <c r="BW22" s="67"/>
    </row>
    <row r="23">
      <c r="A23" s="41" t="str">
        <f>'15_BNP Paribas Cardif - Hogar P'!A1</f>
        <v>Actor: BNP Paribas Cardif - Hogar Perú</v>
      </c>
      <c r="B23" s="7"/>
      <c r="C23" s="41">
        <f>'15_BNP Paribas Cardif - Hogar P'!B12</f>
        <v>0</v>
      </c>
      <c r="D23" s="41">
        <f>'15_BNP Paribas Cardif - Hogar P'!C12</f>
        <v>0</v>
      </c>
      <c r="E23" s="41">
        <f>'15_BNP Paribas Cardif - Hogar P'!D12</f>
        <v>0</v>
      </c>
      <c r="F23" s="41">
        <f>'15_BNP Paribas Cardif - Hogar P'!E12</f>
        <v>0</v>
      </c>
      <c r="G23" s="41">
        <f>'15_BNP Paribas Cardif - Hogar P'!F12</f>
        <v>0</v>
      </c>
      <c r="H23" s="41">
        <f>'15_BNP Paribas Cardif - Hogar P'!G12</f>
        <v>0</v>
      </c>
      <c r="I23" s="41">
        <f>'15_BNP Paribas Cardif - Hogar P'!H12</f>
        <v>0</v>
      </c>
      <c r="J23" s="41">
        <f>'15_BNP Paribas Cardif - Hogar P'!I12</f>
        <v>0</v>
      </c>
      <c r="K23" s="41">
        <f>'15_BNP Paribas Cardif - Hogar P'!J12</f>
        <v>0</v>
      </c>
      <c r="L23" s="41">
        <f>'15_BNP Paribas Cardif - Hogar P'!K12</f>
        <v>0</v>
      </c>
      <c r="M23" s="41">
        <f>'15_BNP Paribas Cardif - Hogar P'!L12</f>
        <v>0</v>
      </c>
      <c r="N23" s="41">
        <f>'15_BNP Paribas Cardif - Hogar P'!M12</f>
        <v>0</v>
      </c>
      <c r="O23" s="41">
        <f>'15_BNP Paribas Cardif - Hogar P'!N12</f>
        <v>7800</v>
      </c>
      <c r="P23" s="41">
        <f>'15_BNP Paribas Cardif - Hogar P'!O12</f>
        <v>7823</v>
      </c>
      <c r="Q23" s="41">
        <f>'15_BNP Paribas Cardif - Hogar P'!P12</f>
        <v>7846</v>
      </c>
      <c r="R23" s="41">
        <f>'15_BNP Paribas Cardif - Hogar P'!Q12</f>
        <v>7869</v>
      </c>
      <c r="S23" s="41">
        <f>'15_BNP Paribas Cardif - Hogar P'!R12</f>
        <v>7892</v>
      </c>
      <c r="T23" s="41">
        <f>'15_BNP Paribas Cardif - Hogar P'!S12</f>
        <v>7915</v>
      </c>
      <c r="U23" s="41">
        <f>'15_BNP Paribas Cardif - Hogar P'!T12</f>
        <v>7938</v>
      </c>
      <c r="V23" s="41">
        <f>'15_BNP Paribas Cardif - Hogar P'!U12</f>
        <v>7961</v>
      </c>
      <c r="W23" s="41">
        <f>'15_BNP Paribas Cardif - Hogar P'!V12</f>
        <v>7985</v>
      </c>
      <c r="X23" s="41">
        <f>'15_BNP Paribas Cardif - Hogar P'!W12</f>
        <v>8008</v>
      </c>
      <c r="Y23" s="41">
        <f>'15_BNP Paribas Cardif - Hogar P'!X12</f>
        <v>8032</v>
      </c>
      <c r="Z23" s="41">
        <f>'15_BNP Paribas Cardif - Hogar P'!Y12</f>
        <v>8055</v>
      </c>
      <c r="AA23" s="41">
        <f>'15_BNP Paribas Cardif - Hogar P'!Z12</f>
        <v>8079</v>
      </c>
      <c r="AB23" s="41">
        <f>'15_BNP Paribas Cardif - Hogar P'!AA12</f>
        <v>8102</v>
      </c>
      <c r="AC23" s="41">
        <f>'15_BNP Paribas Cardif - Hogar P'!AB12</f>
        <v>8126</v>
      </c>
      <c r="AD23" s="41">
        <f>'15_BNP Paribas Cardif - Hogar P'!AC12</f>
        <v>8150</v>
      </c>
      <c r="AE23" s="41">
        <f>'15_BNP Paribas Cardif - Hogar P'!AD12</f>
        <v>8174</v>
      </c>
      <c r="AF23" s="41">
        <f>'15_BNP Paribas Cardif - Hogar P'!AE12</f>
        <v>8198</v>
      </c>
      <c r="AG23" s="41">
        <f>'15_BNP Paribas Cardif - Hogar P'!AF12</f>
        <v>8222</v>
      </c>
      <c r="AH23" s="41">
        <f>'15_BNP Paribas Cardif - Hogar P'!AG12</f>
        <v>8246</v>
      </c>
      <c r="AI23" s="41">
        <f>'15_BNP Paribas Cardif - Hogar P'!AH12</f>
        <v>8270</v>
      </c>
      <c r="AJ23" s="41">
        <f>'15_BNP Paribas Cardif - Hogar P'!AI12</f>
        <v>8294</v>
      </c>
      <c r="AK23" s="41">
        <f>'15_BNP Paribas Cardif - Hogar P'!AJ12</f>
        <v>8319</v>
      </c>
      <c r="AL23" s="41">
        <f>'15_BNP Paribas Cardif - Hogar P'!AK12</f>
        <v>8343</v>
      </c>
      <c r="AM23" s="41">
        <f>'15_BNP Paribas Cardif - Hogar P'!AL12</f>
        <v>8367</v>
      </c>
      <c r="AN23" s="41">
        <f>'15_BNP Paribas Cardif - Hogar P'!AM12</f>
        <v>8392</v>
      </c>
      <c r="AO23" s="41">
        <f>'15_BNP Paribas Cardif - Hogar P'!AN12</f>
        <v>8416</v>
      </c>
      <c r="AP23" s="41">
        <f>'15_BNP Paribas Cardif - Hogar P'!AO12</f>
        <v>8441</v>
      </c>
      <c r="AQ23" s="41">
        <f>'15_BNP Paribas Cardif - Hogar P'!AP12</f>
        <v>8466</v>
      </c>
      <c r="AR23" s="41">
        <f>'15_BNP Paribas Cardif - Hogar P'!AQ12</f>
        <v>8491</v>
      </c>
      <c r="AS23" s="41">
        <f>'15_BNP Paribas Cardif - Hogar P'!AR12</f>
        <v>8516</v>
      </c>
      <c r="AT23" s="41">
        <f>'15_BNP Paribas Cardif - Hogar P'!AS12</f>
        <v>8541</v>
      </c>
      <c r="AU23" s="41">
        <f>'15_BNP Paribas Cardif - Hogar P'!AT12</f>
        <v>8566</v>
      </c>
      <c r="AV23" s="41">
        <f>'15_BNP Paribas Cardif - Hogar P'!AU12</f>
        <v>8591</v>
      </c>
      <c r="AW23" s="41">
        <f>'15_BNP Paribas Cardif - Hogar P'!AV12</f>
        <v>8616</v>
      </c>
      <c r="AX23" s="41">
        <f>'15_BNP Paribas Cardif - Hogar P'!AW12</f>
        <v>8641</v>
      </c>
      <c r="AY23" s="41">
        <f>'15_BNP Paribas Cardif - Hogar P'!AX12</f>
        <v>8666</v>
      </c>
      <c r="AZ23" s="41">
        <f>'15_BNP Paribas Cardif - Hogar P'!AY12</f>
        <v>8692</v>
      </c>
      <c r="BA23" s="41">
        <f>'15_BNP Paribas Cardif - Hogar P'!AZ12</f>
        <v>8717</v>
      </c>
      <c r="BB23" s="41">
        <f>'15_BNP Paribas Cardif - Hogar P'!BA12</f>
        <v>8743</v>
      </c>
      <c r="BC23" s="41">
        <f>'15_BNP Paribas Cardif - Hogar P'!BB12</f>
        <v>8768</v>
      </c>
      <c r="BD23" s="41">
        <f>'15_BNP Paribas Cardif - Hogar P'!BC12</f>
        <v>8794</v>
      </c>
      <c r="BE23" s="41">
        <f>'15_BNP Paribas Cardif - Hogar P'!BD12</f>
        <v>8820</v>
      </c>
      <c r="BF23" s="41">
        <f>'15_BNP Paribas Cardif - Hogar P'!BE12</f>
        <v>8846</v>
      </c>
      <c r="BG23" s="41">
        <f>'15_BNP Paribas Cardif - Hogar P'!BF12</f>
        <v>8872</v>
      </c>
      <c r="BH23" s="41">
        <f>'15_BNP Paribas Cardif - Hogar P'!BG12</f>
        <v>8898</v>
      </c>
      <c r="BI23" s="41">
        <f>'15_BNP Paribas Cardif - Hogar P'!BH12</f>
        <v>8924</v>
      </c>
      <c r="BJ23" s="41">
        <f>'15_BNP Paribas Cardif - Hogar P'!BI12</f>
        <v>8950</v>
      </c>
      <c r="BK23" s="41">
        <f>'15_BNP Paribas Cardif - Hogar P'!BJ12</f>
        <v>8976</v>
      </c>
      <c r="BL23" s="41">
        <f>'15_BNP Paribas Cardif - Hogar P'!BK12</f>
        <v>9002</v>
      </c>
      <c r="BM23" s="41">
        <f>'15_BNP Paribas Cardif - Hogar P'!BL12</f>
        <v>9029</v>
      </c>
      <c r="BN23" s="41">
        <f>'15_BNP Paribas Cardif - Hogar P'!BM12</f>
        <v>9055</v>
      </c>
      <c r="BO23" s="41">
        <f>'15_BNP Paribas Cardif - Hogar P'!BN12</f>
        <v>9082</v>
      </c>
      <c r="BP23" s="41">
        <f>'15_BNP Paribas Cardif - Hogar P'!BO12</f>
        <v>9108</v>
      </c>
      <c r="BQ23" s="41">
        <f>'15_BNP Paribas Cardif - Hogar P'!BP12</f>
        <v>9135</v>
      </c>
      <c r="BR23" s="41">
        <f>'15_BNP Paribas Cardif - Hogar P'!BQ12</f>
        <v>9162</v>
      </c>
      <c r="BS23" s="41">
        <f>'15_BNP Paribas Cardif - Hogar P'!BR12</f>
        <v>9189</v>
      </c>
      <c r="BT23" s="41">
        <f>'15_BNP Paribas Cardif - Hogar P'!BS12</f>
        <v>9216</v>
      </c>
      <c r="BU23" s="41">
        <f>'15_BNP Paribas Cardif - Hogar P'!BT12</f>
        <v>9243</v>
      </c>
      <c r="BV23" s="41">
        <f>'15_BNP Paribas Cardif - Hogar P'!BU12</f>
        <v>9270</v>
      </c>
      <c r="BW23" s="67"/>
    </row>
    <row r="24">
      <c r="A24" s="41" t="str">
        <f>'16_BNP Paribas Cardif - Vet Col'!A1</f>
        <v>Actor: BNP Paribas Cardif - Vet Colombia</v>
      </c>
      <c r="B24" s="7"/>
      <c r="C24" s="41">
        <f>'16_BNP Paribas Cardif - Vet Col'!B12</f>
        <v>0</v>
      </c>
      <c r="D24" s="41">
        <f>'16_BNP Paribas Cardif - Vet Col'!C12</f>
        <v>0</v>
      </c>
      <c r="E24" s="41">
        <f>'16_BNP Paribas Cardif - Vet Col'!D12</f>
        <v>0</v>
      </c>
      <c r="F24" s="41">
        <f>'16_BNP Paribas Cardif - Vet Col'!E12</f>
        <v>0</v>
      </c>
      <c r="G24" s="41">
        <f>'16_BNP Paribas Cardif - Vet Col'!F12</f>
        <v>0</v>
      </c>
      <c r="H24" s="41">
        <f>'16_BNP Paribas Cardif - Vet Col'!G12</f>
        <v>0</v>
      </c>
      <c r="I24" s="41">
        <f>'16_BNP Paribas Cardif - Vet Col'!H12</f>
        <v>0</v>
      </c>
      <c r="J24" s="41">
        <f>'16_BNP Paribas Cardif - Vet Col'!I12</f>
        <v>0</v>
      </c>
      <c r="K24" s="41">
        <f>'16_BNP Paribas Cardif - Vet Col'!J12</f>
        <v>0</v>
      </c>
      <c r="L24" s="41">
        <f>'16_BNP Paribas Cardif - Vet Col'!K12</f>
        <v>0</v>
      </c>
      <c r="M24" s="41">
        <f>'16_BNP Paribas Cardif - Vet Col'!L12</f>
        <v>0</v>
      </c>
      <c r="N24" s="41">
        <f>'16_BNP Paribas Cardif - Vet Col'!M12</f>
        <v>0</v>
      </c>
      <c r="O24" s="41">
        <f>'16_BNP Paribas Cardif - Vet Col'!N12</f>
        <v>0</v>
      </c>
      <c r="P24" s="41">
        <f>'16_BNP Paribas Cardif - Vet Col'!O12</f>
        <v>12000</v>
      </c>
      <c r="Q24" s="41">
        <f>'16_BNP Paribas Cardif - Vet Col'!P12</f>
        <v>12035</v>
      </c>
      <c r="R24" s="41">
        <f>'16_BNP Paribas Cardif - Vet Col'!Q12</f>
        <v>12070</v>
      </c>
      <c r="S24" s="41">
        <f>'16_BNP Paribas Cardif - Vet Col'!R12</f>
        <v>12106</v>
      </c>
      <c r="T24" s="41">
        <f>'16_BNP Paribas Cardif - Vet Col'!S12</f>
        <v>12141</v>
      </c>
      <c r="U24" s="41">
        <f>'16_BNP Paribas Cardif - Vet Col'!T12</f>
        <v>12177</v>
      </c>
      <c r="V24" s="41">
        <f>'16_BNP Paribas Cardif - Vet Col'!U12</f>
        <v>12213</v>
      </c>
      <c r="W24" s="41">
        <f>'16_BNP Paribas Cardif - Vet Col'!V12</f>
        <v>12248</v>
      </c>
      <c r="X24" s="41">
        <f>'16_BNP Paribas Cardif - Vet Col'!W12</f>
        <v>12284</v>
      </c>
      <c r="Y24" s="41">
        <f>'16_BNP Paribas Cardif - Vet Col'!X12</f>
        <v>12320</v>
      </c>
      <c r="Z24" s="41">
        <f>'16_BNP Paribas Cardif - Vet Col'!Y12</f>
        <v>12356</v>
      </c>
      <c r="AA24" s="41">
        <f>'16_BNP Paribas Cardif - Vet Col'!Z12</f>
        <v>12392</v>
      </c>
      <c r="AB24" s="41">
        <f>'16_BNP Paribas Cardif - Vet Col'!AA12</f>
        <v>12429</v>
      </c>
      <c r="AC24" s="41">
        <f>'16_BNP Paribas Cardif - Vet Col'!AB12</f>
        <v>12465</v>
      </c>
      <c r="AD24" s="41">
        <f>'16_BNP Paribas Cardif - Vet Col'!AC12</f>
        <v>12502</v>
      </c>
      <c r="AE24" s="41">
        <f>'16_BNP Paribas Cardif - Vet Col'!AD12</f>
        <v>12538</v>
      </c>
      <c r="AF24" s="41">
        <f>'16_BNP Paribas Cardif - Vet Col'!AE12</f>
        <v>12575</v>
      </c>
      <c r="AG24" s="41">
        <f>'16_BNP Paribas Cardif - Vet Col'!AF12</f>
        <v>12612</v>
      </c>
      <c r="AH24" s="41">
        <f>'16_BNP Paribas Cardif - Vet Col'!AG12</f>
        <v>12649</v>
      </c>
      <c r="AI24" s="41">
        <f>'16_BNP Paribas Cardif - Vet Col'!AH12</f>
        <v>12686</v>
      </c>
      <c r="AJ24" s="41">
        <f>'16_BNP Paribas Cardif - Vet Col'!AI12</f>
        <v>12723</v>
      </c>
      <c r="AK24" s="41">
        <f>'16_BNP Paribas Cardif - Vet Col'!AJ12</f>
        <v>12760</v>
      </c>
      <c r="AL24" s="41">
        <f>'16_BNP Paribas Cardif - Vet Col'!AK12</f>
        <v>12798</v>
      </c>
      <c r="AM24" s="41">
        <f>'16_BNP Paribas Cardif - Vet Col'!AL12</f>
        <v>12835</v>
      </c>
      <c r="AN24" s="41">
        <f>'16_BNP Paribas Cardif - Vet Col'!AM12</f>
        <v>12873</v>
      </c>
      <c r="AO24" s="41">
        <f>'16_BNP Paribas Cardif - Vet Col'!AN12</f>
        <v>12911</v>
      </c>
      <c r="AP24" s="41">
        <f>'16_BNP Paribas Cardif - Vet Col'!AO12</f>
        <v>12948</v>
      </c>
      <c r="AQ24" s="41">
        <f>'16_BNP Paribas Cardif - Vet Col'!AP12</f>
        <v>12986</v>
      </c>
      <c r="AR24" s="41">
        <f>'16_BNP Paribas Cardif - Vet Col'!AQ12</f>
        <v>13024</v>
      </c>
      <c r="AS24" s="41">
        <f>'16_BNP Paribas Cardif - Vet Col'!AR12</f>
        <v>13063</v>
      </c>
      <c r="AT24" s="41">
        <f>'16_BNP Paribas Cardif - Vet Col'!AS12</f>
        <v>13101</v>
      </c>
      <c r="AU24" s="41">
        <f>'16_BNP Paribas Cardif - Vet Col'!AT12</f>
        <v>13139</v>
      </c>
      <c r="AV24" s="41">
        <f>'16_BNP Paribas Cardif - Vet Col'!AU12</f>
        <v>13178</v>
      </c>
      <c r="AW24" s="41">
        <f>'16_BNP Paribas Cardif - Vet Col'!AV12</f>
        <v>13216</v>
      </c>
      <c r="AX24" s="41">
        <f>'16_BNP Paribas Cardif - Vet Col'!AW12</f>
        <v>13255</v>
      </c>
      <c r="AY24" s="41">
        <f>'16_BNP Paribas Cardif - Vet Col'!AX12</f>
        <v>13294</v>
      </c>
      <c r="AZ24" s="41">
        <f>'16_BNP Paribas Cardif - Vet Col'!AY12</f>
        <v>13333</v>
      </c>
      <c r="BA24" s="41">
        <f>'16_BNP Paribas Cardif - Vet Col'!AZ12</f>
        <v>13372</v>
      </c>
      <c r="BB24" s="41">
        <f>'16_BNP Paribas Cardif - Vet Col'!BA12</f>
        <v>13411</v>
      </c>
      <c r="BC24" s="41">
        <f>'16_BNP Paribas Cardif - Vet Col'!BB12</f>
        <v>13450</v>
      </c>
      <c r="BD24" s="41">
        <f>'16_BNP Paribas Cardif - Vet Col'!BC12</f>
        <v>13490</v>
      </c>
      <c r="BE24" s="41">
        <f>'16_BNP Paribas Cardif - Vet Col'!BD12</f>
        <v>13529</v>
      </c>
      <c r="BF24" s="41">
        <f>'16_BNP Paribas Cardif - Vet Col'!BE12</f>
        <v>13569</v>
      </c>
      <c r="BG24" s="41">
        <f>'16_BNP Paribas Cardif - Vet Col'!BF12</f>
        <v>13609</v>
      </c>
      <c r="BH24" s="41">
        <f>'16_BNP Paribas Cardif - Vet Col'!BG12</f>
        <v>13649</v>
      </c>
      <c r="BI24" s="41">
        <f>'16_BNP Paribas Cardif - Vet Col'!BH12</f>
        <v>13689</v>
      </c>
      <c r="BJ24" s="41">
        <f>'16_BNP Paribas Cardif - Vet Col'!BI12</f>
        <v>13729</v>
      </c>
      <c r="BK24" s="41">
        <f>'16_BNP Paribas Cardif - Vet Col'!BJ12</f>
        <v>13769</v>
      </c>
      <c r="BL24" s="41">
        <f>'16_BNP Paribas Cardif - Vet Col'!BK12</f>
        <v>13809</v>
      </c>
      <c r="BM24" s="41">
        <f>'16_BNP Paribas Cardif - Vet Col'!BL12</f>
        <v>13850</v>
      </c>
      <c r="BN24" s="41">
        <f>'16_BNP Paribas Cardif - Vet Col'!BM12</f>
        <v>13890</v>
      </c>
      <c r="BO24" s="41">
        <f>'16_BNP Paribas Cardif - Vet Col'!BN12</f>
        <v>13931</v>
      </c>
      <c r="BP24" s="41">
        <f>'16_BNP Paribas Cardif - Vet Col'!BO12</f>
        <v>13972</v>
      </c>
      <c r="BQ24" s="41">
        <f>'16_BNP Paribas Cardif - Vet Col'!BP12</f>
        <v>14013</v>
      </c>
      <c r="BR24" s="41">
        <f>'16_BNP Paribas Cardif - Vet Col'!BQ12</f>
        <v>14054</v>
      </c>
      <c r="BS24" s="41">
        <f>'16_BNP Paribas Cardif - Vet Col'!BR12</f>
        <v>14095</v>
      </c>
      <c r="BT24" s="41">
        <f>'16_BNP Paribas Cardif - Vet Col'!BS12</f>
        <v>14136</v>
      </c>
      <c r="BU24" s="41">
        <f>'16_BNP Paribas Cardif - Vet Col'!BT12</f>
        <v>14178</v>
      </c>
      <c r="BV24" s="41">
        <f>'16_BNP Paribas Cardif - Vet Col'!BU12</f>
        <v>14219</v>
      </c>
      <c r="BW24" s="67"/>
    </row>
    <row r="25">
      <c r="A25" s="41" t="str">
        <f>'17_BNP Paribas Cardif - Salud M'!A1</f>
        <v>Actor: BNP Paribas Cardif - Salud México</v>
      </c>
      <c r="B25" s="7"/>
      <c r="C25" s="41">
        <f>'17_BNP Paribas Cardif - Salud M'!B12</f>
        <v>0</v>
      </c>
      <c r="D25" s="41">
        <f>'17_BNP Paribas Cardif - Salud M'!C12</f>
        <v>0</v>
      </c>
      <c r="E25" s="41">
        <f>'17_BNP Paribas Cardif - Salud M'!D12</f>
        <v>0</v>
      </c>
      <c r="F25" s="41">
        <f>'17_BNP Paribas Cardif - Salud M'!E12</f>
        <v>0</v>
      </c>
      <c r="G25" s="41">
        <f>'17_BNP Paribas Cardif - Salud M'!F12</f>
        <v>0</v>
      </c>
      <c r="H25" s="41">
        <f>'17_BNP Paribas Cardif - Salud M'!G12</f>
        <v>0</v>
      </c>
      <c r="I25" s="41">
        <f>'17_BNP Paribas Cardif - Salud M'!H12</f>
        <v>0</v>
      </c>
      <c r="J25" s="41">
        <f>'17_BNP Paribas Cardif - Salud M'!I12</f>
        <v>0</v>
      </c>
      <c r="K25" s="41">
        <f>'17_BNP Paribas Cardif - Salud M'!J12</f>
        <v>0</v>
      </c>
      <c r="L25" s="41">
        <f>'17_BNP Paribas Cardif - Salud M'!K12</f>
        <v>0</v>
      </c>
      <c r="M25" s="41">
        <f>'17_BNP Paribas Cardif - Salud M'!L12</f>
        <v>0</v>
      </c>
      <c r="N25" s="41">
        <f>'17_BNP Paribas Cardif - Salud M'!M12</f>
        <v>0</v>
      </c>
      <c r="O25" s="41">
        <f>'17_BNP Paribas Cardif - Salud M'!N12</f>
        <v>0</v>
      </c>
      <c r="P25" s="41">
        <f>'17_BNP Paribas Cardif - Salud M'!O12</f>
        <v>0</v>
      </c>
      <c r="Q25" s="41">
        <f>'17_BNP Paribas Cardif - Salud M'!P12</f>
        <v>19500</v>
      </c>
      <c r="R25" s="41">
        <f>'17_BNP Paribas Cardif - Salud M'!Q12</f>
        <v>19557</v>
      </c>
      <c r="S25" s="41">
        <f>'17_BNP Paribas Cardif - Salud M'!R12</f>
        <v>19614</v>
      </c>
      <c r="T25" s="41">
        <f>'17_BNP Paribas Cardif - Salud M'!S12</f>
        <v>19672</v>
      </c>
      <c r="U25" s="41">
        <f>'17_BNP Paribas Cardif - Salud M'!T12</f>
        <v>19730</v>
      </c>
      <c r="V25" s="41">
        <f>'17_BNP Paribas Cardif - Salud M'!U12</f>
        <v>19787</v>
      </c>
      <c r="W25" s="41">
        <f>'17_BNP Paribas Cardif - Salud M'!V12</f>
        <v>19845</v>
      </c>
      <c r="X25" s="41">
        <f>'17_BNP Paribas Cardif - Salud M'!W12</f>
        <v>19903</v>
      </c>
      <c r="Y25" s="41">
        <f>'17_BNP Paribas Cardif - Salud M'!X12</f>
        <v>19962</v>
      </c>
      <c r="Z25" s="41">
        <f>'17_BNP Paribas Cardif - Salud M'!Y12</f>
        <v>20020</v>
      </c>
      <c r="AA25" s="41">
        <f>'17_BNP Paribas Cardif - Salud M'!Z12</f>
        <v>20079</v>
      </c>
      <c r="AB25" s="41">
        <f>'17_BNP Paribas Cardif - Salud M'!AA12</f>
        <v>20138</v>
      </c>
      <c r="AC25" s="41">
        <f>'17_BNP Paribas Cardif - Salud M'!AB12</f>
        <v>20197</v>
      </c>
      <c r="AD25" s="41">
        <f>'17_BNP Paribas Cardif - Salud M'!AC12</f>
        <v>20256</v>
      </c>
      <c r="AE25" s="41">
        <f>'17_BNP Paribas Cardif - Salud M'!AD12</f>
        <v>20315</v>
      </c>
      <c r="AF25" s="41">
        <f>'17_BNP Paribas Cardif - Salud M'!AE12</f>
        <v>20375</v>
      </c>
      <c r="AG25" s="41">
        <f>'17_BNP Paribas Cardif - Salud M'!AF12</f>
        <v>20435</v>
      </c>
      <c r="AH25" s="41">
        <f>'17_BNP Paribas Cardif - Salud M'!AG12</f>
        <v>20494</v>
      </c>
      <c r="AI25" s="41">
        <f>'17_BNP Paribas Cardif - Salud M'!AH12</f>
        <v>20554</v>
      </c>
      <c r="AJ25" s="41">
        <f>'17_BNP Paribas Cardif - Salud M'!AI12</f>
        <v>20615</v>
      </c>
      <c r="AK25" s="41">
        <f>'17_BNP Paribas Cardif - Salud M'!AJ12</f>
        <v>20675</v>
      </c>
      <c r="AL25" s="41">
        <f>'17_BNP Paribas Cardif - Salud M'!AK12</f>
        <v>20736</v>
      </c>
      <c r="AM25" s="41">
        <f>'17_BNP Paribas Cardif - Salud M'!AL12</f>
        <v>20796</v>
      </c>
      <c r="AN25" s="41">
        <f>'17_BNP Paribas Cardif - Salud M'!AM12</f>
        <v>20857</v>
      </c>
      <c r="AO25" s="41">
        <f>'17_BNP Paribas Cardif - Salud M'!AN12</f>
        <v>20918</v>
      </c>
      <c r="AP25" s="41">
        <f>'17_BNP Paribas Cardif - Salud M'!AO12</f>
        <v>20980</v>
      </c>
      <c r="AQ25" s="41">
        <f>'17_BNP Paribas Cardif - Salud M'!AP12</f>
        <v>21041</v>
      </c>
      <c r="AR25" s="41">
        <f>'17_BNP Paribas Cardif - Salud M'!AQ12</f>
        <v>21103</v>
      </c>
      <c r="AS25" s="41">
        <f>'17_BNP Paribas Cardif - Salud M'!AR12</f>
        <v>21165</v>
      </c>
      <c r="AT25" s="41">
        <f>'17_BNP Paribas Cardif - Salud M'!AS12</f>
        <v>21227</v>
      </c>
      <c r="AU25" s="41">
        <f>'17_BNP Paribas Cardif - Salud M'!AT12</f>
        <v>21289</v>
      </c>
      <c r="AV25" s="41">
        <f>'17_BNP Paribas Cardif - Salud M'!AU12</f>
        <v>21351</v>
      </c>
      <c r="AW25" s="41">
        <f>'17_BNP Paribas Cardif - Salud M'!AV12</f>
        <v>21414</v>
      </c>
      <c r="AX25" s="41">
        <f>'17_BNP Paribas Cardif - Salud M'!AW12</f>
        <v>21477</v>
      </c>
      <c r="AY25" s="41">
        <f>'17_BNP Paribas Cardif - Salud M'!AX12</f>
        <v>21540</v>
      </c>
      <c r="AZ25" s="41">
        <f>'17_BNP Paribas Cardif - Salud M'!AY12</f>
        <v>21603</v>
      </c>
      <c r="BA25" s="41">
        <f>'17_BNP Paribas Cardif - Salud M'!AZ12</f>
        <v>21666</v>
      </c>
      <c r="BB25" s="41">
        <f>'17_BNP Paribas Cardif - Salud M'!BA12</f>
        <v>21729</v>
      </c>
      <c r="BC25" s="41">
        <f>'17_BNP Paribas Cardif - Salud M'!BB12</f>
        <v>21793</v>
      </c>
      <c r="BD25" s="41">
        <f>'17_BNP Paribas Cardif - Salud M'!BC12</f>
        <v>21857</v>
      </c>
      <c r="BE25" s="41">
        <f>'17_BNP Paribas Cardif - Salud M'!BD12</f>
        <v>21921</v>
      </c>
      <c r="BF25" s="41">
        <f>'17_BNP Paribas Cardif - Salud M'!BE12</f>
        <v>21985</v>
      </c>
      <c r="BG25" s="41">
        <f>'17_BNP Paribas Cardif - Salud M'!BF12</f>
        <v>22050</v>
      </c>
      <c r="BH25" s="41">
        <f>'17_BNP Paribas Cardif - Salud M'!BG12</f>
        <v>22114</v>
      </c>
      <c r="BI25" s="41">
        <f>'17_BNP Paribas Cardif - Salud M'!BH12</f>
        <v>22179</v>
      </c>
      <c r="BJ25" s="41">
        <f>'17_BNP Paribas Cardif - Salud M'!BI12</f>
        <v>22244</v>
      </c>
      <c r="BK25" s="41">
        <f>'17_BNP Paribas Cardif - Salud M'!BJ12</f>
        <v>22309</v>
      </c>
      <c r="BL25" s="41">
        <f>'17_BNP Paribas Cardif - Salud M'!BK12</f>
        <v>22375</v>
      </c>
      <c r="BM25" s="41">
        <f>'17_BNP Paribas Cardif - Salud M'!BL12</f>
        <v>22440</v>
      </c>
      <c r="BN25" s="41">
        <f>'17_BNP Paribas Cardif - Salud M'!BM12</f>
        <v>22506</v>
      </c>
      <c r="BO25" s="41">
        <f>'17_BNP Paribas Cardif - Salud M'!BN12</f>
        <v>22572</v>
      </c>
      <c r="BP25" s="41">
        <f>'17_BNP Paribas Cardif - Salud M'!BO12</f>
        <v>22638</v>
      </c>
      <c r="BQ25" s="41">
        <f>'17_BNP Paribas Cardif - Salud M'!BP12</f>
        <v>22704</v>
      </c>
      <c r="BR25" s="41">
        <f>'17_BNP Paribas Cardif - Salud M'!BQ12</f>
        <v>22771</v>
      </c>
      <c r="BS25" s="41">
        <f>'17_BNP Paribas Cardif - Salud M'!BR12</f>
        <v>22837</v>
      </c>
      <c r="BT25" s="41">
        <f>'17_BNP Paribas Cardif - Salud M'!BS12</f>
        <v>22904</v>
      </c>
      <c r="BU25" s="41">
        <f>'17_BNP Paribas Cardif - Salud M'!BT12</f>
        <v>22972</v>
      </c>
      <c r="BV25" s="41">
        <f>'17_BNP Paribas Cardif - Salud M'!BU12</f>
        <v>23039</v>
      </c>
      <c r="BW25" s="67"/>
    </row>
    <row r="26">
      <c r="A26" s="41" t="str">
        <f>'18_BNP Paribas Cardif - Salud B'!A1</f>
        <v>Actor: BNP Paribas Cardif - Salud Brasil</v>
      </c>
      <c r="B26" s="7"/>
      <c r="C26" s="41">
        <f>'18_BNP Paribas Cardif - Salud B'!B12</f>
        <v>0</v>
      </c>
      <c r="D26" s="41">
        <f>'18_BNP Paribas Cardif - Salud B'!C12</f>
        <v>0</v>
      </c>
      <c r="E26" s="41">
        <f>'18_BNP Paribas Cardif - Salud B'!D12</f>
        <v>0</v>
      </c>
      <c r="F26" s="41">
        <f>'18_BNP Paribas Cardif - Salud B'!E12</f>
        <v>0</v>
      </c>
      <c r="G26" s="41">
        <f>'18_BNP Paribas Cardif - Salud B'!F12</f>
        <v>0</v>
      </c>
      <c r="H26" s="41">
        <f>'18_BNP Paribas Cardif - Salud B'!G12</f>
        <v>0</v>
      </c>
      <c r="I26" s="41">
        <f>'18_BNP Paribas Cardif - Salud B'!H12</f>
        <v>0</v>
      </c>
      <c r="J26" s="41">
        <f>'18_BNP Paribas Cardif - Salud B'!I12</f>
        <v>0</v>
      </c>
      <c r="K26" s="41">
        <f>'18_BNP Paribas Cardif - Salud B'!J12</f>
        <v>0</v>
      </c>
      <c r="L26" s="41">
        <f>'18_BNP Paribas Cardif - Salud B'!K12</f>
        <v>0</v>
      </c>
      <c r="M26" s="41">
        <f>'18_BNP Paribas Cardif - Salud B'!L12</f>
        <v>0</v>
      </c>
      <c r="N26" s="41">
        <f>'18_BNP Paribas Cardif - Salud B'!M12</f>
        <v>0</v>
      </c>
      <c r="O26" s="41">
        <f>'18_BNP Paribas Cardif - Salud B'!N12</f>
        <v>0</v>
      </c>
      <c r="P26" s="41">
        <f>'18_BNP Paribas Cardif - Salud B'!O12</f>
        <v>0</v>
      </c>
      <c r="Q26" s="41">
        <f>'18_BNP Paribas Cardif - Salud B'!P12</f>
        <v>0</v>
      </c>
      <c r="R26" s="41">
        <f>'18_BNP Paribas Cardif - Salud B'!Q12</f>
        <v>216000</v>
      </c>
      <c r="S26" s="41">
        <f>'18_BNP Paribas Cardif - Salud B'!R12</f>
        <v>216843</v>
      </c>
      <c r="T26" s="41">
        <f>'18_BNP Paribas Cardif - Salud B'!S12</f>
        <v>217690</v>
      </c>
      <c r="U26" s="41">
        <f>'18_BNP Paribas Cardif - Salud B'!T12</f>
        <v>218540</v>
      </c>
      <c r="V26" s="41">
        <f>'18_BNP Paribas Cardif - Salud B'!U12</f>
        <v>219393</v>
      </c>
      <c r="W26" s="41">
        <f>'18_BNP Paribas Cardif - Salud B'!V12</f>
        <v>220249</v>
      </c>
      <c r="X26" s="41">
        <f>'18_BNP Paribas Cardif - Salud B'!W12</f>
        <v>221109</v>
      </c>
      <c r="Y26" s="41">
        <f>'18_BNP Paribas Cardif - Salud B'!X12</f>
        <v>221972</v>
      </c>
      <c r="Z26" s="41">
        <f>'18_BNP Paribas Cardif - Salud B'!Y12</f>
        <v>222839</v>
      </c>
      <c r="AA26" s="41">
        <f>'18_BNP Paribas Cardif - Salud B'!Z12</f>
        <v>223709</v>
      </c>
      <c r="AB26" s="41">
        <f>'18_BNP Paribas Cardif - Salud B'!AA12</f>
        <v>224582</v>
      </c>
      <c r="AC26" s="41">
        <f>'18_BNP Paribas Cardif - Salud B'!AB12</f>
        <v>225459</v>
      </c>
      <c r="AD26" s="41">
        <f>'18_BNP Paribas Cardif - Salud B'!AC12</f>
        <v>226339</v>
      </c>
      <c r="AE26" s="41">
        <f>'18_BNP Paribas Cardif - Salud B'!AD12</f>
        <v>227223</v>
      </c>
      <c r="AF26" s="41">
        <f>'18_BNP Paribas Cardif - Salud B'!AE12</f>
        <v>228110</v>
      </c>
      <c r="AG26" s="41">
        <f>'18_BNP Paribas Cardif - Salud B'!AF12</f>
        <v>229001</v>
      </c>
      <c r="AH26" s="41">
        <f>'18_BNP Paribas Cardif - Salud B'!AG12</f>
        <v>229895</v>
      </c>
      <c r="AI26" s="41">
        <f>'18_BNP Paribas Cardif - Salud B'!AH12</f>
        <v>230792</v>
      </c>
      <c r="AJ26" s="41">
        <f>'18_BNP Paribas Cardif - Salud B'!AI12</f>
        <v>231693</v>
      </c>
      <c r="AK26" s="41">
        <f>'18_BNP Paribas Cardif - Salud B'!AJ12</f>
        <v>232598</v>
      </c>
      <c r="AL26" s="41">
        <f>'18_BNP Paribas Cardif - Salud B'!AK12</f>
        <v>233506</v>
      </c>
      <c r="AM26" s="41">
        <f>'18_BNP Paribas Cardif - Salud B'!AL12</f>
        <v>234417</v>
      </c>
      <c r="AN26" s="41">
        <f>'18_BNP Paribas Cardif - Salud B'!AM12</f>
        <v>235332</v>
      </c>
      <c r="AO26" s="41">
        <f>'18_BNP Paribas Cardif - Salud B'!AN12</f>
        <v>236251</v>
      </c>
      <c r="AP26" s="41">
        <f>'18_BNP Paribas Cardif - Salud B'!AO12</f>
        <v>237174</v>
      </c>
      <c r="AQ26" s="41">
        <f>'18_BNP Paribas Cardif - Salud B'!AP12</f>
        <v>238099</v>
      </c>
      <c r="AR26" s="41">
        <f>'18_BNP Paribas Cardif - Salud B'!AQ12</f>
        <v>239029</v>
      </c>
      <c r="AS26" s="41">
        <f>'18_BNP Paribas Cardif - Salud B'!AR12</f>
        <v>239962</v>
      </c>
      <c r="AT26" s="41">
        <f>'18_BNP Paribas Cardif - Salud B'!AS12</f>
        <v>240899</v>
      </c>
      <c r="AU26" s="41">
        <f>'18_BNP Paribas Cardif - Salud B'!AT12</f>
        <v>241839</v>
      </c>
      <c r="AV26" s="41">
        <f>'18_BNP Paribas Cardif - Salud B'!AU12</f>
        <v>242784</v>
      </c>
      <c r="AW26" s="41">
        <f>'18_BNP Paribas Cardif - Salud B'!AV12</f>
        <v>243731</v>
      </c>
      <c r="AX26" s="41">
        <f>'18_BNP Paribas Cardif - Salud B'!AW12</f>
        <v>244683</v>
      </c>
      <c r="AY26" s="41">
        <f>'18_BNP Paribas Cardif - Salud B'!AX12</f>
        <v>245638</v>
      </c>
      <c r="AZ26" s="41">
        <f>'18_BNP Paribas Cardif - Salud B'!AY12</f>
        <v>246597</v>
      </c>
      <c r="BA26" s="41">
        <f>'18_BNP Paribas Cardif - Salud B'!AZ12</f>
        <v>247560</v>
      </c>
      <c r="BB26" s="41">
        <f>'18_BNP Paribas Cardif - Salud B'!BA12</f>
        <v>248526</v>
      </c>
      <c r="BC26" s="41">
        <f>'18_BNP Paribas Cardif - Salud B'!BB12</f>
        <v>249497</v>
      </c>
      <c r="BD26" s="41">
        <f>'18_BNP Paribas Cardif - Salud B'!BC12</f>
        <v>250471</v>
      </c>
      <c r="BE26" s="41">
        <f>'18_BNP Paribas Cardif - Salud B'!BD12</f>
        <v>251448</v>
      </c>
      <c r="BF26" s="41">
        <f>'18_BNP Paribas Cardif - Salud B'!BE12</f>
        <v>252430</v>
      </c>
      <c r="BG26" s="41">
        <f>'18_BNP Paribas Cardif - Salud B'!BF12</f>
        <v>253416</v>
      </c>
      <c r="BH26" s="41">
        <f>'18_BNP Paribas Cardif - Salud B'!BG12</f>
        <v>254405</v>
      </c>
      <c r="BI26" s="41">
        <f>'18_BNP Paribas Cardif - Salud B'!BH12</f>
        <v>255398</v>
      </c>
      <c r="BJ26" s="41">
        <f>'18_BNP Paribas Cardif - Salud B'!BI12</f>
        <v>256395</v>
      </c>
      <c r="BK26" s="41">
        <f>'18_BNP Paribas Cardif - Salud B'!BJ12</f>
        <v>257396</v>
      </c>
      <c r="BL26" s="41">
        <f>'18_BNP Paribas Cardif - Salud B'!BK12</f>
        <v>258401</v>
      </c>
      <c r="BM26" s="41">
        <f>'18_BNP Paribas Cardif - Salud B'!BL12</f>
        <v>259410</v>
      </c>
      <c r="BN26" s="41">
        <f>'18_BNP Paribas Cardif - Salud B'!BM12</f>
        <v>260423</v>
      </c>
      <c r="BO26" s="41">
        <f>'18_BNP Paribas Cardif - Salud B'!BN12</f>
        <v>261439</v>
      </c>
      <c r="BP26" s="41">
        <f>'18_BNP Paribas Cardif - Salud B'!BO12</f>
        <v>262460</v>
      </c>
      <c r="BQ26" s="41">
        <f>'18_BNP Paribas Cardif - Salud B'!BP12</f>
        <v>263485</v>
      </c>
      <c r="BR26" s="41">
        <f>'18_BNP Paribas Cardif - Salud B'!BQ12</f>
        <v>264513</v>
      </c>
      <c r="BS26" s="41">
        <f>'18_BNP Paribas Cardif - Salud B'!BR12</f>
        <v>265546</v>
      </c>
      <c r="BT26" s="41">
        <f>'18_BNP Paribas Cardif - Salud B'!BS12</f>
        <v>266583</v>
      </c>
      <c r="BU26" s="41">
        <f>'18_BNP Paribas Cardif - Salud B'!BT12</f>
        <v>267623</v>
      </c>
      <c r="BV26" s="41">
        <f>'18_BNP Paribas Cardif - Salud B'!BU12</f>
        <v>268668</v>
      </c>
      <c r="BW26" s="67"/>
    </row>
    <row r="27">
      <c r="A27" s="41" t="str">
        <f>'19_Lemonade'!A1</f>
        <v>Actor: Lemonade</v>
      </c>
      <c r="B27" s="7"/>
      <c r="C27" s="41">
        <f>'19_Lemonade'!B12</f>
        <v>0</v>
      </c>
      <c r="D27" s="41">
        <f>'19_Lemonade'!C12</f>
        <v>0</v>
      </c>
      <c r="E27" s="41">
        <f>'19_Lemonade'!D12</f>
        <v>0</v>
      </c>
      <c r="F27" s="41">
        <f>'19_Lemonade'!E12</f>
        <v>0</v>
      </c>
      <c r="G27" s="41">
        <f>'19_Lemonade'!F12</f>
        <v>0</v>
      </c>
      <c r="H27" s="41">
        <f>'19_Lemonade'!G12</f>
        <v>0</v>
      </c>
      <c r="I27" s="41">
        <f>'19_Lemonade'!H12</f>
        <v>0</v>
      </c>
      <c r="J27" s="41">
        <f>'19_Lemonade'!I12</f>
        <v>0</v>
      </c>
      <c r="K27" s="41">
        <f>'19_Lemonade'!J12</f>
        <v>0</v>
      </c>
      <c r="L27" s="41">
        <f>'19_Lemonade'!K12</f>
        <v>0</v>
      </c>
      <c r="M27" s="41">
        <f>'19_Lemonade'!L12</f>
        <v>0</v>
      </c>
      <c r="N27" s="41">
        <f>'19_Lemonade'!M12</f>
        <v>0</v>
      </c>
      <c r="O27" s="41">
        <f>'19_Lemonade'!N12</f>
        <v>0</v>
      </c>
      <c r="P27" s="41">
        <f>'19_Lemonade'!O12</f>
        <v>0</v>
      </c>
      <c r="Q27" s="41">
        <f>'19_Lemonade'!P12</f>
        <v>0</v>
      </c>
      <c r="R27" s="41">
        <f>'19_Lemonade'!Q12</f>
        <v>0</v>
      </c>
      <c r="S27" s="41">
        <f>'19_Lemonade'!R12</f>
        <v>0</v>
      </c>
      <c r="T27" s="41">
        <f>'19_Lemonade'!S12</f>
        <v>0</v>
      </c>
      <c r="U27" s="41">
        <f>'19_Lemonade'!T12</f>
        <v>0</v>
      </c>
      <c r="V27" s="41">
        <f>'19_Lemonade'!U12</f>
        <v>440000</v>
      </c>
      <c r="W27" s="41">
        <f>'19_Lemonade'!V12</f>
        <v>445183</v>
      </c>
      <c r="X27" s="41">
        <f>'19_Lemonade'!W12</f>
        <v>450427</v>
      </c>
      <c r="Y27" s="41">
        <f>'19_Lemonade'!X12</f>
        <v>455733</v>
      </c>
      <c r="Z27" s="41">
        <f>'19_Lemonade'!Y12</f>
        <v>461102</v>
      </c>
      <c r="AA27" s="41">
        <f>'19_Lemonade'!Z12</f>
        <v>466534</v>
      </c>
      <c r="AB27" s="41">
        <f>'19_Lemonade'!AA12</f>
        <v>472030</v>
      </c>
      <c r="AC27" s="41">
        <f>'19_Lemonade'!AB12</f>
        <v>477590</v>
      </c>
      <c r="AD27" s="41">
        <f>'19_Lemonade'!AC12</f>
        <v>483216</v>
      </c>
      <c r="AE27" s="41">
        <f>'19_Lemonade'!AD12</f>
        <v>488908</v>
      </c>
      <c r="AF27" s="41">
        <f>'19_Lemonade'!AE12</f>
        <v>494668</v>
      </c>
      <c r="AG27" s="41">
        <f>'19_Lemonade'!AF12</f>
        <v>500495</v>
      </c>
      <c r="AH27" s="41">
        <f>'19_Lemonade'!AG12</f>
        <v>506391</v>
      </c>
      <c r="AI27" s="41">
        <f>'19_Lemonade'!AH12</f>
        <v>512356</v>
      </c>
      <c r="AJ27" s="41">
        <f>'19_Lemonade'!AI12</f>
        <v>518392</v>
      </c>
      <c r="AK27" s="41">
        <f>'19_Lemonade'!AJ12</f>
        <v>524498</v>
      </c>
      <c r="AL27" s="41">
        <f>'19_Lemonade'!AK12</f>
        <v>530677</v>
      </c>
      <c r="AM27" s="41">
        <f>'19_Lemonade'!AL12</f>
        <v>536928</v>
      </c>
      <c r="AN27" s="41">
        <f>'19_Lemonade'!AM12</f>
        <v>543253</v>
      </c>
      <c r="AO27" s="41">
        <f>'19_Lemonade'!AN12</f>
        <v>549653</v>
      </c>
      <c r="AP27" s="41">
        <f>'19_Lemonade'!AO12</f>
        <v>556128</v>
      </c>
      <c r="AQ27" s="41">
        <f>'19_Lemonade'!AP12</f>
        <v>562679</v>
      </c>
      <c r="AR27" s="41">
        <f>'19_Lemonade'!AQ12</f>
        <v>569307</v>
      </c>
      <c r="AS27" s="41">
        <f>'19_Lemonade'!AR12</f>
        <v>576014</v>
      </c>
      <c r="AT27" s="41">
        <f>'19_Lemonade'!AS12</f>
        <v>582799</v>
      </c>
      <c r="AU27" s="41">
        <f>'19_Lemonade'!AT12</f>
        <v>589664</v>
      </c>
      <c r="AV27" s="41">
        <f>'19_Lemonade'!AU12</f>
        <v>596611</v>
      </c>
      <c r="AW27" s="41">
        <f>'19_Lemonade'!AV12</f>
        <v>603639</v>
      </c>
      <c r="AX27" s="41">
        <f>'19_Lemonade'!AW12</f>
        <v>610750</v>
      </c>
      <c r="AY27" s="41">
        <f>'19_Lemonade'!AX12</f>
        <v>617944</v>
      </c>
      <c r="AZ27" s="41">
        <f>'19_Lemonade'!AY12</f>
        <v>625224</v>
      </c>
      <c r="BA27" s="41">
        <f>'19_Lemonade'!AZ12</f>
        <v>632589</v>
      </c>
      <c r="BB27" s="41">
        <f>'19_Lemonade'!BA12</f>
        <v>640041</v>
      </c>
      <c r="BC27" s="41">
        <f>'19_Lemonade'!BB12</f>
        <v>647580</v>
      </c>
      <c r="BD27" s="41">
        <f>'19_Lemonade'!BC12</f>
        <v>655209</v>
      </c>
      <c r="BE27" s="41">
        <f>'19_Lemonade'!BD12</f>
        <v>662927</v>
      </c>
      <c r="BF27" s="41">
        <f>'19_Lemonade'!BE12</f>
        <v>670736</v>
      </c>
      <c r="BG27" s="41">
        <f>'19_Lemonade'!BF12</f>
        <v>678638</v>
      </c>
      <c r="BH27" s="41">
        <f>'19_Lemonade'!BG12</f>
        <v>686632</v>
      </c>
      <c r="BI27" s="41">
        <f>'19_Lemonade'!BH12</f>
        <v>694721</v>
      </c>
      <c r="BJ27" s="41">
        <f>'19_Lemonade'!BI12</f>
        <v>702904</v>
      </c>
      <c r="BK27" s="41">
        <f>'19_Lemonade'!BJ12</f>
        <v>711185</v>
      </c>
      <c r="BL27" s="41">
        <f>'19_Lemonade'!BK12</f>
        <v>719562</v>
      </c>
      <c r="BM27" s="41">
        <f>'19_Lemonade'!BL12</f>
        <v>728039</v>
      </c>
      <c r="BN27" s="41">
        <f>'19_Lemonade'!BM12</f>
        <v>736615</v>
      </c>
      <c r="BO27" s="41">
        <f>'19_Lemonade'!BN12</f>
        <v>745292</v>
      </c>
      <c r="BP27" s="41">
        <f>'19_Lemonade'!BO12</f>
        <v>754072</v>
      </c>
      <c r="BQ27" s="41">
        <f>'19_Lemonade'!BP12</f>
        <v>762955</v>
      </c>
      <c r="BR27" s="41">
        <f>'19_Lemonade'!BQ12</f>
        <v>771943</v>
      </c>
      <c r="BS27" s="41">
        <f>'19_Lemonade'!BR12</f>
        <v>781036</v>
      </c>
      <c r="BT27" s="41">
        <f>'19_Lemonade'!BS12</f>
        <v>790237</v>
      </c>
      <c r="BU27" s="41">
        <f>'19_Lemonade'!BT12</f>
        <v>799546</v>
      </c>
      <c r="BV27" s="41">
        <f>'19_Lemonade'!BU12</f>
        <v>808964</v>
      </c>
      <c r="BW27" s="67"/>
    </row>
    <row r="28">
      <c r="A28" s="77" t="str">
        <f>'20_Lemonade - Hogar'!A1</f>
        <v>Actor: Lemonade - Hogar</v>
      </c>
      <c r="B28" s="78"/>
      <c r="C28" s="77">
        <f>'20_Lemonade - Hogar'!B12</f>
        <v>0</v>
      </c>
      <c r="D28" s="77">
        <f>'20_Lemonade - Hogar'!C12</f>
        <v>0</v>
      </c>
      <c r="E28" s="77">
        <f>'20_Lemonade - Hogar'!D12</f>
        <v>0</v>
      </c>
      <c r="F28" s="77">
        <f>'20_Lemonade - Hogar'!E12</f>
        <v>0</v>
      </c>
      <c r="G28" s="77">
        <f>'20_Lemonade - Hogar'!F12</f>
        <v>0</v>
      </c>
      <c r="H28" s="77">
        <f>'20_Lemonade - Hogar'!G12</f>
        <v>0</v>
      </c>
      <c r="I28" s="77">
        <f>'20_Lemonade - Hogar'!H12</f>
        <v>0</v>
      </c>
      <c r="J28" s="77">
        <f>'20_Lemonade - Hogar'!I12</f>
        <v>0</v>
      </c>
      <c r="K28" s="77">
        <f>'20_Lemonade - Hogar'!J12</f>
        <v>0</v>
      </c>
      <c r="L28" s="77">
        <f>'20_Lemonade - Hogar'!K12</f>
        <v>0</v>
      </c>
      <c r="M28" s="77">
        <f>'20_Lemonade - Hogar'!L12</f>
        <v>0</v>
      </c>
      <c r="N28" s="77">
        <f>'20_Lemonade - Hogar'!M12</f>
        <v>0</v>
      </c>
      <c r="O28" s="77">
        <f>'20_Lemonade - Hogar'!N12</f>
        <v>0</v>
      </c>
      <c r="P28" s="77">
        <f>'20_Lemonade - Hogar'!O12</f>
        <v>0</v>
      </c>
      <c r="Q28" s="77">
        <f>'20_Lemonade - Hogar'!P12</f>
        <v>0</v>
      </c>
      <c r="R28" s="77">
        <f>'20_Lemonade - Hogar'!Q12</f>
        <v>0</v>
      </c>
      <c r="S28" s="77">
        <f>'20_Lemonade - Hogar'!R12</f>
        <v>0</v>
      </c>
      <c r="T28" s="77">
        <f>'20_Lemonade - Hogar'!S12</f>
        <v>0</v>
      </c>
      <c r="U28" s="77">
        <f>'20_Lemonade - Hogar'!T12</f>
        <v>0</v>
      </c>
      <c r="V28" s="77">
        <f>'20_Lemonade - Hogar'!U12</f>
        <v>0</v>
      </c>
      <c r="W28" s="77">
        <f>'20_Lemonade - Hogar'!V12</f>
        <v>0</v>
      </c>
      <c r="X28" s="77">
        <f>'20_Lemonade - Hogar'!W12</f>
        <v>0</v>
      </c>
      <c r="Y28" s="77">
        <f>'20_Lemonade - Hogar'!X12</f>
        <v>0</v>
      </c>
      <c r="Z28" s="77">
        <f>'20_Lemonade - Hogar'!Y12</f>
        <v>0</v>
      </c>
      <c r="AA28" s="77">
        <f>'20_Lemonade - Hogar'!Z12</f>
        <v>0</v>
      </c>
      <c r="AB28" s="77">
        <f>'20_Lemonade - Hogar'!AA12</f>
        <v>0</v>
      </c>
      <c r="AC28" s="77">
        <f>'20_Lemonade - Hogar'!AB12</f>
        <v>450000</v>
      </c>
      <c r="AD28" s="77">
        <f>'20_Lemonade - Hogar'!AC12</f>
        <v>453977</v>
      </c>
      <c r="AE28" s="77">
        <f>'20_Lemonade - Hogar'!AD12</f>
        <v>457989</v>
      </c>
      <c r="AF28" s="77">
        <f>'20_Lemonade - Hogar'!AE12</f>
        <v>462037</v>
      </c>
      <c r="AG28" s="77">
        <f>'20_Lemonade - Hogar'!AF12</f>
        <v>466121</v>
      </c>
      <c r="AH28" s="77">
        <f>'20_Lemonade - Hogar'!AG12</f>
        <v>470240</v>
      </c>
      <c r="AI28" s="77">
        <f>'20_Lemonade - Hogar'!AH12</f>
        <v>474396</v>
      </c>
      <c r="AJ28" s="77">
        <f>'20_Lemonade - Hogar'!AI12</f>
        <v>478589</v>
      </c>
      <c r="AK28" s="77">
        <f>'20_Lemonade - Hogar'!AJ12</f>
        <v>482819</v>
      </c>
      <c r="AL28" s="77">
        <f>'20_Lemonade - Hogar'!AK12</f>
        <v>487086</v>
      </c>
      <c r="AM28" s="77">
        <f>'20_Lemonade - Hogar'!AL12</f>
        <v>491391</v>
      </c>
      <c r="AN28" s="77">
        <f>'20_Lemonade - Hogar'!AM12</f>
        <v>495734</v>
      </c>
      <c r="AO28" s="77">
        <f>'20_Lemonade - Hogar'!AN12</f>
        <v>500115</v>
      </c>
      <c r="AP28" s="77">
        <f>'20_Lemonade - Hogar'!AO12</f>
        <v>504535</v>
      </c>
      <c r="AQ28" s="77">
        <f>'20_Lemonade - Hogar'!AP12</f>
        <v>508994</v>
      </c>
      <c r="AR28" s="77">
        <f>'20_Lemonade - Hogar'!AQ12</f>
        <v>513492</v>
      </c>
      <c r="AS28" s="77">
        <f>'20_Lemonade - Hogar'!AR12</f>
        <v>518031</v>
      </c>
      <c r="AT28" s="77">
        <f>'20_Lemonade - Hogar'!AS12</f>
        <v>522609</v>
      </c>
      <c r="AU28" s="77">
        <f>'20_Lemonade - Hogar'!AT12</f>
        <v>527228</v>
      </c>
      <c r="AV28" s="77">
        <f>'20_Lemonade - Hogar'!AU12</f>
        <v>531887</v>
      </c>
      <c r="AW28" s="77">
        <f>'20_Lemonade - Hogar'!AV12</f>
        <v>536588</v>
      </c>
      <c r="AX28" s="77">
        <f>'20_Lemonade - Hogar'!AW12</f>
        <v>541331</v>
      </c>
      <c r="AY28" s="77">
        <f>'20_Lemonade - Hogar'!AX12</f>
        <v>546115</v>
      </c>
      <c r="AZ28" s="77">
        <f>'20_Lemonade - Hogar'!AY12</f>
        <v>550941</v>
      </c>
      <c r="BA28" s="77">
        <f>'20_Lemonade - Hogar'!AZ12</f>
        <v>555811</v>
      </c>
      <c r="BB28" s="77">
        <f>'20_Lemonade - Hogar'!BA12</f>
        <v>560723</v>
      </c>
      <c r="BC28" s="77">
        <f>'20_Lemonade - Hogar'!BB12</f>
        <v>565679</v>
      </c>
      <c r="BD28" s="77">
        <f>'20_Lemonade - Hogar'!BC12</f>
        <v>570678</v>
      </c>
      <c r="BE28" s="77">
        <f>'20_Lemonade - Hogar'!BD12</f>
        <v>575722</v>
      </c>
      <c r="BF28" s="77">
        <f>'20_Lemonade - Hogar'!BE12</f>
        <v>580810</v>
      </c>
      <c r="BG28" s="77">
        <f>'20_Lemonade - Hogar'!BF12</f>
        <v>585943</v>
      </c>
      <c r="BH28" s="77">
        <f>'20_Lemonade - Hogar'!BG12</f>
        <v>591122</v>
      </c>
      <c r="BI28" s="77">
        <f>'20_Lemonade - Hogar'!BH12</f>
        <v>596346</v>
      </c>
      <c r="BJ28" s="77">
        <f>'20_Lemonade - Hogar'!BI12</f>
        <v>601617</v>
      </c>
      <c r="BK28" s="77">
        <f>'20_Lemonade - Hogar'!BJ12</f>
        <v>606934</v>
      </c>
      <c r="BL28" s="77">
        <f>'20_Lemonade - Hogar'!BK12</f>
        <v>612298</v>
      </c>
      <c r="BM28" s="77">
        <f>'20_Lemonade - Hogar'!BL12</f>
        <v>617709</v>
      </c>
      <c r="BN28" s="77">
        <f>'20_Lemonade - Hogar'!BM12</f>
        <v>623169</v>
      </c>
      <c r="BO28" s="77">
        <f>'20_Lemonade - Hogar'!BN12</f>
        <v>628676</v>
      </c>
      <c r="BP28" s="77">
        <f>'20_Lemonade - Hogar'!BO12</f>
        <v>634232</v>
      </c>
      <c r="BQ28" s="77">
        <f>'20_Lemonade - Hogar'!BP12</f>
        <v>639838</v>
      </c>
      <c r="BR28" s="77">
        <f>'20_Lemonade - Hogar'!BQ12</f>
        <v>645493</v>
      </c>
      <c r="BS28" s="77">
        <f>'20_Lemonade - Hogar'!BR12</f>
        <v>651197</v>
      </c>
      <c r="BT28" s="77">
        <f>'20_Lemonade - Hogar'!BS12</f>
        <v>656953</v>
      </c>
      <c r="BU28" s="77">
        <f>'20_Lemonade - Hogar'!BT12</f>
        <v>662759</v>
      </c>
      <c r="BV28" s="77">
        <f>'20_Lemonade - Hogar'!BU12</f>
        <v>668616</v>
      </c>
      <c r="BW28" s="79"/>
    </row>
    <row r="29">
      <c r="A29" s="41" t="str">
        <f>'21_Consorcio'!A1</f>
        <v>Actor: Consorcio</v>
      </c>
      <c r="B29" s="7"/>
      <c r="C29" s="41">
        <f>'21_Consorcio'!B12</f>
        <v>0</v>
      </c>
      <c r="D29" s="41">
        <f>'21_Consorcio'!C12</f>
        <v>0</v>
      </c>
      <c r="E29" s="41">
        <f>'21_Consorcio'!D12</f>
        <v>0</v>
      </c>
      <c r="F29" s="41">
        <f>'21_Consorcio'!E12</f>
        <v>0</v>
      </c>
      <c r="G29" s="41">
        <f>'21_Consorcio'!F12</f>
        <v>0</v>
      </c>
      <c r="H29" s="41">
        <f>'21_Consorcio'!G12</f>
        <v>0</v>
      </c>
      <c r="I29" s="41">
        <f>'21_Consorcio'!H12</f>
        <v>0</v>
      </c>
      <c r="J29" s="41">
        <f>'21_Consorcio'!I12</f>
        <v>0</v>
      </c>
      <c r="K29" s="41">
        <f>'21_Consorcio'!J12</f>
        <v>0</v>
      </c>
      <c r="L29" s="41">
        <f>'21_Consorcio'!K12</f>
        <v>0</v>
      </c>
      <c r="M29" s="41">
        <f>'21_Consorcio'!L12</f>
        <v>0</v>
      </c>
      <c r="N29" s="41">
        <f>'21_Consorcio'!M12</f>
        <v>0</v>
      </c>
      <c r="O29" s="41">
        <f>'21_Consorcio'!N12</f>
        <v>0</v>
      </c>
      <c r="P29" s="41">
        <f>'21_Consorcio'!O12</f>
        <v>113750</v>
      </c>
      <c r="Q29" s="41">
        <f>'21_Consorcio'!P12</f>
        <v>113859</v>
      </c>
      <c r="R29" s="41">
        <f>'21_Consorcio'!Q12</f>
        <v>113968</v>
      </c>
      <c r="S29" s="41">
        <f>'21_Consorcio'!R12</f>
        <v>114077</v>
      </c>
      <c r="T29" s="41">
        <f>'21_Consorcio'!S12</f>
        <v>114187</v>
      </c>
      <c r="U29" s="41">
        <f>'21_Consorcio'!T12</f>
        <v>114296</v>
      </c>
      <c r="V29" s="41">
        <f>'21_Consorcio'!U12</f>
        <v>114405</v>
      </c>
      <c r="W29" s="41">
        <f>'21_Consorcio'!V12</f>
        <v>114515</v>
      </c>
      <c r="X29" s="41">
        <f>'21_Consorcio'!W12</f>
        <v>114625</v>
      </c>
      <c r="Y29" s="41">
        <f>'21_Consorcio'!X12</f>
        <v>114735</v>
      </c>
      <c r="Z29" s="41">
        <f>'21_Consorcio'!Y12</f>
        <v>114844</v>
      </c>
      <c r="AA29" s="41">
        <f>'21_Consorcio'!Z12</f>
        <v>114954</v>
      </c>
      <c r="AB29" s="41">
        <f>'21_Consorcio'!AA12</f>
        <v>115065</v>
      </c>
      <c r="AC29" s="41">
        <f>'21_Consorcio'!AB12</f>
        <v>115175</v>
      </c>
      <c r="AD29" s="41">
        <f>'21_Consorcio'!AC12</f>
        <v>115285</v>
      </c>
      <c r="AE29" s="41">
        <f>'21_Consorcio'!AD12</f>
        <v>115396</v>
      </c>
      <c r="AF29" s="41">
        <f>'21_Consorcio'!AE12</f>
        <v>115506</v>
      </c>
      <c r="AG29" s="41">
        <f>'21_Consorcio'!AF12</f>
        <v>115617</v>
      </c>
      <c r="AH29" s="41">
        <f>'21_Consorcio'!AG12</f>
        <v>115728</v>
      </c>
      <c r="AI29" s="41">
        <f>'21_Consorcio'!AH12</f>
        <v>115838</v>
      </c>
      <c r="AJ29" s="41">
        <f>'21_Consorcio'!AI12</f>
        <v>115949</v>
      </c>
      <c r="AK29" s="41">
        <f>'21_Consorcio'!AJ12</f>
        <v>116060</v>
      </c>
      <c r="AL29" s="41">
        <f>'21_Consorcio'!AK12</f>
        <v>116172</v>
      </c>
      <c r="AM29" s="41">
        <f>'21_Consorcio'!AL12</f>
        <v>116283</v>
      </c>
      <c r="AN29" s="41">
        <f>'21_Consorcio'!AM12</f>
        <v>116394</v>
      </c>
      <c r="AO29" s="41">
        <f>'21_Consorcio'!AN12</f>
        <v>116506</v>
      </c>
      <c r="AP29" s="41">
        <f>'21_Consorcio'!AO12</f>
        <v>116617</v>
      </c>
      <c r="AQ29" s="41">
        <f>'21_Consorcio'!AP12</f>
        <v>116729</v>
      </c>
      <c r="AR29" s="41">
        <f>'21_Consorcio'!AQ12</f>
        <v>116841</v>
      </c>
      <c r="AS29" s="41">
        <f>'21_Consorcio'!AR12</f>
        <v>116953</v>
      </c>
      <c r="AT29" s="41">
        <f>'21_Consorcio'!AS12</f>
        <v>117065</v>
      </c>
      <c r="AU29" s="41">
        <f>'21_Consorcio'!AT12</f>
        <v>117177</v>
      </c>
      <c r="AV29" s="41">
        <f>'21_Consorcio'!AU12</f>
        <v>117289</v>
      </c>
      <c r="AW29" s="41">
        <f>'21_Consorcio'!AV12</f>
        <v>117402</v>
      </c>
      <c r="AX29" s="41">
        <f>'21_Consorcio'!AW12</f>
        <v>117514</v>
      </c>
      <c r="AY29" s="41">
        <f>'21_Consorcio'!AX12</f>
        <v>117627</v>
      </c>
      <c r="AZ29" s="41">
        <f>'21_Consorcio'!AY12</f>
        <v>117739</v>
      </c>
      <c r="BA29" s="41">
        <f>'21_Consorcio'!AZ12</f>
        <v>117852</v>
      </c>
      <c r="BB29" s="41">
        <f>'21_Consorcio'!BA12</f>
        <v>117965</v>
      </c>
      <c r="BC29" s="41">
        <f>'21_Consorcio'!BB12</f>
        <v>118078</v>
      </c>
      <c r="BD29" s="41">
        <f>'21_Consorcio'!BC12</f>
        <v>118191</v>
      </c>
      <c r="BE29" s="41">
        <f>'21_Consorcio'!BD12</f>
        <v>118305</v>
      </c>
      <c r="BF29" s="41">
        <f>'21_Consorcio'!BE12</f>
        <v>118418</v>
      </c>
      <c r="BG29" s="41">
        <f>'21_Consorcio'!BF12</f>
        <v>118531</v>
      </c>
      <c r="BH29" s="41">
        <f>'21_Consorcio'!BG12</f>
        <v>118645</v>
      </c>
      <c r="BI29" s="41">
        <f>'21_Consorcio'!BH12</f>
        <v>118759</v>
      </c>
      <c r="BJ29" s="41">
        <f>'21_Consorcio'!BI12</f>
        <v>118872</v>
      </c>
      <c r="BK29" s="41">
        <f>'21_Consorcio'!BJ12</f>
        <v>118986</v>
      </c>
      <c r="BL29" s="41">
        <f>'21_Consorcio'!BK12</f>
        <v>119100</v>
      </c>
      <c r="BM29" s="41">
        <f>'21_Consorcio'!BL12</f>
        <v>119214</v>
      </c>
      <c r="BN29" s="41">
        <f>'21_Consorcio'!BM12</f>
        <v>119328</v>
      </c>
      <c r="BO29" s="41">
        <f>'21_Consorcio'!BN12</f>
        <v>119443</v>
      </c>
      <c r="BP29" s="41">
        <f>'21_Consorcio'!BO12</f>
        <v>119557</v>
      </c>
      <c r="BQ29" s="41">
        <f>'21_Consorcio'!BP12</f>
        <v>119672</v>
      </c>
      <c r="BR29" s="41">
        <f>'21_Consorcio'!BQ12</f>
        <v>119786</v>
      </c>
      <c r="BS29" s="41">
        <f>'21_Consorcio'!BR12</f>
        <v>119901</v>
      </c>
      <c r="BT29" s="41">
        <f>'21_Consorcio'!BS12</f>
        <v>120016</v>
      </c>
      <c r="BU29" s="41">
        <f>'21_Consorcio'!BT12</f>
        <v>120131</v>
      </c>
      <c r="BV29" s="41">
        <f>'21_Consorcio'!BU12</f>
        <v>120246</v>
      </c>
      <c r="BW29" s="67"/>
    </row>
    <row r="30">
      <c r="A30" s="41" t="str">
        <f>'22_Consorcio - Hogar'!A1</f>
        <v>Actor: Consorcio - Hogar</v>
      </c>
      <c r="B30" s="7"/>
      <c r="C30" s="41">
        <f>'22_Consorcio - Hogar'!B12</f>
        <v>0</v>
      </c>
      <c r="D30" s="41">
        <f>'22_Consorcio - Hogar'!C12</f>
        <v>0</v>
      </c>
      <c r="E30" s="41">
        <f>'22_Consorcio - Hogar'!D12</f>
        <v>0</v>
      </c>
      <c r="F30" s="41">
        <f>'22_Consorcio - Hogar'!E12</f>
        <v>0</v>
      </c>
      <c r="G30" s="41">
        <f>'22_Consorcio - Hogar'!F12</f>
        <v>0</v>
      </c>
      <c r="H30" s="41">
        <f>'22_Consorcio - Hogar'!G12</f>
        <v>0</v>
      </c>
      <c r="I30" s="41">
        <f>'22_Consorcio - Hogar'!H12</f>
        <v>0</v>
      </c>
      <c r="J30" s="41">
        <f>'22_Consorcio - Hogar'!I12</f>
        <v>0</v>
      </c>
      <c r="K30" s="41">
        <f>'22_Consorcio - Hogar'!J12</f>
        <v>0</v>
      </c>
      <c r="L30" s="41">
        <f>'22_Consorcio - Hogar'!K12</f>
        <v>0</v>
      </c>
      <c r="M30" s="41">
        <f>'22_Consorcio - Hogar'!L12</f>
        <v>0</v>
      </c>
      <c r="N30" s="41">
        <f>'22_Consorcio - Hogar'!M12</f>
        <v>0</v>
      </c>
      <c r="O30" s="41">
        <f>'22_Consorcio - Hogar'!N12</f>
        <v>0</v>
      </c>
      <c r="P30" s="41">
        <f>'22_Consorcio - Hogar'!O12</f>
        <v>0</v>
      </c>
      <c r="Q30" s="41">
        <f>'22_Consorcio - Hogar'!P12</f>
        <v>0</v>
      </c>
      <c r="R30" s="41">
        <f>'22_Consorcio - Hogar'!Q12</f>
        <v>36000</v>
      </c>
      <c r="S30" s="41">
        <f>'22_Consorcio - Hogar'!R12</f>
        <v>36034</v>
      </c>
      <c r="T30" s="41">
        <f>'22_Consorcio - Hogar'!S12</f>
        <v>36069</v>
      </c>
      <c r="U30" s="41">
        <f>'22_Consorcio - Hogar'!T12</f>
        <v>36104</v>
      </c>
      <c r="V30" s="41">
        <f>'22_Consorcio - Hogar'!U12</f>
        <v>36138</v>
      </c>
      <c r="W30" s="41">
        <f>'22_Consorcio - Hogar'!V12</f>
        <v>36173</v>
      </c>
      <c r="X30" s="41">
        <f>'22_Consorcio - Hogar'!W12</f>
        <v>36207</v>
      </c>
      <c r="Y30" s="41">
        <f>'22_Consorcio - Hogar'!X12</f>
        <v>36242</v>
      </c>
      <c r="Z30" s="41">
        <f>'22_Consorcio - Hogar'!Y12</f>
        <v>36277</v>
      </c>
      <c r="AA30" s="41">
        <f>'22_Consorcio - Hogar'!Z12</f>
        <v>36312</v>
      </c>
      <c r="AB30" s="41">
        <f>'22_Consorcio - Hogar'!AA12</f>
        <v>36346</v>
      </c>
      <c r="AC30" s="41">
        <f>'22_Consorcio - Hogar'!AB12</f>
        <v>36381</v>
      </c>
      <c r="AD30" s="41">
        <f>'22_Consorcio - Hogar'!AC12</f>
        <v>36416</v>
      </c>
      <c r="AE30" s="41">
        <f>'22_Consorcio - Hogar'!AD12</f>
        <v>36451</v>
      </c>
      <c r="AF30" s="41">
        <f>'22_Consorcio - Hogar'!AE12</f>
        <v>36486</v>
      </c>
      <c r="AG30" s="41">
        <f>'22_Consorcio - Hogar'!AF12</f>
        <v>36521</v>
      </c>
      <c r="AH30" s="41">
        <f>'22_Consorcio - Hogar'!AG12</f>
        <v>36556</v>
      </c>
      <c r="AI30" s="41">
        <f>'22_Consorcio - Hogar'!AH12</f>
        <v>36591</v>
      </c>
      <c r="AJ30" s="41">
        <f>'22_Consorcio - Hogar'!AI12</f>
        <v>36626</v>
      </c>
      <c r="AK30" s="41">
        <f>'22_Consorcio - Hogar'!AJ12</f>
        <v>36661</v>
      </c>
      <c r="AL30" s="41">
        <f>'22_Consorcio - Hogar'!AK12</f>
        <v>36696</v>
      </c>
      <c r="AM30" s="41">
        <f>'22_Consorcio - Hogar'!AL12</f>
        <v>36731</v>
      </c>
      <c r="AN30" s="41">
        <f>'22_Consorcio - Hogar'!AM12</f>
        <v>36766</v>
      </c>
      <c r="AO30" s="41">
        <f>'22_Consorcio - Hogar'!AN12</f>
        <v>36802</v>
      </c>
      <c r="AP30" s="41">
        <f>'22_Consorcio - Hogar'!AO12</f>
        <v>36837</v>
      </c>
      <c r="AQ30" s="41">
        <f>'22_Consorcio - Hogar'!AP12</f>
        <v>36872</v>
      </c>
      <c r="AR30" s="41">
        <f>'22_Consorcio - Hogar'!AQ12</f>
        <v>36908</v>
      </c>
      <c r="AS30" s="41">
        <f>'22_Consorcio - Hogar'!AR12</f>
        <v>36943</v>
      </c>
      <c r="AT30" s="41">
        <f>'22_Consorcio - Hogar'!AS12</f>
        <v>36978</v>
      </c>
      <c r="AU30" s="41">
        <f>'22_Consorcio - Hogar'!AT12</f>
        <v>37014</v>
      </c>
      <c r="AV30" s="41">
        <f>'22_Consorcio - Hogar'!AU12</f>
        <v>37049</v>
      </c>
      <c r="AW30" s="41">
        <f>'22_Consorcio - Hogar'!AV12</f>
        <v>37085</v>
      </c>
      <c r="AX30" s="41">
        <f>'22_Consorcio - Hogar'!AW12</f>
        <v>37120</v>
      </c>
      <c r="AY30" s="41">
        <f>'22_Consorcio - Hogar'!AX12</f>
        <v>37156</v>
      </c>
      <c r="AZ30" s="41">
        <f>'22_Consorcio - Hogar'!AY12</f>
        <v>37191</v>
      </c>
      <c r="BA30" s="41">
        <f>'22_Consorcio - Hogar'!AZ12</f>
        <v>37227</v>
      </c>
      <c r="BB30" s="41">
        <f>'22_Consorcio - Hogar'!BA12</f>
        <v>37263</v>
      </c>
      <c r="BC30" s="41">
        <f>'22_Consorcio - Hogar'!BB12</f>
        <v>37298</v>
      </c>
      <c r="BD30" s="41">
        <f>'22_Consorcio - Hogar'!BC12</f>
        <v>37334</v>
      </c>
      <c r="BE30" s="41">
        <f>'22_Consorcio - Hogar'!BD12</f>
        <v>37370</v>
      </c>
      <c r="BF30" s="41">
        <f>'22_Consorcio - Hogar'!BE12</f>
        <v>37406</v>
      </c>
      <c r="BG30" s="41">
        <f>'22_Consorcio - Hogar'!BF12</f>
        <v>37441</v>
      </c>
      <c r="BH30" s="41">
        <f>'22_Consorcio - Hogar'!BG12</f>
        <v>37477</v>
      </c>
      <c r="BI30" s="41">
        <f>'22_Consorcio - Hogar'!BH12</f>
        <v>37513</v>
      </c>
      <c r="BJ30" s="41">
        <f>'22_Consorcio - Hogar'!BI12</f>
        <v>37549</v>
      </c>
      <c r="BK30" s="41">
        <f>'22_Consorcio - Hogar'!BJ12</f>
        <v>37585</v>
      </c>
      <c r="BL30" s="41">
        <f>'22_Consorcio - Hogar'!BK12</f>
        <v>37621</v>
      </c>
      <c r="BM30" s="41">
        <f>'22_Consorcio - Hogar'!BL12</f>
        <v>37657</v>
      </c>
      <c r="BN30" s="41">
        <f>'22_Consorcio - Hogar'!BM12</f>
        <v>37693</v>
      </c>
      <c r="BO30" s="41">
        <f>'22_Consorcio - Hogar'!BN12</f>
        <v>37729</v>
      </c>
      <c r="BP30" s="41">
        <f>'22_Consorcio - Hogar'!BO12</f>
        <v>37766</v>
      </c>
      <c r="BQ30" s="41">
        <f>'22_Consorcio - Hogar'!BP12</f>
        <v>37802</v>
      </c>
      <c r="BR30" s="41">
        <f>'22_Consorcio - Hogar'!BQ12</f>
        <v>37838</v>
      </c>
      <c r="BS30" s="41">
        <f>'22_Consorcio - Hogar'!BR12</f>
        <v>37874</v>
      </c>
      <c r="BT30" s="41">
        <f>'22_Consorcio - Hogar'!BS12</f>
        <v>37910</v>
      </c>
      <c r="BU30" s="41">
        <f>'22_Consorcio - Hogar'!BT12</f>
        <v>37947</v>
      </c>
      <c r="BV30" s="41">
        <f>'22_Consorcio - Hogar'!BU12</f>
        <v>37983</v>
      </c>
      <c r="BW30" s="67"/>
    </row>
    <row r="31">
      <c r="A31" s="41" t="str">
        <f>'23_Chilena Consolidada (Zurich)'!A1</f>
        <v>Actor: Chilena Consolidada (Zurich)</v>
      </c>
      <c r="B31" s="7"/>
      <c r="C31" s="41">
        <f>'23_Chilena Consolidada (Zurich)'!B12</f>
        <v>0</v>
      </c>
      <c r="D31" s="41">
        <f>'23_Chilena Consolidada (Zurich)'!C12</f>
        <v>0</v>
      </c>
      <c r="E31" s="41">
        <f>'23_Chilena Consolidada (Zurich)'!D12</f>
        <v>0</v>
      </c>
      <c r="F31" s="41">
        <f>'23_Chilena Consolidada (Zurich)'!E12</f>
        <v>0</v>
      </c>
      <c r="G31" s="41">
        <f>'23_Chilena Consolidada (Zurich)'!F12</f>
        <v>0</v>
      </c>
      <c r="H31" s="41">
        <f>'23_Chilena Consolidada (Zurich)'!G12</f>
        <v>0</v>
      </c>
      <c r="I31" s="41">
        <f>'23_Chilena Consolidada (Zurich)'!H12</f>
        <v>0</v>
      </c>
      <c r="J31" s="41">
        <f>'23_Chilena Consolidada (Zurich)'!I12</f>
        <v>0</v>
      </c>
      <c r="K31" s="41">
        <f>'23_Chilena Consolidada (Zurich)'!J12</f>
        <v>0</v>
      </c>
      <c r="L31" s="41">
        <f>'23_Chilena Consolidada (Zurich)'!K12</f>
        <v>0</v>
      </c>
      <c r="M31" s="41">
        <f>'23_Chilena Consolidada (Zurich)'!L12</f>
        <v>0</v>
      </c>
      <c r="N31" s="41">
        <f>'23_Chilena Consolidada (Zurich)'!M12</f>
        <v>0</v>
      </c>
      <c r="O31" s="41">
        <f>'23_Chilena Consolidada (Zurich)'!N12</f>
        <v>0</v>
      </c>
      <c r="P31" s="41">
        <f>'23_Chilena Consolidada (Zurich)'!O12</f>
        <v>341250</v>
      </c>
      <c r="Q31" s="41">
        <f>'23_Chilena Consolidada (Zurich)'!P12</f>
        <v>341577</v>
      </c>
      <c r="R31" s="41">
        <f>'23_Chilena Consolidada (Zurich)'!Q12</f>
        <v>341904</v>
      </c>
      <c r="S31" s="41">
        <f>'23_Chilena Consolidada (Zurich)'!R12</f>
        <v>342232</v>
      </c>
      <c r="T31" s="41">
        <f>'23_Chilena Consolidada (Zurich)'!S12</f>
        <v>342560</v>
      </c>
      <c r="U31" s="41">
        <f>'23_Chilena Consolidada (Zurich)'!T12</f>
        <v>342888</v>
      </c>
      <c r="V31" s="41">
        <f>'23_Chilena Consolidada (Zurich)'!U12</f>
        <v>343216</v>
      </c>
      <c r="W31" s="41">
        <f>'23_Chilena Consolidada (Zurich)'!V12</f>
        <v>343545</v>
      </c>
      <c r="X31" s="41">
        <f>'23_Chilena Consolidada (Zurich)'!W12</f>
        <v>343874</v>
      </c>
      <c r="Y31" s="41">
        <f>'23_Chilena Consolidada (Zurich)'!X12</f>
        <v>344204</v>
      </c>
      <c r="Z31" s="41">
        <f>'23_Chilena Consolidada (Zurich)'!Y12</f>
        <v>344533</v>
      </c>
      <c r="AA31" s="41">
        <f>'23_Chilena Consolidada (Zurich)'!Z12</f>
        <v>344863</v>
      </c>
      <c r="AB31" s="41">
        <f>'23_Chilena Consolidada (Zurich)'!AA12</f>
        <v>345194</v>
      </c>
      <c r="AC31" s="41">
        <f>'23_Chilena Consolidada (Zurich)'!AB12</f>
        <v>345524</v>
      </c>
      <c r="AD31" s="41">
        <f>'23_Chilena Consolidada (Zurich)'!AC12</f>
        <v>345855</v>
      </c>
      <c r="AE31" s="41">
        <f>'23_Chilena Consolidada (Zurich)'!AD12</f>
        <v>346187</v>
      </c>
      <c r="AF31" s="41">
        <f>'23_Chilena Consolidada (Zurich)'!AE12</f>
        <v>346518</v>
      </c>
      <c r="AG31" s="41">
        <f>'23_Chilena Consolidada (Zurich)'!AF12</f>
        <v>346850</v>
      </c>
      <c r="AH31" s="41">
        <f>'23_Chilena Consolidada (Zurich)'!AG12</f>
        <v>347183</v>
      </c>
      <c r="AI31" s="41">
        <f>'23_Chilena Consolidada (Zurich)'!AH12</f>
        <v>347515</v>
      </c>
      <c r="AJ31" s="41">
        <f>'23_Chilena Consolidada (Zurich)'!AI12</f>
        <v>347848</v>
      </c>
      <c r="AK31" s="41">
        <f>'23_Chilena Consolidada (Zurich)'!AJ12</f>
        <v>348181</v>
      </c>
      <c r="AL31" s="41">
        <f>'23_Chilena Consolidada (Zurich)'!AK12</f>
        <v>348515</v>
      </c>
      <c r="AM31" s="41">
        <f>'23_Chilena Consolidada (Zurich)'!AL12</f>
        <v>348849</v>
      </c>
      <c r="AN31" s="41">
        <f>'23_Chilena Consolidada (Zurich)'!AM12</f>
        <v>349183</v>
      </c>
      <c r="AO31" s="41">
        <f>'23_Chilena Consolidada (Zurich)'!AN12</f>
        <v>349518</v>
      </c>
      <c r="AP31" s="41">
        <f>'23_Chilena Consolidada (Zurich)'!AO12</f>
        <v>349852</v>
      </c>
      <c r="AQ31" s="41">
        <f>'23_Chilena Consolidada (Zurich)'!AP12</f>
        <v>350188</v>
      </c>
      <c r="AR31" s="41">
        <f>'23_Chilena Consolidada (Zurich)'!AQ12</f>
        <v>350523</v>
      </c>
      <c r="AS31" s="41">
        <f>'23_Chilena Consolidada (Zurich)'!AR12</f>
        <v>350859</v>
      </c>
      <c r="AT31" s="41">
        <f>'23_Chilena Consolidada (Zurich)'!AS12</f>
        <v>351195</v>
      </c>
      <c r="AU31" s="41">
        <f>'23_Chilena Consolidada (Zurich)'!AT12</f>
        <v>351531</v>
      </c>
      <c r="AV31" s="41">
        <f>'23_Chilena Consolidada (Zurich)'!AU12</f>
        <v>351868</v>
      </c>
      <c r="AW31" s="41">
        <f>'23_Chilena Consolidada (Zurich)'!AV12</f>
        <v>352205</v>
      </c>
      <c r="AX31" s="41">
        <f>'23_Chilena Consolidada (Zurich)'!AW12</f>
        <v>352543</v>
      </c>
      <c r="AY31" s="41">
        <f>'23_Chilena Consolidada (Zurich)'!AX12</f>
        <v>352880</v>
      </c>
      <c r="AZ31" s="41">
        <f>'23_Chilena Consolidada (Zurich)'!AY12</f>
        <v>353218</v>
      </c>
      <c r="BA31" s="41">
        <f>'23_Chilena Consolidada (Zurich)'!AZ12</f>
        <v>353557</v>
      </c>
      <c r="BB31" s="41">
        <f>'23_Chilena Consolidada (Zurich)'!BA12</f>
        <v>353896</v>
      </c>
      <c r="BC31" s="41">
        <f>'23_Chilena Consolidada (Zurich)'!BB12</f>
        <v>354235</v>
      </c>
      <c r="BD31" s="41">
        <f>'23_Chilena Consolidada (Zurich)'!BC12</f>
        <v>354574</v>
      </c>
      <c r="BE31" s="41">
        <f>'23_Chilena Consolidada (Zurich)'!BD12</f>
        <v>354914</v>
      </c>
      <c r="BF31" s="41">
        <f>'23_Chilena Consolidada (Zurich)'!BE12</f>
        <v>355254</v>
      </c>
      <c r="BG31" s="41">
        <f>'23_Chilena Consolidada (Zurich)'!BF12</f>
        <v>355594</v>
      </c>
      <c r="BH31" s="41">
        <f>'23_Chilena Consolidada (Zurich)'!BG12</f>
        <v>355935</v>
      </c>
      <c r="BI31" s="41">
        <f>'23_Chilena Consolidada (Zurich)'!BH12</f>
        <v>356276</v>
      </c>
      <c r="BJ31" s="41">
        <f>'23_Chilena Consolidada (Zurich)'!BI12</f>
        <v>356617</v>
      </c>
      <c r="BK31" s="41">
        <f>'23_Chilena Consolidada (Zurich)'!BJ12</f>
        <v>356959</v>
      </c>
      <c r="BL31" s="41">
        <f>'23_Chilena Consolidada (Zurich)'!BK12</f>
        <v>357301</v>
      </c>
      <c r="BM31" s="41">
        <f>'23_Chilena Consolidada (Zurich)'!BL12</f>
        <v>357643</v>
      </c>
      <c r="BN31" s="41">
        <f>'23_Chilena Consolidada (Zurich)'!BM12</f>
        <v>357985</v>
      </c>
      <c r="BO31" s="41">
        <f>'23_Chilena Consolidada (Zurich)'!BN12</f>
        <v>358328</v>
      </c>
      <c r="BP31" s="41">
        <f>'23_Chilena Consolidada (Zurich)'!BO12</f>
        <v>358672</v>
      </c>
      <c r="BQ31" s="41">
        <f>'23_Chilena Consolidada (Zurich)'!BP12</f>
        <v>359015</v>
      </c>
      <c r="BR31" s="41">
        <f>'23_Chilena Consolidada (Zurich)'!BQ12</f>
        <v>359359</v>
      </c>
      <c r="BS31" s="41">
        <f>'23_Chilena Consolidada (Zurich)'!BR12</f>
        <v>359704</v>
      </c>
      <c r="BT31" s="41">
        <f>'23_Chilena Consolidada (Zurich)'!BS12</f>
        <v>360048</v>
      </c>
      <c r="BU31" s="41">
        <f>'23_Chilena Consolidada (Zurich)'!BT12</f>
        <v>360393</v>
      </c>
      <c r="BV31" s="41">
        <f>'23_Chilena Consolidada (Zurich)'!BU12</f>
        <v>360738</v>
      </c>
      <c r="BW31" s="67"/>
    </row>
    <row r="32">
      <c r="A32" s="41" t="str">
        <f>'24_Chilena Consolidada (Zurich)'!A1</f>
        <v>Actor: Chilena Consolidada (Zurich) - Hogar</v>
      </c>
      <c r="B32" s="7"/>
      <c r="C32" s="41">
        <f>'24_Chilena Consolidada (Zurich)'!B12</f>
        <v>0</v>
      </c>
      <c r="D32" s="41">
        <f>'24_Chilena Consolidada (Zurich)'!C12</f>
        <v>0</v>
      </c>
      <c r="E32" s="41">
        <f>'24_Chilena Consolidada (Zurich)'!D12</f>
        <v>0</v>
      </c>
      <c r="F32" s="41">
        <f>'24_Chilena Consolidada (Zurich)'!E12</f>
        <v>0</v>
      </c>
      <c r="G32" s="41">
        <f>'24_Chilena Consolidada (Zurich)'!F12</f>
        <v>0</v>
      </c>
      <c r="H32" s="41">
        <f>'24_Chilena Consolidada (Zurich)'!G12</f>
        <v>0</v>
      </c>
      <c r="I32" s="41">
        <f>'24_Chilena Consolidada (Zurich)'!H12</f>
        <v>0</v>
      </c>
      <c r="J32" s="41">
        <f>'24_Chilena Consolidada (Zurich)'!I12</f>
        <v>0</v>
      </c>
      <c r="K32" s="41">
        <f>'24_Chilena Consolidada (Zurich)'!J12</f>
        <v>0</v>
      </c>
      <c r="L32" s="41">
        <f>'24_Chilena Consolidada (Zurich)'!K12</f>
        <v>0</v>
      </c>
      <c r="M32" s="41">
        <f>'24_Chilena Consolidada (Zurich)'!L12</f>
        <v>0</v>
      </c>
      <c r="N32" s="41">
        <f>'24_Chilena Consolidada (Zurich)'!M12</f>
        <v>0</v>
      </c>
      <c r="O32" s="41">
        <f>'24_Chilena Consolidada (Zurich)'!N12</f>
        <v>0</v>
      </c>
      <c r="P32" s="41">
        <f>'24_Chilena Consolidada (Zurich)'!O12</f>
        <v>72000</v>
      </c>
      <c r="Q32" s="41">
        <f>'24_Chilena Consolidada (Zurich)'!P12</f>
        <v>72069</v>
      </c>
      <c r="R32" s="41">
        <f>'24_Chilena Consolidada (Zurich)'!Q12</f>
        <v>72138</v>
      </c>
      <c r="S32" s="41">
        <f>'24_Chilena Consolidada (Zurich)'!R12</f>
        <v>72207</v>
      </c>
      <c r="T32" s="41">
        <f>'24_Chilena Consolidada (Zurich)'!S12</f>
        <v>72276</v>
      </c>
      <c r="U32" s="41">
        <f>'24_Chilena Consolidada (Zurich)'!T12</f>
        <v>72346</v>
      </c>
      <c r="V32" s="41">
        <f>'24_Chilena Consolidada (Zurich)'!U12</f>
        <v>72415</v>
      </c>
      <c r="W32" s="41">
        <f>'24_Chilena Consolidada (Zurich)'!V12</f>
        <v>72484</v>
      </c>
      <c r="X32" s="41">
        <f>'24_Chilena Consolidada (Zurich)'!W12</f>
        <v>72554</v>
      </c>
      <c r="Y32" s="41">
        <f>'24_Chilena Consolidada (Zurich)'!X12</f>
        <v>72623</v>
      </c>
      <c r="Z32" s="41">
        <f>'24_Chilena Consolidada (Zurich)'!Y12</f>
        <v>72693</v>
      </c>
      <c r="AA32" s="41">
        <f>'24_Chilena Consolidada (Zurich)'!Z12</f>
        <v>72762</v>
      </c>
      <c r="AB32" s="41">
        <f>'24_Chilena Consolidada (Zurich)'!AA12</f>
        <v>72832</v>
      </c>
      <c r="AC32" s="41">
        <f>'24_Chilena Consolidada (Zurich)'!AB12</f>
        <v>72902</v>
      </c>
      <c r="AD32" s="41">
        <f>'24_Chilena Consolidada (Zurich)'!AC12</f>
        <v>72972</v>
      </c>
      <c r="AE32" s="41">
        <f>'24_Chilena Consolidada (Zurich)'!AD12</f>
        <v>73042</v>
      </c>
      <c r="AF32" s="41">
        <f>'24_Chilena Consolidada (Zurich)'!AE12</f>
        <v>73112</v>
      </c>
      <c r="AG32" s="41">
        <f>'24_Chilena Consolidada (Zurich)'!AF12</f>
        <v>73182</v>
      </c>
      <c r="AH32" s="41">
        <f>'24_Chilena Consolidada (Zurich)'!AG12</f>
        <v>73252</v>
      </c>
      <c r="AI32" s="41">
        <f>'24_Chilena Consolidada (Zurich)'!AH12</f>
        <v>73322</v>
      </c>
      <c r="AJ32" s="41">
        <f>'24_Chilena Consolidada (Zurich)'!AI12</f>
        <v>73392</v>
      </c>
      <c r="AK32" s="41">
        <f>'24_Chilena Consolidada (Zurich)'!AJ12</f>
        <v>73462</v>
      </c>
      <c r="AL32" s="41">
        <f>'24_Chilena Consolidada (Zurich)'!AK12</f>
        <v>73533</v>
      </c>
      <c r="AM32" s="41">
        <f>'24_Chilena Consolidada (Zurich)'!AL12</f>
        <v>73603</v>
      </c>
      <c r="AN32" s="41">
        <f>'24_Chilena Consolidada (Zurich)'!AM12</f>
        <v>73674</v>
      </c>
      <c r="AO32" s="41">
        <f>'24_Chilena Consolidada (Zurich)'!AN12</f>
        <v>73744</v>
      </c>
      <c r="AP32" s="41">
        <f>'24_Chilena Consolidada (Zurich)'!AO12</f>
        <v>73815</v>
      </c>
      <c r="AQ32" s="41">
        <f>'24_Chilena Consolidada (Zurich)'!AP12</f>
        <v>73886</v>
      </c>
      <c r="AR32" s="41">
        <f>'24_Chilena Consolidada (Zurich)'!AQ12</f>
        <v>73957</v>
      </c>
      <c r="AS32" s="41">
        <f>'24_Chilena Consolidada (Zurich)'!AR12</f>
        <v>74027</v>
      </c>
      <c r="AT32" s="41">
        <f>'24_Chilena Consolidada (Zurich)'!AS12</f>
        <v>74098</v>
      </c>
      <c r="AU32" s="41">
        <f>'24_Chilena Consolidada (Zurich)'!AT12</f>
        <v>74169</v>
      </c>
      <c r="AV32" s="41">
        <f>'24_Chilena Consolidada (Zurich)'!AU12</f>
        <v>74240</v>
      </c>
      <c r="AW32" s="41">
        <f>'24_Chilena Consolidada (Zurich)'!AV12</f>
        <v>74311</v>
      </c>
      <c r="AX32" s="41">
        <f>'24_Chilena Consolidada (Zurich)'!AW12</f>
        <v>74383</v>
      </c>
      <c r="AY32" s="41">
        <f>'24_Chilena Consolidada (Zurich)'!AX12</f>
        <v>74454</v>
      </c>
      <c r="AZ32" s="41">
        <f>'24_Chilena Consolidada (Zurich)'!AY12</f>
        <v>74525</v>
      </c>
      <c r="BA32" s="41">
        <f>'24_Chilena Consolidada (Zurich)'!AZ12</f>
        <v>74597</v>
      </c>
      <c r="BB32" s="41">
        <f>'24_Chilena Consolidada (Zurich)'!BA12</f>
        <v>74668</v>
      </c>
      <c r="BC32" s="41">
        <f>'24_Chilena Consolidada (Zurich)'!BB12</f>
        <v>74740</v>
      </c>
      <c r="BD32" s="41">
        <f>'24_Chilena Consolidada (Zurich)'!BC12</f>
        <v>74811</v>
      </c>
      <c r="BE32" s="41">
        <f>'24_Chilena Consolidada (Zurich)'!BD12</f>
        <v>74883</v>
      </c>
      <c r="BF32" s="41">
        <f>'24_Chilena Consolidada (Zurich)'!BE12</f>
        <v>74955</v>
      </c>
      <c r="BG32" s="41">
        <f>'24_Chilena Consolidada (Zurich)'!BF12</f>
        <v>75026</v>
      </c>
      <c r="BH32" s="41">
        <f>'24_Chilena Consolidada (Zurich)'!BG12</f>
        <v>75098</v>
      </c>
      <c r="BI32" s="41">
        <f>'24_Chilena Consolidada (Zurich)'!BH12</f>
        <v>75170</v>
      </c>
      <c r="BJ32" s="41">
        <f>'24_Chilena Consolidada (Zurich)'!BI12</f>
        <v>75242</v>
      </c>
      <c r="BK32" s="41">
        <f>'24_Chilena Consolidada (Zurich)'!BJ12</f>
        <v>75314</v>
      </c>
      <c r="BL32" s="41">
        <f>'24_Chilena Consolidada (Zurich)'!BK12</f>
        <v>75386</v>
      </c>
      <c r="BM32" s="41">
        <f>'24_Chilena Consolidada (Zurich)'!BL12</f>
        <v>75459</v>
      </c>
      <c r="BN32" s="41">
        <f>'24_Chilena Consolidada (Zurich)'!BM12</f>
        <v>75531</v>
      </c>
      <c r="BO32" s="41">
        <f>'24_Chilena Consolidada (Zurich)'!BN12</f>
        <v>75603</v>
      </c>
      <c r="BP32" s="41">
        <f>'24_Chilena Consolidada (Zurich)'!BO12</f>
        <v>75676</v>
      </c>
      <c r="BQ32" s="41">
        <f>'24_Chilena Consolidada (Zurich)'!BP12</f>
        <v>75748</v>
      </c>
      <c r="BR32" s="41">
        <f>'24_Chilena Consolidada (Zurich)'!BQ12</f>
        <v>75821</v>
      </c>
      <c r="BS32" s="41">
        <f>'24_Chilena Consolidada (Zurich)'!BR12</f>
        <v>75893</v>
      </c>
      <c r="BT32" s="41">
        <f>'24_Chilena Consolidada (Zurich)'!BS12</f>
        <v>75966</v>
      </c>
      <c r="BU32" s="41">
        <f>'24_Chilena Consolidada (Zurich)'!BT12</f>
        <v>76039</v>
      </c>
      <c r="BV32" s="41">
        <f>'24_Chilena Consolidada (Zurich)'!BU12</f>
        <v>76112</v>
      </c>
      <c r="BW32" s="67"/>
    </row>
    <row r="33">
      <c r="A33" s="41" t="str">
        <f>'25_Allstate'!A1</f>
        <v>Actor: Allstate</v>
      </c>
      <c r="B33" s="7"/>
      <c r="C33" s="41">
        <f>'25_Allstate'!B12</f>
        <v>0</v>
      </c>
      <c r="D33" s="41">
        <f>'25_Allstate'!C12</f>
        <v>0</v>
      </c>
      <c r="E33" s="41">
        <f>'25_Allstate'!D12</f>
        <v>0</v>
      </c>
      <c r="F33" s="41">
        <f>'25_Allstate'!E12</f>
        <v>0</v>
      </c>
      <c r="G33" s="41">
        <f>'25_Allstate'!F12</f>
        <v>0</v>
      </c>
      <c r="H33" s="41">
        <f>'25_Allstate'!G12</f>
        <v>0</v>
      </c>
      <c r="I33" s="41">
        <f>'25_Allstate'!H12</f>
        <v>0</v>
      </c>
      <c r="J33" s="41">
        <f>'25_Allstate'!I12</f>
        <v>0</v>
      </c>
      <c r="K33" s="41">
        <f>'25_Allstate'!J12</f>
        <v>0</v>
      </c>
      <c r="L33" s="41">
        <f>'25_Allstate'!K12</f>
        <v>0</v>
      </c>
      <c r="M33" s="41">
        <f>'25_Allstate'!L12</f>
        <v>0</v>
      </c>
      <c r="N33" s="41">
        <f>'25_Allstate'!M12</f>
        <v>0</v>
      </c>
      <c r="O33" s="41">
        <f>'25_Allstate'!N12</f>
        <v>0</v>
      </c>
      <c r="P33" s="41">
        <f>'25_Allstate'!O12</f>
        <v>0</v>
      </c>
      <c r="Q33" s="41">
        <f>'25_Allstate'!P12</f>
        <v>0</v>
      </c>
      <c r="R33" s="41">
        <f>'25_Allstate'!Q12</f>
        <v>0</v>
      </c>
      <c r="S33" s="41">
        <f>'25_Allstate'!R12</f>
        <v>0</v>
      </c>
      <c r="T33" s="41">
        <f>'25_Allstate'!S12</f>
        <v>2590000</v>
      </c>
      <c r="U33" s="41">
        <f>'25_Allstate'!T12</f>
        <v>2592481</v>
      </c>
      <c r="V33" s="41">
        <f>'25_Allstate'!U12</f>
        <v>2594965</v>
      </c>
      <c r="W33" s="41">
        <f>'25_Allstate'!V12</f>
        <v>2597451</v>
      </c>
      <c r="X33" s="41">
        <f>'25_Allstate'!W12</f>
        <v>2599939</v>
      </c>
      <c r="Y33" s="41">
        <f>'25_Allstate'!X12</f>
        <v>2602430</v>
      </c>
      <c r="Z33" s="41">
        <f>'25_Allstate'!Y12</f>
        <v>2604923</v>
      </c>
      <c r="AA33" s="41">
        <f>'25_Allstate'!Z12</f>
        <v>2607419</v>
      </c>
      <c r="AB33" s="41">
        <f>'25_Allstate'!AA12</f>
        <v>2609916</v>
      </c>
      <c r="AC33" s="41">
        <f>'25_Allstate'!AB12</f>
        <v>2612417</v>
      </c>
      <c r="AD33" s="41">
        <f>'25_Allstate'!AC12</f>
        <v>2614919</v>
      </c>
      <c r="AE33" s="41">
        <f>'25_Allstate'!AD12</f>
        <v>2617425</v>
      </c>
      <c r="AF33" s="41">
        <f>'25_Allstate'!AE12</f>
        <v>2619932</v>
      </c>
      <c r="AG33" s="41">
        <f>'25_Allstate'!AF12</f>
        <v>2622442</v>
      </c>
      <c r="AH33" s="41">
        <f>'25_Allstate'!AG12</f>
        <v>2624954</v>
      </c>
      <c r="AI33" s="41">
        <f>'25_Allstate'!AH12</f>
        <v>2627469</v>
      </c>
      <c r="AJ33" s="41">
        <f>'25_Allstate'!AI12</f>
        <v>2629986</v>
      </c>
      <c r="AK33" s="41">
        <f>'25_Allstate'!AJ12</f>
        <v>2632506</v>
      </c>
      <c r="AL33" s="41">
        <f>'25_Allstate'!AK12</f>
        <v>2635028</v>
      </c>
      <c r="AM33" s="41">
        <f>'25_Allstate'!AL12</f>
        <v>2637552</v>
      </c>
      <c r="AN33" s="41">
        <f>'25_Allstate'!AM12</f>
        <v>2640079</v>
      </c>
      <c r="AO33" s="41">
        <f>'25_Allstate'!AN12</f>
        <v>2642608</v>
      </c>
      <c r="AP33" s="41">
        <f>'25_Allstate'!AO12</f>
        <v>2645139</v>
      </c>
      <c r="AQ33" s="41">
        <f>'25_Allstate'!AP12</f>
        <v>2647673</v>
      </c>
      <c r="AR33" s="41">
        <f>'25_Allstate'!AQ12</f>
        <v>2650210</v>
      </c>
      <c r="AS33" s="41">
        <f>'25_Allstate'!AR12</f>
        <v>2652749</v>
      </c>
      <c r="AT33" s="41">
        <f>'25_Allstate'!AS12</f>
        <v>2655290</v>
      </c>
      <c r="AU33" s="41">
        <f>'25_Allstate'!AT12</f>
        <v>2657834</v>
      </c>
      <c r="AV33" s="41">
        <f>'25_Allstate'!AU12</f>
        <v>2660380</v>
      </c>
      <c r="AW33" s="41">
        <f>'25_Allstate'!AV12</f>
        <v>2662929</v>
      </c>
      <c r="AX33" s="41">
        <f>'25_Allstate'!AW12</f>
        <v>2665480</v>
      </c>
      <c r="AY33" s="41">
        <f>'25_Allstate'!AX12</f>
        <v>2668033</v>
      </c>
      <c r="AZ33" s="41">
        <f>'25_Allstate'!AY12</f>
        <v>2670589</v>
      </c>
      <c r="BA33" s="41">
        <f>'25_Allstate'!AZ12</f>
        <v>2673148</v>
      </c>
      <c r="BB33" s="41">
        <f>'25_Allstate'!BA12</f>
        <v>2675709</v>
      </c>
      <c r="BC33" s="41">
        <f>'25_Allstate'!BB12</f>
        <v>2678272</v>
      </c>
      <c r="BD33" s="41">
        <f>'25_Allstate'!BC12</f>
        <v>2680838</v>
      </c>
      <c r="BE33" s="41">
        <f>'25_Allstate'!BD12</f>
        <v>2683406</v>
      </c>
      <c r="BF33" s="41">
        <f>'25_Allstate'!BE12</f>
        <v>2685977</v>
      </c>
      <c r="BG33" s="41">
        <f>'25_Allstate'!BF12</f>
        <v>2688550</v>
      </c>
      <c r="BH33" s="41">
        <f>'25_Allstate'!BG12</f>
        <v>2691126</v>
      </c>
      <c r="BI33" s="41">
        <f>'25_Allstate'!BH12</f>
        <v>2693704</v>
      </c>
      <c r="BJ33" s="41">
        <f>'25_Allstate'!BI12</f>
        <v>2696284</v>
      </c>
      <c r="BK33" s="41">
        <f>'25_Allstate'!BJ12</f>
        <v>2698867</v>
      </c>
      <c r="BL33" s="41">
        <f>'25_Allstate'!BK12</f>
        <v>2701453</v>
      </c>
      <c r="BM33" s="41">
        <f>'25_Allstate'!BL12</f>
        <v>2704041</v>
      </c>
      <c r="BN33" s="41">
        <f>'25_Allstate'!BM12</f>
        <v>2706631</v>
      </c>
      <c r="BO33" s="41">
        <f>'25_Allstate'!BN12</f>
        <v>2709224</v>
      </c>
      <c r="BP33" s="41">
        <f>'25_Allstate'!BO12</f>
        <v>2711820</v>
      </c>
      <c r="BQ33" s="41">
        <f>'25_Allstate'!BP12</f>
        <v>2714418</v>
      </c>
      <c r="BR33" s="41">
        <f>'25_Allstate'!BQ12</f>
        <v>2717018</v>
      </c>
      <c r="BS33" s="41">
        <f>'25_Allstate'!BR12</f>
        <v>2719621</v>
      </c>
      <c r="BT33" s="41">
        <f>'25_Allstate'!BS12</f>
        <v>2722226</v>
      </c>
      <c r="BU33" s="41">
        <f>'25_Allstate'!BT12</f>
        <v>2724834</v>
      </c>
      <c r="BV33" s="41">
        <f>'25_Allstate'!BU12</f>
        <v>2727445</v>
      </c>
      <c r="BW33" s="67"/>
    </row>
    <row r="34">
      <c r="A34" s="41" t="str">
        <f>'26_Allstate - Vehicular'!A1</f>
        <v>Actor: Allstate - Vehicular</v>
      </c>
      <c r="B34" s="7"/>
      <c r="C34" s="41">
        <f>'26_Allstate - Vehicular'!B12</f>
        <v>0</v>
      </c>
      <c r="D34" s="41">
        <f>'26_Allstate - Vehicular'!C12</f>
        <v>0</v>
      </c>
      <c r="E34" s="41">
        <f>'26_Allstate - Vehicular'!D12</f>
        <v>0</v>
      </c>
      <c r="F34" s="41">
        <f>'26_Allstate - Vehicular'!E12</f>
        <v>0</v>
      </c>
      <c r="G34" s="41">
        <f>'26_Allstate - Vehicular'!F12</f>
        <v>0</v>
      </c>
      <c r="H34" s="41">
        <f>'26_Allstate - Vehicular'!G12</f>
        <v>0</v>
      </c>
      <c r="I34" s="41">
        <f>'26_Allstate - Vehicular'!H12</f>
        <v>0</v>
      </c>
      <c r="J34" s="41">
        <f>'26_Allstate - Vehicular'!I12</f>
        <v>0</v>
      </c>
      <c r="K34" s="41">
        <f>'26_Allstate - Vehicular'!J12</f>
        <v>0</v>
      </c>
      <c r="L34" s="41">
        <f>'26_Allstate - Vehicular'!K12</f>
        <v>0</v>
      </c>
      <c r="M34" s="41">
        <f>'26_Allstate - Vehicular'!L12</f>
        <v>0</v>
      </c>
      <c r="N34" s="41">
        <f>'26_Allstate - Vehicular'!M12</f>
        <v>0</v>
      </c>
      <c r="O34" s="41">
        <f>'26_Allstate - Vehicular'!N12</f>
        <v>0</v>
      </c>
      <c r="P34" s="41">
        <f>'26_Allstate - Vehicular'!O12</f>
        <v>0</v>
      </c>
      <c r="Q34" s="41">
        <f>'26_Allstate - Vehicular'!P12</f>
        <v>0</v>
      </c>
      <c r="R34" s="41">
        <f>'26_Allstate - Vehicular'!Q12</f>
        <v>0</v>
      </c>
      <c r="S34" s="41">
        <f>'26_Allstate - Vehicular'!R12</f>
        <v>0</v>
      </c>
      <c r="T34" s="41">
        <f>'26_Allstate - Vehicular'!S12</f>
        <v>1716000</v>
      </c>
      <c r="U34" s="41">
        <f>'26_Allstate - Vehicular'!T12</f>
        <v>1717644</v>
      </c>
      <c r="V34" s="41">
        <f>'26_Allstate - Vehicular'!U12</f>
        <v>1719289</v>
      </c>
      <c r="W34" s="41">
        <f>'26_Allstate - Vehicular'!V12</f>
        <v>1720937</v>
      </c>
      <c r="X34" s="41">
        <f>'26_Allstate - Vehicular'!W12</f>
        <v>1722585</v>
      </c>
      <c r="Y34" s="41">
        <f>'26_Allstate - Vehicular'!X12</f>
        <v>1724235</v>
      </c>
      <c r="Z34" s="41">
        <f>'26_Allstate - Vehicular'!Y12</f>
        <v>1725887</v>
      </c>
      <c r="AA34" s="41">
        <f>'26_Allstate - Vehicular'!Z12</f>
        <v>1727541</v>
      </c>
      <c r="AB34" s="41">
        <f>'26_Allstate - Vehicular'!AA12</f>
        <v>1729196</v>
      </c>
      <c r="AC34" s="41">
        <f>'26_Allstate - Vehicular'!AB12</f>
        <v>1730852</v>
      </c>
      <c r="AD34" s="41">
        <f>'26_Allstate - Vehicular'!AC12</f>
        <v>1732510</v>
      </c>
      <c r="AE34" s="41">
        <f>'26_Allstate - Vehicular'!AD12</f>
        <v>1734170</v>
      </c>
      <c r="AF34" s="41">
        <f>'26_Allstate - Vehicular'!AE12</f>
        <v>1735831</v>
      </c>
      <c r="AG34" s="41">
        <f>'26_Allstate - Vehicular'!AF12</f>
        <v>1737494</v>
      </c>
      <c r="AH34" s="41">
        <f>'26_Allstate - Vehicular'!AG12</f>
        <v>1739159</v>
      </c>
      <c r="AI34" s="41">
        <f>'26_Allstate - Vehicular'!AH12</f>
        <v>1740825</v>
      </c>
      <c r="AJ34" s="41">
        <f>'26_Allstate - Vehicular'!AI12</f>
        <v>1742493</v>
      </c>
      <c r="AK34" s="41">
        <f>'26_Allstate - Vehicular'!AJ12</f>
        <v>1744162</v>
      </c>
      <c r="AL34" s="41">
        <f>'26_Allstate - Vehicular'!AK12</f>
        <v>1745833</v>
      </c>
      <c r="AM34" s="41">
        <f>'26_Allstate - Vehicular'!AL12</f>
        <v>1747505</v>
      </c>
      <c r="AN34" s="41">
        <f>'26_Allstate - Vehicular'!AM12</f>
        <v>1749180</v>
      </c>
      <c r="AO34" s="41">
        <f>'26_Allstate - Vehicular'!AN12</f>
        <v>1750855</v>
      </c>
      <c r="AP34" s="41">
        <f>'26_Allstate - Vehicular'!AO12</f>
        <v>1752533</v>
      </c>
      <c r="AQ34" s="41">
        <f>'26_Allstate - Vehicular'!AP12</f>
        <v>1754211</v>
      </c>
      <c r="AR34" s="41">
        <f>'26_Allstate - Vehicular'!AQ12</f>
        <v>1755892</v>
      </c>
      <c r="AS34" s="41">
        <f>'26_Allstate - Vehicular'!AR12</f>
        <v>1757574</v>
      </c>
      <c r="AT34" s="41">
        <f>'26_Allstate - Vehicular'!AS12</f>
        <v>1759258</v>
      </c>
      <c r="AU34" s="41">
        <f>'26_Allstate - Vehicular'!AT12</f>
        <v>1760943</v>
      </c>
      <c r="AV34" s="41">
        <f>'26_Allstate - Vehicular'!AU12</f>
        <v>1762630</v>
      </c>
      <c r="AW34" s="41">
        <f>'26_Allstate - Vehicular'!AV12</f>
        <v>1764319</v>
      </c>
      <c r="AX34" s="41">
        <f>'26_Allstate - Vehicular'!AW12</f>
        <v>1766009</v>
      </c>
      <c r="AY34" s="41">
        <f>'26_Allstate - Vehicular'!AX12</f>
        <v>1767701</v>
      </c>
      <c r="AZ34" s="41">
        <f>'26_Allstate - Vehicular'!AY12</f>
        <v>1769394</v>
      </c>
      <c r="BA34" s="41">
        <f>'26_Allstate - Vehicular'!AZ12</f>
        <v>1771089</v>
      </c>
      <c r="BB34" s="41">
        <f>'26_Allstate - Vehicular'!BA12</f>
        <v>1772786</v>
      </c>
      <c r="BC34" s="41">
        <f>'26_Allstate - Vehicular'!BB12</f>
        <v>1774484</v>
      </c>
      <c r="BD34" s="41">
        <f>'26_Allstate - Vehicular'!BC12</f>
        <v>1776184</v>
      </c>
      <c r="BE34" s="41">
        <f>'26_Allstate - Vehicular'!BD12</f>
        <v>1777886</v>
      </c>
      <c r="BF34" s="41">
        <f>'26_Allstate - Vehicular'!BE12</f>
        <v>1779589</v>
      </c>
      <c r="BG34" s="41">
        <f>'26_Allstate - Vehicular'!BF12</f>
        <v>1781294</v>
      </c>
      <c r="BH34" s="41">
        <f>'26_Allstate - Vehicular'!BG12</f>
        <v>1783001</v>
      </c>
      <c r="BI34" s="41">
        <f>'26_Allstate - Vehicular'!BH12</f>
        <v>1784709</v>
      </c>
      <c r="BJ34" s="41">
        <f>'26_Allstate - Vehicular'!BI12</f>
        <v>1786418</v>
      </c>
      <c r="BK34" s="41">
        <f>'26_Allstate - Vehicular'!BJ12</f>
        <v>1788130</v>
      </c>
      <c r="BL34" s="41">
        <f>'26_Allstate - Vehicular'!BK12</f>
        <v>1789843</v>
      </c>
      <c r="BM34" s="41">
        <f>'26_Allstate - Vehicular'!BL12</f>
        <v>1791558</v>
      </c>
      <c r="BN34" s="41">
        <f>'26_Allstate - Vehicular'!BM12</f>
        <v>1793274</v>
      </c>
      <c r="BO34" s="41">
        <f>'26_Allstate - Vehicular'!BN12</f>
        <v>1794992</v>
      </c>
      <c r="BP34" s="41">
        <f>'26_Allstate - Vehicular'!BO12</f>
        <v>1796711</v>
      </c>
      <c r="BQ34" s="41">
        <f>'26_Allstate - Vehicular'!BP12</f>
        <v>1798433</v>
      </c>
      <c r="BR34" s="41">
        <f>'26_Allstate - Vehicular'!BQ12</f>
        <v>1800156</v>
      </c>
      <c r="BS34" s="41">
        <f>'26_Allstate - Vehicular'!BR12</f>
        <v>1801880</v>
      </c>
      <c r="BT34" s="41">
        <f>'26_Allstate - Vehicular'!BS12</f>
        <v>1803606</v>
      </c>
      <c r="BU34" s="41">
        <f>'26_Allstate - Vehicular'!BT12</f>
        <v>1805334</v>
      </c>
      <c r="BV34" s="41">
        <f>'26_Allstate - Vehicular'!BU12</f>
        <v>1807064</v>
      </c>
      <c r="BW34" s="67"/>
    </row>
    <row r="35">
      <c r="A35" s="41" t="str">
        <f>'27_SURA Chile'!A1</f>
        <v>Actor: SURA Chile</v>
      </c>
      <c r="B35" s="7"/>
      <c r="C35" s="41">
        <f>'27_SURA Chile'!B12</f>
        <v>0</v>
      </c>
      <c r="D35" s="41">
        <f>'27_SURA Chile'!C12</f>
        <v>0</v>
      </c>
      <c r="E35" s="41">
        <f>'27_SURA Chile'!D12</f>
        <v>0</v>
      </c>
      <c r="F35" s="41">
        <f>'27_SURA Chile'!E12</f>
        <v>0</v>
      </c>
      <c r="G35" s="41">
        <f>'27_SURA Chile'!F12</f>
        <v>0</v>
      </c>
      <c r="H35" s="41">
        <f>'27_SURA Chile'!G12</f>
        <v>0</v>
      </c>
      <c r="I35" s="41">
        <f>'27_SURA Chile'!H12</f>
        <v>0</v>
      </c>
      <c r="J35" s="41">
        <f>'27_SURA Chile'!I12</f>
        <v>0</v>
      </c>
      <c r="K35" s="41">
        <f>'27_SURA Chile'!J12</f>
        <v>0</v>
      </c>
      <c r="L35" s="41">
        <f>'27_SURA Chile'!K12</f>
        <v>0</v>
      </c>
      <c r="M35" s="41">
        <f>'27_SURA Chile'!L12</f>
        <v>0</v>
      </c>
      <c r="N35" s="41">
        <f>'27_SURA Chile'!M12</f>
        <v>0</v>
      </c>
      <c r="O35" s="41">
        <f>'27_SURA Chile'!N12</f>
        <v>0</v>
      </c>
      <c r="P35" s="41">
        <f>'27_SURA Chile'!O12</f>
        <v>0</v>
      </c>
      <c r="Q35" s="41">
        <f>'27_SURA Chile'!P12</f>
        <v>0</v>
      </c>
      <c r="R35" s="41">
        <f>'27_SURA Chile'!Q12</f>
        <v>0</v>
      </c>
      <c r="S35" s="41">
        <f>'27_SURA Chile'!R12</f>
        <v>0</v>
      </c>
      <c r="T35" s="41">
        <f>'27_SURA Chile'!S12</f>
        <v>341250</v>
      </c>
      <c r="U35" s="41">
        <f>'27_SURA Chile'!T12</f>
        <v>341916</v>
      </c>
      <c r="V35" s="41">
        <f>'27_SURA Chile'!U12</f>
        <v>342584</v>
      </c>
      <c r="W35" s="41">
        <f>'27_SURA Chile'!V12</f>
        <v>343252</v>
      </c>
      <c r="X35" s="41">
        <f>'27_SURA Chile'!W12</f>
        <v>343922</v>
      </c>
      <c r="Y35" s="41">
        <f>'27_SURA Chile'!X12</f>
        <v>344594</v>
      </c>
      <c r="Z35" s="41">
        <f>'27_SURA Chile'!Y12</f>
        <v>345266</v>
      </c>
      <c r="AA35" s="41">
        <f>'27_SURA Chile'!Z12</f>
        <v>345940</v>
      </c>
      <c r="AB35" s="41">
        <f>'27_SURA Chile'!AA12</f>
        <v>346616</v>
      </c>
      <c r="AC35" s="41">
        <f>'27_SURA Chile'!AB12</f>
        <v>347292</v>
      </c>
      <c r="AD35" s="41">
        <f>'27_SURA Chile'!AC12</f>
        <v>347970</v>
      </c>
      <c r="AE35" s="41">
        <f>'27_SURA Chile'!AD12</f>
        <v>348649</v>
      </c>
      <c r="AF35" s="41">
        <f>'27_SURA Chile'!AE12</f>
        <v>349330</v>
      </c>
      <c r="AG35" s="41">
        <f>'27_SURA Chile'!AF12</f>
        <v>350012</v>
      </c>
      <c r="AH35" s="41">
        <f>'27_SURA Chile'!AG12</f>
        <v>350695</v>
      </c>
      <c r="AI35" s="41">
        <f>'27_SURA Chile'!AH12</f>
        <v>351379</v>
      </c>
      <c r="AJ35" s="41">
        <f>'27_SURA Chile'!AI12</f>
        <v>352065</v>
      </c>
      <c r="AK35" s="41">
        <f>'27_SURA Chile'!AJ12</f>
        <v>352753</v>
      </c>
      <c r="AL35" s="41">
        <f>'27_SURA Chile'!AK12</f>
        <v>353441</v>
      </c>
      <c r="AM35" s="41">
        <f>'27_SURA Chile'!AL12</f>
        <v>354131</v>
      </c>
      <c r="AN35" s="41">
        <f>'27_SURA Chile'!AM12</f>
        <v>354822</v>
      </c>
      <c r="AO35" s="41">
        <f>'27_SURA Chile'!AN12</f>
        <v>355515</v>
      </c>
      <c r="AP35" s="41">
        <f>'27_SURA Chile'!AO12</f>
        <v>356209</v>
      </c>
      <c r="AQ35" s="41">
        <f>'27_SURA Chile'!AP12</f>
        <v>356904</v>
      </c>
      <c r="AR35" s="41">
        <f>'27_SURA Chile'!AQ12</f>
        <v>357601</v>
      </c>
      <c r="AS35" s="41">
        <f>'27_SURA Chile'!AR12</f>
        <v>358299</v>
      </c>
      <c r="AT35" s="41">
        <f>'27_SURA Chile'!AS12</f>
        <v>358998</v>
      </c>
      <c r="AU35" s="41">
        <f>'27_SURA Chile'!AT12</f>
        <v>359699</v>
      </c>
      <c r="AV35" s="41">
        <f>'27_SURA Chile'!AU12</f>
        <v>360401</v>
      </c>
      <c r="AW35" s="41">
        <f>'27_SURA Chile'!AV12</f>
        <v>361105</v>
      </c>
      <c r="AX35" s="41">
        <f>'27_SURA Chile'!AW12</f>
        <v>361810</v>
      </c>
      <c r="AY35" s="41">
        <f>'27_SURA Chile'!AX12</f>
        <v>362516</v>
      </c>
      <c r="AZ35" s="41">
        <f>'27_SURA Chile'!AY12</f>
        <v>363224</v>
      </c>
      <c r="BA35" s="41">
        <f>'27_SURA Chile'!AZ12</f>
        <v>363933</v>
      </c>
      <c r="BB35" s="41">
        <f>'27_SURA Chile'!BA12</f>
        <v>364643</v>
      </c>
      <c r="BC35" s="41">
        <f>'27_SURA Chile'!BB12</f>
        <v>365355</v>
      </c>
      <c r="BD35" s="41">
        <f>'27_SURA Chile'!BC12</f>
        <v>366068</v>
      </c>
      <c r="BE35" s="41">
        <f>'27_SURA Chile'!BD12</f>
        <v>366782</v>
      </c>
      <c r="BF35" s="41">
        <f>'27_SURA Chile'!BE12</f>
        <v>367498</v>
      </c>
      <c r="BG35" s="41">
        <f>'27_SURA Chile'!BF12</f>
        <v>368216</v>
      </c>
      <c r="BH35" s="41">
        <f>'27_SURA Chile'!BG12</f>
        <v>368935</v>
      </c>
      <c r="BI35" s="41">
        <f>'27_SURA Chile'!BH12</f>
        <v>369655</v>
      </c>
      <c r="BJ35" s="41">
        <f>'27_SURA Chile'!BI12</f>
        <v>370376</v>
      </c>
      <c r="BK35" s="41">
        <f>'27_SURA Chile'!BJ12</f>
        <v>371099</v>
      </c>
      <c r="BL35" s="41">
        <f>'27_SURA Chile'!BK12</f>
        <v>371824</v>
      </c>
      <c r="BM35" s="41">
        <f>'27_SURA Chile'!BL12</f>
        <v>372549</v>
      </c>
      <c r="BN35" s="41">
        <f>'27_SURA Chile'!BM12</f>
        <v>373277</v>
      </c>
      <c r="BO35" s="41">
        <f>'27_SURA Chile'!BN12</f>
        <v>374005</v>
      </c>
      <c r="BP35" s="41">
        <f>'27_SURA Chile'!BO12</f>
        <v>374735</v>
      </c>
      <c r="BQ35" s="41">
        <f>'27_SURA Chile'!BP12</f>
        <v>375467</v>
      </c>
      <c r="BR35" s="41">
        <f>'27_SURA Chile'!BQ12</f>
        <v>376200</v>
      </c>
      <c r="BS35" s="41">
        <f>'27_SURA Chile'!BR12</f>
        <v>376934</v>
      </c>
      <c r="BT35" s="41">
        <f>'27_SURA Chile'!BS12</f>
        <v>377670</v>
      </c>
      <c r="BU35" s="41">
        <f>'27_SURA Chile'!BT12</f>
        <v>378407</v>
      </c>
      <c r="BV35" s="41">
        <f>'27_SURA Chile'!BU12</f>
        <v>379146</v>
      </c>
      <c r="BW35" s="67"/>
    </row>
    <row r="36">
      <c r="A36" s="41" t="str">
        <f>'28_SURA Chile - Hogar'!A1</f>
        <v>Actor: SURA Chile - Hogar</v>
      </c>
      <c r="B36" s="7"/>
      <c r="C36" s="41">
        <f>'28_SURA Chile - Hogar'!B12</f>
        <v>0</v>
      </c>
      <c r="D36" s="41">
        <f>'28_SURA Chile - Hogar'!C12</f>
        <v>0</v>
      </c>
      <c r="E36" s="41">
        <f>'28_SURA Chile - Hogar'!D12</f>
        <v>0</v>
      </c>
      <c r="F36" s="41">
        <f>'28_SURA Chile - Hogar'!E12</f>
        <v>0</v>
      </c>
      <c r="G36" s="41">
        <f>'28_SURA Chile - Hogar'!F12</f>
        <v>0</v>
      </c>
      <c r="H36" s="41">
        <f>'28_SURA Chile - Hogar'!G12</f>
        <v>0</v>
      </c>
      <c r="I36" s="41">
        <f>'28_SURA Chile - Hogar'!H12</f>
        <v>0</v>
      </c>
      <c r="J36" s="41">
        <f>'28_SURA Chile - Hogar'!I12</f>
        <v>0</v>
      </c>
      <c r="K36" s="41">
        <f>'28_SURA Chile - Hogar'!J12</f>
        <v>0</v>
      </c>
      <c r="L36" s="41">
        <f>'28_SURA Chile - Hogar'!K12</f>
        <v>0</v>
      </c>
      <c r="M36" s="41">
        <f>'28_SURA Chile - Hogar'!L12</f>
        <v>0</v>
      </c>
      <c r="N36" s="41">
        <f>'28_SURA Chile - Hogar'!M12</f>
        <v>0</v>
      </c>
      <c r="O36" s="41">
        <f>'28_SURA Chile - Hogar'!N12</f>
        <v>0</v>
      </c>
      <c r="P36" s="41">
        <f>'28_SURA Chile - Hogar'!O12</f>
        <v>0</v>
      </c>
      <c r="Q36" s="41">
        <f>'28_SURA Chile - Hogar'!P12</f>
        <v>0</v>
      </c>
      <c r="R36" s="41">
        <f>'28_SURA Chile - Hogar'!Q12</f>
        <v>0</v>
      </c>
      <c r="S36" s="41">
        <f>'28_SURA Chile - Hogar'!R12</f>
        <v>0</v>
      </c>
      <c r="T36" s="41">
        <f>'28_SURA Chile - Hogar'!S12</f>
        <v>0</v>
      </c>
      <c r="U36" s="41">
        <f>'28_SURA Chile - Hogar'!T12</f>
        <v>0</v>
      </c>
      <c r="V36" s="41">
        <f>'28_SURA Chile - Hogar'!U12</f>
        <v>120000</v>
      </c>
      <c r="W36" s="41">
        <f>'28_SURA Chile - Hogar'!V12</f>
        <v>120234</v>
      </c>
      <c r="X36" s="41">
        <f>'28_SURA Chile - Hogar'!W12</f>
        <v>120469</v>
      </c>
      <c r="Y36" s="41">
        <f>'28_SURA Chile - Hogar'!X12</f>
        <v>120704</v>
      </c>
      <c r="Z36" s="41">
        <f>'28_SURA Chile - Hogar'!Y12</f>
        <v>120940</v>
      </c>
      <c r="AA36" s="41">
        <f>'28_SURA Chile - Hogar'!Z12</f>
        <v>121176</v>
      </c>
      <c r="AB36" s="41">
        <f>'28_SURA Chile - Hogar'!AA12</f>
        <v>121412</v>
      </c>
      <c r="AC36" s="41">
        <f>'28_SURA Chile - Hogar'!AB12</f>
        <v>121649</v>
      </c>
      <c r="AD36" s="41">
        <f>'28_SURA Chile - Hogar'!AC12</f>
        <v>121887</v>
      </c>
      <c r="AE36" s="41">
        <f>'28_SURA Chile - Hogar'!AD12</f>
        <v>122125</v>
      </c>
      <c r="AF36" s="41">
        <f>'28_SURA Chile - Hogar'!AE12</f>
        <v>122363</v>
      </c>
      <c r="AG36" s="41">
        <f>'28_SURA Chile - Hogar'!AF12</f>
        <v>122602</v>
      </c>
      <c r="AH36" s="41">
        <f>'28_SURA Chile - Hogar'!AG12</f>
        <v>122841</v>
      </c>
      <c r="AI36" s="41">
        <f>'28_SURA Chile - Hogar'!AH12</f>
        <v>123081</v>
      </c>
      <c r="AJ36" s="41">
        <f>'28_SURA Chile - Hogar'!AI12</f>
        <v>123321</v>
      </c>
      <c r="AK36" s="41">
        <f>'28_SURA Chile - Hogar'!AJ12</f>
        <v>123562</v>
      </c>
      <c r="AL36" s="41">
        <f>'28_SURA Chile - Hogar'!AK12</f>
        <v>123803</v>
      </c>
      <c r="AM36" s="41">
        <f>'28_SURA Chile - Hogar'!AL12</f>
        <v>124045</v>
      </c>
      <c r="AN36" s="41">
        <f>'28_SURA Chile - Hogar'!AM12</f>
        <v>124287</v>
      </c>
      <c r="AO36" s="41">
        <f>'28_SURA Chile - Hogar'!AN12</f>
        <v>124530</v>
      </c>
      <c r="AP36" s="41">
        <f>'28_SURA Chile - Hogar'!AO12</f>
        <v>124773</v>
      </c>
      <c r="AQ36" s="41">
        <f>'28_SURA Chile - Hogar'!AP12</f>
        <v>125016</v>
      </c>
      <c r="AR36" s="41">
        <f>'28_SURA Chile - Hogar'!AQ12</f>
        <v>125260</v>
      </c>
      <c r="AS36" s="41">
        <f>'28_SURA Chile - Hogar'!AR12</f>
        <v>125505</v>
      </c>
      <c r="AT36" s="41">
        <f>'28_SURA Chile - Hogar'!AS12</f>
        <v>125750</v>
      </c>
      <c r="AU36" s="41">
        <f>'28_SURA Chile - Hogar'!AT12</f>
        <v>125995</v>
      </c>
      <c r="AV36" s="41">
        <f>'28_SURA Chile - Hogar'!AU12</f>
        <v>126241</v>
      </c>
      <c r="AW36" s="41">
        <f>'28_SURA Chile - Hogar'!AV12</f>
        <v>126488</v>
      </c>
      <c r="AX36" s="41">
        <f>'28_SURA Chile - Hogar'!AW12</f>
        <v>126735</v>
      </c>
      <c r="AY36" s="41">
        <f>'28_SURA Chile - Hogar'!AX12</f>
        <v>126982</v>
      </c>
      <c r="AZ36" s="41">
        <f>'28_SURA Chile - Hogar'!AY12</f>
        <v>127230</v>
      </c>
      <c r="BA36" s="41">
        <f>'28_SURA Chile - Hogar'!AZ12</f>
        <v>127478</v>
      </c>
      <c r="BB36" s="41">
        <f>'28_SURA Chile - Hogar'!BA12</f>
        <v>127727</v>
      </c>
      <c r="BC36" s="41">
        <f>'28_SURA Chile - Hogar'!BB12</f>
        <v>127976</v>
      </c>
      <c r="BD36" s="41">
        <f>'28_SURA Chile - Hogar'!BC12</f>
        <v>128226</v>
      </c>
      <c r="BE36" s="41">
        <f>'28_SURA Chile - Hogar'!BD12</f>
        <v>128476</v>
      </c>
      <c r="BF36" s="41">
        <f>'28_SURA Chile - Hogar'!BE12</f>
        <v>128727</v>
      </c>
      <c r="BG36" s="41">
        <f>'28_SURA Chile - Hogar'!BF12</f>
        <v>128978</v>
      </c>
      <c r="BH36" s="41">
        <f>'28_SURA Chile - Hogar'!BG12</f>
        <v>129230</v>
      </c>
      <c r="BI36" s="41">
        <f>'28_SURA Chile - Hogar'!BH12</f>
        <v>129482</v>
      </c>
      <c r="BJ36" s="41">
        <f>'28_SURA Chile - Hogar'!BI12</f>
        <v>129735</v>
      </c>
      <c r="BK36" s="41">
        <f>'28_SURA Chile - Hogar'!BJ12</f>
        <v>129988</v>
      </c>
      <c r="BL36" s="41">
        <f>'28_SURA Chile - Hogar'!BK12</f>
        <v>130242</v>
      </c>
      <c r="BM36" s="41">
        <f>'28_SURA Chile - Hogar'!BL12</f>
        <v>130496</v>
      </c>
      <c r="BN36" s="41">
        <f>'28_SURA Chile - Hogar'!BM12</f>
        <v>130751</v>
      </c>
      <c r="BO36" s="41">
        <f>'28_SURA Chile - Hogar'!BN12</f>
        <v>131006</v>
      </c>
      <c r="BP36" s="41">
        <f>'28_SURA Chile - Hogar'!BO12</f>
        <v>131262</v>
      </c>
      <c r="BQ36" s="41">
        <f>'28_SURA Chile - Hogar'!BP12</f>
        <v>131518</v>
      </c>
      <c r="BR36" s="41">
        <f>'28_SURA Chile - Hogar'!BQ12</f>
        <v>131775</v>
      </c>
      <c r="BS36" s="41">
        <f>'28_SURA Chile - Hogar'!BR12</f>
        <v>132032</v>
      </c>
      <c r="BT36" s="41">
        <f>'28_SURA Chile - Hogar'!BS12</f>
        <v>132290</v>
      </c>
      <c r="BU36" s="41">
        <f>'28_SURA Chile - Hogar'!BT12</f>
        <v>132548</v>
      </c>
      <c r="BV36" s="41">
        <f>'28_SURA Chile - Hogar'!BU12</f>
        <v>132807</v>
      </c>
      <c r="BW36" s="67"/>
    </row>
    <row r="37">
      <c r="A37" s="41" t="str">
        <f>'29_SURA Colombia'!A1</f>
        <v>Actor: SURA Colombia</v>
      </c>
      <c r="B37" s="7"/>
      <c r="C37" s="41">
        <f>'29_SURA Colombia'!B12</f>
        <v>0</v>
      </c>
      <c r="D37" s="41">
        <f>'29_SURA Colombia'!C12</f>
        <v>0</v>
      </c>
      <c r="E37" s="41">
        <f>'29_SURA Colombia'!D12</f>
        <v>0</v>
      </c>
      <c r="F37" s="41">
        <f>'29_SURA Colombia'!E12</f>
        <v>0</v>
      </c>
      <c r="G37" s="41">
        <f>'29_SURA Colombia'!F12</f>
        <v>0</v>
      </c>
      <c r="H37" s="41">
        <f>'29_SURA Colombia'!G12</f>
        <v>0</v>
      </c>
      <c r="I37" s="41">
        <f>'29_SURA Colombia'!H12</f>
        <v>0</v>
      </c>
      <c r="J37" s="41">
        <f>'29_SURA Colombia'!I12</f>
        <v>0</v>
      </c>
      <c r="K37" s="41">
        <f>'29_SURA Colombia'!J12</f>
        <v>0</v>
      </c>
      <c r="L37" s="41">
        <f>'29_SURA Colombia'!K12</f>
        <v>0</v>
      </c>
      <c r="M37" s="41">
        <f>'29_SURA Colombia'!L12</f>
        <v>0</v>
      </c>
      <c r="N37" s="41">
        <f>'29_SURA Colombia'!M12</f>
        <v>0</v>
      </c>
      <c r="O37" s="41">
        <f>'29_SURA Colombia'!N12</f>
        <v>0</v>
      </c>
      <c r="P37" s="41">
        <f>'29_SURA Colombia'!O12</f>
        <v>0</v>
      </c>
      <c r="Q37" s="41">
        <f>'29_SURA Colombia'!P12</f>
        <v>390000</v>
      </c>
      <c r="R37" s="41">
        <f>'29_SURA Colombia'!Q12</f>
        <v>391143</v>
      </c>
      <c r="S37" s="41">
        <f>'29_SURA Colombia'!R12</f>
        <v>392289</v>
      </c>
      <c r="T37" s="41">
        <f>'29_SURA Colombia'!S12</f>
        <v>393438</v>
      </c>
      <c r="U37" s="41">
        <f>'29_SURA Colombia'!T12</f>
        <v>394591</v>
      </c>
      <c r="V37" s="41">
        <f>'29_SURA Colombia'!U12</f>
        <v>395747</v>
      </c>
      <c r="W37" s="41">
        <f>'29_SURA Colombia'!V12</f>
        <v>396907</v>
      </c>
      <c r="X37" s="41">
        <f>'29_SURA Colombia'!W12</f>
        <v>398070</v>
      </c>
      <c r="Y37" s="41">
        <f>'29_SURA Colombia'!X12</f>
        <v>399236</v>
      </c>
      <c r="Z37" s="41">
        <f>'29_SURA Colombia'!Y12</f>
        <v>400406</v>
      </c>
      <c r="AA37" s="41">
        <f>'29_SURA Colombia'!Z12</f>
        <v>401579</v>
      </c>
      <c r="AB37" s="41">
        <f>'29_SURA Colombia'!AA12</f>
        <v>402755</v>
      </c>
      <c r="AC37" s="41">
        <f>'29_SURA Colombia'!AB12</f>
        <v>403936</v>
      </c>
      <c r="AD37" s="41">
        <f>'29_SURA Colombia'!AC12</f>
        <v>405119</v>
      </c>
      <c r="AE37" s="41">
        <f>'29_SURA Colombia'!AD12</f>
        <v>406306</v>
      </c>
      <c r="AF37" s="41">
        <f>'29_SURA Colombia'!AE12</f>
        <v>407497</v>
      </c>
      <c r="AG37" s="41">
        <f>'29_SURA Colombia'!AF12</f>
        <v>408691</v>
      </c>
      <c r="AH37" s="41">
        <f>'29_SURA Colombia'!AG12</f>
        <v>409888</v>
      </c>
      <c r="AI37" s="41">
        <f>'29_SURA Colombia'!AH12</f>
        <v>411089</v>
      </c>
      <c r="AJ37" s="41">
        <f>'29_SURA Colombia'!AI12</f>
        <v>412293</v>
      </c>
      <c r="AK37" s="41">
        <f>'29_SURA Colombia'!AJ12</f>
        <v>413501</v>
      </c>
      <c r="AL37" s="41">
        <f>'29_SURA Colombia'!AK12</f>
        <v>414713</v>
      </c>
      <c r="AM37" s="41">
        <f>'29_SURA Colombia'!AL12</f>
        <v>415928</v>
      </c>
      <c r="AN37" s="41">
        <f>'29_SURA Colombia'!AM12</f>
        <v>417147</v>
      </c>
      <c r="AO37" s="41">
        <f>'29_SURA Colombia'!AN12</f>
        <v>418369</v>
      </c>
      <c r="AP37" s="41">
        <f>'29_SURA Colombia'!AO12</f>
        <v>419595</v>
      </c>
      <c r="AQ37" s="41">
        <f>'29_SURA Colombia'!AP12</f>
        <v>420824</v>
      </c>
      <c r="AR37" s="41">
        <f>'29_SURA Colombia'!AQ12</f>
        <v>422057</v>
      </c>
      <c r="AS37" s="41">
        <f>'29_SURA Colombia'!AR12</f>
        <v>423294</v>
      </c>
      <c r="AT37" s="41">
        <f>'29_SURA Colombia'!AS12</f>
        <v>424534</v>
      </c>
      <c r="AU37" s="41">
        <f>'29_SURA Colombia'!AT12</f>
        <v>425778</v>
      </c>
      <c r="AV37" s="41">
        <f>'29_SURA Colombia'!AU12</f>
        <v>427026</v>
      </c>
      <c r="AW37" s="41">
        <f>'29_SURA Colombia'!AV12</f>
        <v>428277</v>
      </c>
      <c r="AX37" s="41">
        <f>'29_SURA Colombia'!AW12</f>
        <v>429532</v>
      </c>
      <c r="AY37" s="41">
        <f>'29_SURA Colombia'!AX12</f>
        <v>430790</v>
      </c>
      <c r="AZ37" s="41">
        <f>'29_SURA Colombia'!AY12</f>
        <v>432052</v>
      </c>
      <c r="BA37" s="41">
        <f>'29_SURA Colombia'!AZ12</f>
        <v>433318</v>
      </c>
      <c r="BB37" s="41">
        <f>'29_SURA Colombia'!BA12</f>
        <v>434588</v>
      </c>
      <c r="BC37" s="41">
        <f>'29_SURA Colombia'!BB12</f>
        <v>435861</v>
      </c>
      <c r="BD37" s="41">
        <f>'29_SURA Colombia'!BC12</f>
        <v>437138</v>
      </c>
      <c r="BE37" s="41">
        <f>'29_SURA Colombia'!BD12</f>
        <v>438419</v>
      </c>
      <c r="BF37" s="41">
        <f>'29_SURA Colombia'!BE12</f>
        <v>439704</v>
      </c>
      <c r="BG37" s="41">
        <f>'29_SURA Colombia'!BF12</f>
        <v>440992</v>
      </c>
      <c r="BH37" s="41">
        <f>'29_SURA Colombia'!BG12</f>
        <v>442284</v>
      </c>
      <c r="BI37" s="41">
        <f>'29_SURA Colombia'!BH12</f>
        <v>443580</v>
      </c>
      <c r="BJ37" s="41">
        <f>'29_SURA Colombia'!BI12</f>
        <v>444880</v>
      </c>
      <c r="BK37" s="41">
        <f>'29_SURA Colombia'!BJ12</f>
        <v>446183</v>
      </c>
      <c r="BL37" s="41">
        <f>'29_SURA Colombia'!BK12</f>
        <v>447491</v>
      </c>
      <c r="BM37" s="41">
        <f>'29_SURA Colombia'!BL12</f>
        <v>448802</v>
      </c>
      <c r="BN37" s="41">
        <f>'29_SURA Colombia'!BM12</f>
        <v>450117</v>
      </c>
      <c r="BO37" s="41">
        <f>'29_SURA Colombia'!BN12</f>
        <v>451436</v>
      </c>
      <c r="BP37" s="41">
        <f>'29_SURA Colombia'!BO12</f>
        <v>452758</v>
      </c>
      <c r="BQ37" s="41">
        <f>'29_SURA Colombia'!BP12</f>
        <v>454085</v>
      </c>
      <c r="BR37" s="41">
        <f>'29_SURA Colombia'!BQ12</f>
        <v>455415</v>
      </c>
      <c r="BS37" s="41">
        <f>'29_SURA Colombia'!BR12</f>
        <v>456750</v>
      </c>
      <c r="BT37" s="41">
        <f>'29_SURA Colombia'!BS12</f>
        <v>458088</v>
      </c>
      <c r="BU37" s="41">
        <f>'29_SURA Colombia'!BT12</f>
        <v>459430</v>
      </c>
      <c r="BV37" s="41">
        <f>'29_SURA Colombia'!BU12</f>
        <v>460776</v>
      </c>
      <c r="BW37" s="67"/>
    </row>
    <row r="38">
      <c r="A38" s="41" t="str">
        <f>'30_SURA Colombia - Hogar'!A1</f>
        <v>Actor: SURA Colombia - Hogar</v>
      </c>
      <c r="B38" s="7"/>
      <c r="C38" s="41">
        <f>'30_SURA Colombia - Hogar'!B12</f>
        <v>0</v>
      </c>
      <c r="D38" s="41">
        <f>'30_SURA Colombia - Hogar'!C12</f>
        <v>0</v>
      </c>
      <c r="E38" s="41">
        <f>'30_SURA Colombia - Hogar'!D12</f>
        <v>0</v>
      </c>
      <c r="F38" s="41">
        <f>'30_SURA Colombia - Hogar'!E12</f>
        <v>0</v>
      </c>
      <c r="G38" s="41">
        <f>'30_SURA Colombia - Hogar'!F12</f>
        <v>0</v>
      </c>
      <c r="H38" s="41">
        <f>'30_SURA Colombia - Hogar'!G12</f>
        <v>0</v>
      </c>
      <c r="I38" s="41">
        <f>'30_SURA Colombia - Hogar'!H12</f>
        <v>0</v>
      </c>
      <c r="J38" s="41">
        <f>'30_SURA Colombia - Hogar'!I12</f>
        <v>0</v>
      </c>
      <c r="K38" s="41">
        <f>'30_SURA Colombia - Hogar'!J12</f>
        <v>0</v>
      </c>
      <c r="L38" s="41">
        <f>'30_SURA Colombia - Hogar'!K12</f>
        <v>0</v>
      </c>
      <c r="M38" s="41">
        <f>'30_SURA Colombia - Hogar'!L12</f>
        <v>0</v>
      </c>
      <c r="N38" s="41">
        <f>'30_SURA Colombia - Hogar'!M12</f>
        <v>0</v>
      </c>
      <c r="O38" s="41">
        <f>'30_SURA Colombia - Hogar'!N12</f>
        <v>0</v>
      </c>
      <c r="P38" s="41">
        <f>'30_SURA Colombia - Hogar'!O12</f>
        <v>0</v>
      </c>
      <c r="Q38" s="41">
        <f>'30_SURA Colombia - Hogar'!P12</f>
        <v>0</v>
      </c>
      <c r="R38" s="41">
        <f>'30_SURA Colombia - Hogar'!Q12</f>
        <v>240000</v>
      </c>
      <c r="S38" s="41">
        <f>'30_SURA Colombia - Hogar'!R12</f>
        <v>240703</v>
      </c>
      <c r="T38" s="41">
        <f>'30_SURA Colombia - Hogar'!S12</f>
        <v>241408</v>
      </c>
      <c r="U38" s="41">
        <f>'30_SURA Colombia - Hogar'!T12</f>
        <v>242116</v>
      </c>
      <c r="V38" s="41">
        <f>'30_SURA Colombia - Hogar'!U12</f>
        <v>242825</v>
      </c>
      <c r="W38" s="41">
        <f>'30_SURA Colombia - Hogar'!V12</f>
        <v>243537</v>
      </c>
      <c r="X38" s="41">
        <f>'30_SURA Colombia - Hogar'!W12</f>
        <v>244250</v>
      </c>
      <c r="Y38" s="41">
        <f>'30_SURA Colombia - Hogar'!X12</f>
        <v>244966</v>
      </c>
      <c r="Z38" s="41">
        <f>'30_SURA Colombia - Hogar'!Y12</f>
        <v>245684</v>
      </c>
      <c r="AA38" s="41">
        <f>'30_SURA Colombia - Hogar'!Z12</f>
        <v>246403</v>
      </c>
      <c r="AB38" s="41">
        <f>'30_SURA Colombia - Hogar'!AA12</f>
        <v>247125</v>
      </c>
      <c r="AC38" s="41">
        <f>'30_SURA Colombia - Hogar'!AB12</f>
        <v>247850</v>
      </c>
      <c r="AD38" s="41">
        <f>'30_SURA Colombia - Hogar'!AC12</f>
        <v>248576</v>
      </c>
      <c r="AE38" s="41">
        <f>'30_SURA Colombia - Hogar'!AD12</f>
        <v>249304</v>
      </c>
      <c r="AF38" s="41">
        <f>'30_SURA Colombia - Hogar'!AE12</f>
        <v>250035</v>
      </c>
      <c r="AG38" s="41">
        <f>'30_SURA Colombia - Hogar'!AF12</f>
        <v>250767</v>
      </c>
      <c r="AH38" s="41">
        <f>'30_SURA Colombia - Hogar'!AG12</f>
        <v>251502</v>
      </c>
      <c r="AI38" s="41">
        <f>'30_SURA Colombia - Hogar'!AH12</f>
        <v>252239</v>
      </c>
      <c r="AJ38" s="41">
        <f>'30_SURA Colombia - Hogar'!AI12</f>
        <v>252978</v>
      </c>
      <c r="AK38" s="41">
        <f>'30_SURA Colombia - Hogar'!AJ12</f>
        <v>253719</v>
      </c>
      <c r="AL38" s="41">
        <f>'30_SURA Colombia - Hogar'!AK12</f>
        <v>254462</v>
      </c>
      <c r="AM38" s="41">
        <f>'30_SURA Colombia - Hogar'!AL12</f>
        <v>255208</v>
      </c>
      <c r="AN38" s="41">
        <f>'30_SURA Colombia - Hogar'!AM12</f>
        <v>255956</v>
      </c>
      <c r="AO38" s="41">
        <f>'30_SURA Colombia - Hogar'!AN12</f>
        <v>256706</v>
      </c>
      <c r="AP38" s="41">
        <f>'30_SURA Colombia - Hogar'!AO12</f>
        <v>257458</v>
      </c>
      <c r="AQ38" s="41">
        <f>'30_SURA Colombia - Hogar'!AP12</f>
        <v>258212</v>
      </c>
      <c r="AR38" s="41">
        <f>'30_SURA Colombia - Hogar'!AQ12</f>
        <v>258969</v>
      </c>
      <c r="AS38" s="41">
        <f>'30_SURA Colombia - Hogar'!AR12</f>
        <v>259728</v>
      </c>
      <c r="AT38" s="41">
        <f>'30_SURA Colombia - Hogar'!AS12</f>
        <v>260489</v>
      </c>
      <c r="AU38" s="41">
        <f>'30_SURA Colombia - Hogar'!AT12</f>
        <v>261252</v>
      </c>
      <c r="AV38" s="41">
        <f>'30_SURA Colombia - Hogar'!AU12</f>
        <v>262017</v>
      </c>
      <c r="AW38" s="41">
        <f>'30_SURA Colombia - Hogar'!AV12</f>
        <v>262785</v>
      </c>
      <c r="AX38" s="41">
        <f>'30_SURA Colombia - Hogar'!AW12</f>
        <v>263555</v>
      </c>
      <c r="AY38" s="41">
        <f>'30_SURA Colombia - Hogar'!AX12</f>
        <v>264327</v>
      </c>
      <c r="AZ38" s="41">
        <f>'30_SURA Colombia - Hogar'!AY12</f>
        <v>265102</v>
      </c>
      <c r="BA38" s="41">
        <f>'30_SURA Colombia - Hogar'!AZ12</f>
        <v>265878</v>
      </c>
      <c r="BB38" s="41">
        <f>'30_SURA Colombia - Hogar'!BA12</f>
        <v>266657</v>
      </c>
      <c r="BC38" s="41">
        <f>'30_SURA Colombia - Hogar'!BB12</f>
        <v>267439</v>
      </c>
      <c r="BD38" s="41">
        <f>'30_SURA Colombia - Hogar'!BC12</f>
        <v>268222</v>
      </c>
      <c r="BE38" s="41">
        <f>'30_SURA Colombia - Hogar'!BD12</f>
        <v>269008</v>
      </c>
      <c r="BF38" s="41">
        <f>'30_SURA Colombia - Hogar'!BE12</f>
        <v>269796</v>
      </c>
      <c r="BG38" s="41">
        <f>'30_SURA Colombia - Hogar'!BF12</f>
        <v>270587</v>
      </c>
      <c r="BH38" s="41">
        <f>'30_SURA Colombia - Hogar'!BG12</f>
        <v>271380</v>
      </c>
      <c r="BI38" s="41">
        <f>'30_SURA Colombia - Hogar'!BH12</f>
        <v>272175</v>
      </c>
      <c r="BJ38" s="41">
        <f>'30_SURA Colombia - Hogar'!BI12</f>
        <v>272972</v>
      </c>
      <c r="BK38" s="41">
        <f>'30_SURA Colombia - Hogar'!BJ12</f>
        <v>273772</v>
      </c>
      <c r="BL38" s="41">
        <f>'30_SURA Colombia - Hogar'!BK12</f>
        <v>274574</v>
      </c>
      <c r="BM38" s="41">
        <f>'30_SURA Colombia - Hogar'!BL12</f>
        <v>275379</v>
      </c>
      <c r="BN38" s="41">
        <f>'30_SURA Colombia - Hogar'!BM12</f>
        <v>276186</v>
      </c>
      <c r="BO38" s="41">
        <f>'30_SURA Colombia - Hogar'!BN12</f>
        <v>276995</v>
      </c>
      <c r="BP38" s="41">
        <f>'30_SURA Colombia - Hogar'!BO12</f>
        <v>277806</v>
      </c>
      <c r="BQ38" s="41">
        <f>'30_SURA Colombia - Hogar'!BP12</f>
        <v>278620</v>
      </c>
      <c r="BR38" s="41">
        <f>'30_SURA Colombia - Hogar'!BQ12</f>
        <v>279437</v>
      </c>
      <c r="BS38" s="41">
        <f>'30_SURA Colombia - Hogar'!BR12</f>
        <v>280256</v>
      </c>
      <c r="BT38" s="41">
        <f>'30_SURA Colombia - Hogar'!BS12</f>
        <v>281077</v>
      </c>
      <c r="BU38" s="41">
        <f>'30_SURA Colombia - Hogar'!BT12</f>
        <v>281900</v>
      </c>
      <c r="BV38" s="41">
        <f>'30_SURA Colombia - Hogar'!BU12</f>
        <v>282726</v>
      </c>
      <c r="BW38" s="67"/>
    </row>
    <row r="39">
      <c r="A39" s="41" t="str">
        <f>'31_Liberty Mutual'!A1</f>
        <v>Actor: Liberty Mutual</v>
      </c>
      <c r="B39" s="7"/>
      <c r="C39" s="41">
        <f>'31_Liberty Mutual'!B12</f>
        <v>0</v>
      </c>
      <c r="D39" s="41">
        <f>'31_Liberty Mutual'!C12</f>
        <v>0</v>
      </c>
      <c r="E39" s="41">
        <f>'31_Liberty Mutual'!D12</f>
        <v>0</v>
      </c>
      <c r="F39" s="41">
        <f>'31_Liberty Mutual'!E12</f>
        <v>0</v>
      </c>
      <c r="G39" s="41">
        <f>'31_Liberty Mutual'!F12</f>
        <v>0</v>
      </c>
      <c r="H39" s="41">
        <f>'31_Liberty Mutual'!G12</f>
        <v>0</v>
      </c>
      <c r="I39" s="41">
        <f>'31_Liberty Mutual'!H12</f>
        <v>0</v>
      </c>
      <c r="J39" s="41">
        <f>'31_Liberty Mutual'!I12</f>
        <v>0</v>
      </c>
      <c r="K39" s="41">
        <f>'31_Liberty Mutual'!J12</f>
        <v>0</v>
      </c>
      <c r="L39" s="41">
        <f>'31_Liberty Mutual'!K12</f>
        <v>0</v>
      </c>
      <c r="M39" s="41">
        <f>'31_Liberty Mutual'!L12</f>
        <v>0</v>
      </c>
      <c r="N39" s="41">
        <f>'31_Liberty Mutual'!M12</f>
        <v>0</v>
      </c>
      <c r="O39" s="41">
        <f>'31_Liberty Mutual'!N12</f>
        <v>0</v>
      </c>
      <c r="P39" s="41">
        <f>'31_Liberty Mutual'!O12</f>
        <v>0</v>
      </c>
      <c r="Q39" s="41">
        <f>'31_Liberty Mutual'!P12</f>
        <v>0</v>
      </c>
      <c r="R39" s="41">
        <f>'31_Liberty Mutual'!Q12</f>
        <v>0</v>
      </c>
      <c r="S39" s="41">
        <f>'31_Liberty Mutual'!R12</f>
        <v>0</v>
      </c>
      <c r="T39" s="41">
        <f>'31_Liberty Mutual'!S12</f>
        <v>0</v>
      </c>
      <c r="U39" s="41">
        <f>'31_Liberty Mutual'!T12</f>
        <v>0</v>
      </c>
      <c r="V39" s="41">
        <f>'31_Liberty Mutual'!U12</f>
        <v>0</v>
      </c>
      <c r="W39" s="41">
        <f>'31_Liberty Mutual'!V12</f>
        <v>0</v>
      </c>
      <c r="X39" s="41">
        <f>'31_Liberty Mutual'!W12</f>
        <v>0</v>
      </c>
      <c r="Y39" s="41">
        <f>'31_Liberty Mutual'!X12</f>
        <v>0</v>
      </c>
      <c r="Z39" s="41">
        <f>'31_Liberty Mutual'!Y12</f>
        <v>0</v>
      </c>
      <c r="AA39" s="41">
        <f>'31_Liberty Mutual'!Z12</f>
        <v>1600000</v>
      </c>
      <c r="AB39" s="41">
        <f>'31_Liberty Mutual'!AA12</f>
        <v>1601533</v>
      </c>
      <c r="AC39" s="41">
        <f>'31_Liberty Mutual'!AB12</f>
        <v>1603067</v>
      </c>
      <c r="AD39" s="41">
        <f>'31_Liberty Mutual'!AC12</f>
        <v>1604603</v>
      </c>
      <c r="AE39" s="41">
        <f>'31_Liberty Mutual'!AD12</f>
        <v>1606140</v>
      </c>
      <c r="AF39" s="41">
        <f>'31_Liberty Mutual'!AE12</f>
        <v>1607679</v>
      </c>
      <c r="AG39" s="41">
        <f>'31_Liberty Mutual'!AF12</f>
        <v>1609219</v>
      </c>
      <c r="AH39" s="41">
        <f>'31_Liberty Mutual'!AG12</f>
        <v>1610760</v>
      </c>
      <c r="AI39" s="41">
        <f>'31_Liberty Mutual'!AH12</f>
        <v>1612304</v>
      </c>
      <c r="AJ39" s="41">
        <f>'31_Liberty Mutual'!AI12</f>
        <v>1613848</v>
      </c>
      <c r="AK39" s="41">
        <f>'31_Liberty Mutual'!AJ12</f>
        <v>1615394</v>
      </c>
      <c r="AL39" s="41">
        <f>'31_Liberty Mutual'!AK12</f>
        <v>1616942</v>
      </c>
      <c r="AM39" s="41">
        <f>'31_Liberty Mutual'!AL12</f>
        <v>1618491</v>
      </c>
      <c r="AN39" s="41">
        <f>'31_Liberty Mutual'!AM12</f>
        <v>1620041</v>
      </c>
      <c r="AO39" s="41">
        <f>'31_Liberty Mutual'!AN12</f>
        <v>1621593</v>
      </c>
      <c r="AP39" s="41">
        <f>'31_Liberty Mutual'!AO12</f>
        <v>1623147</v>
      </c>
      <c r="AQ39" s="41">
        <f>'31_Liberty Mutual'!AP12</f>
        <v>1624702</v>
      </c>
      <c r="AR39" s="41">
        <f>'31_Liberty Mutual'!AQ12</f>
        <v>1626258</v>
      </c>
      <c r="AS39" s="41">
        <f>'31_Liberty Mutual'!AR12</f>
        <v>1627816</v>
      </c>
      <c r="AT39" s="41">
        <f>'31_Liberty Mutual'!AS12</f>
        <v>1629376</v>
      </c>
      <c r="AU39" s="41">
        <f>'31_Liberty Mutual'!AT12</f>
        <v>1630937</v>
      </c>
      <c r="AV39" s="41">
        <f>'31_Liberty Mutual'!AU12</f>
        <v>1632499</v>
      </c>
      <c r="AW39" s="41">
        <f>'31_Liberty Mutual'!AV12</f>
        <v>1634063</v>
      </c>
      <c r="AX39" s="41">
        <f>'31_Liberty Mutual'!AW12</f>
        <v>1635628</v>
      </c>
      <c r="AY39" s="41">
        <f>'31_Liberty Mutual'!AX12</f>
        <v>1637195</v>
      </c>
      <c r="AZ39" s="41">
        <f>'31_Liberty Mutual'!AY12</f>
        <v>1638764</v>
      </c>
      <c r="BA39" s="41">
        <f>'31_Liberty Mutual'!AZ12</f>
        <v>1640334</v>
      </c>
      <c r="BB39" s="41">
        <f>'31_Liberty Mutual'!BA12</f>
        <v>1641905</v>
      </c>
      <c r="BC39" s="41">
        <f>'31_Liberty Mutual'!BB12</f>
        <v>1643478</v>
      </c>
      <c r="BD39" s="41">
        <f>'31_Liberty Mutual'!BC12</f>
        <v>1645053</v>
      </c>
      <c r="BE39" s="41">
        <f>'31_Liberty Mutual'!BD12</f>
        <v>1646629</v>
      </c>
      <c r="BF39" s="41">
        <f>'31_Liberty Mutual'!BE12</f>
        <v>1648206</v>
      </c>
      <c r="BG39" s="41">
        <f>'31_Liberty Mutual'!BF12</f>
        <v>1649785</v>
      </c>
      <c r="BH39" s="41">
        <f>'31_Liberty Mutual'!BG12</f>
        <v>1651365</v>
      </c>
      <c r="BI39" s="41">
        <f>'31_Liberty Mutual'!BH12</f>
        <v>1652947</v>
      </c>
      <c r="BJ39" s="41">
        <f>'31_Liberty Mutual'!BI12</f>
        <v>1654531</v>
      </c>
      <c r="BK39" s="41">
        <f>'31_Liberty Mutual'!BJ12</f>
        <v>1656116</v>
      </c>
      <c r="BL39" s="41">
        <f>'31_Liberty Mutual'!BK12</f>
        <v>1657703</v>
      </c>
      <c r="BM39" s="41">
        <f>'31_Liberty Mutual'!BL12</f>
        <v>1659291</v>
      </c>
      <c r="BN39" s="41">
        <f>'31_Liberty Mutual'!BM12</f>
        <v>1660880</v>
      </c>
      <c r="BO39" s="41">
        <f>'31_Liberty Mutual'!BN12</f>
        <v>1662471</v>
      </c>
      <c r="BP39" s="41">
        <f>'31_Liberty Mutual'!BO12</f>
        <v>1664064</v>
      </c>
      <c r="BQ39" s="41">
        <f>'31_Liberty Mutual'!BP12</f>
        <v>1665658</v>
      </c>
      <c r="BR39" s="41">
        <f>'31_Liberty Mutual'!BQ12</f>
        <v>1667254</v>
      </c>
      <c r="BS39" s="41">
        <f>'31_Liberty Mutual'!BR12</f>
        <v>1668851</v>
      </c>
      <c r="BT39" s="41">
        <f>'31_Liberty Mutual'!BS12</f>
        <v>1670450</v>
      </c>
      <c r="BU39" s="41">
        <f>'31_Liberty Mutual'!BT12</f>
        <v>1672050</v>
      </c>
      <c r="BV39" s="41">
        <f>'31_Liberty Mutual'!BU12</f>
        <v>1673652</v>
      </c>
      <c r="BW39" s="67"/>
    </row>
    <row r="40">
      <c r="A40" s="41" t="str">
        <f>'32_Liberty Mutual - Hogar'!A1</f>
        <v>Actor: Liberty Mutual - Hogar</v>
      </c>
      <c r="B40" s="7"/>
      <c r="C40" s="41">
        <f>'32_Liberty Mutual - Hogar'!B12</f>
        <v>0</v>
      </c>
      <c r="D40" s="41">
        <f>'32_Liberty Mutual - Hogar'!C12</f>
        <v>0</v>
      </c>
      <c r="E40" s="41">
        <f>'32_Liberty Mutual - Hogar'!D12</f>
        <v>0</v>
      </c>
      <c r="F40" s="41">
        <f>'32_Liberty Mutual - Hogar'!E12</f>
        <v>0</v>
      </c>
      <c r="G40" s="41">
        <f>'32_Liberty Mutual - Hogar'!F12</f>
        <v>0</v>
      </c>
      <c r="H40" s="41">
        <f>'32_Liberty Mutual - Hogar'!G12</f>
        <v>0</v>
      </c>
      <c r="I40" s="41">
        <f>'32_Liberty Mutual - Hogar'!H12</f>
        <v>0</v>
      </c>
      <c r="J40" s="41">
        <f>'32_Liberty Mutual - Hogar'!I12</f>
        <v>0</v>
      </c>
      <c r="K40" s="41">
        <f>'32_Liberty Mutual - Hogar'!J12</f>
        <v>0</v>
      </c>
      <c r="L40" s="41">
        <f>'32_Liberty Mutual - Hogar'!K12</f>
        <v>0</v>
      </c>
      <c r="M40" s="41">
        <f>'32_Liberty Mutual - Hogar'!L12</f>
        <v>0</v>
      </c>
      <c r="N40" s="41">
        <f>'32_Liberty Mutual - Hogar'!M12</f>
        <v>0</v>
      </c>
      <c r="O40" s="41">
        <f>'32_Liberty Mutual - Hogar'!N12</f>
        <v>0</v>
      </c>
      <c r="P40" s="41">
        <f>'32_Liberty Mutual - Hogar'!O12</f>
        <v>0</v>
      </c>
      <c r="Q40" s="41">
        <f>'32_Liberty Mutual - Hogar'!P12</f>
        <v>0</v>
      </c>
      <c r="R40" s="41">
        <f>'32_Liberty Mutual - Hogar'!Q12</f>
        <v>0</v>
      </c>
      <c r="S40" s="41">
        <f>'32_Liberty Mutual - Hogar'!R12</f>
        <v>0</v>
      </c>
      <c r="T40" s="41">
        <f>'32_Liberty Mutual - Hogar'!S12</f>
        <v>0</v>
      </c>
      <c r="U40" s="41">
        <f>'32_Liberty Mutual - Hogar'!T12</f>
        <v>0</v>
      </c>
      <c r="V40" s="41">
        <f>'32_Liberty Mutual - Hogar'!U12</f>
        <v>1575000</v>
      </c>
      <c r="W40" s="41">
        <f>'32_Liberty Mutual - Hogar'!V12</f>
        <v>1576509</v>
      </c>
      <c r="X40" s="41">
        <f>'32_Liberty Mutual - Hogar'!W12</f>
        <v>1578019</v>
      </c>
      <c r="Y40" s="41">
        <f>'32_Liberty Mutual - Hogar'!X12</f>
        <v>1579531</v>
      </c>
      <c r="Z40" s="41">
        <f>'32_Liberty Mutual - Hogar'!Y12</f>
        <v>1581044</v>
      </c>
      <c r="AA40" s="41">
        <f>'32_Liberty Mutual - Hogar'!Z12</f>
        <v>1582559</v>
      </c>
      <c r="AB40" s="41">
        <f>'32_Liberty Mutual - Hogar'!AA12</f>
        <v>1584075</v>
      </c>
      <c r="AC40" s="41">
        <f>'32_Liberty Mutual - Hogar'!AB12</f>
        <v>1585592</v>
      </c>
      <c r="AD40" s="41">
        <f>'32_Liberty Mutual - Hogar'!AC12</f>
        <v>1587111</v>
      </c>
      <c r="AE40" s="41">
        <f>'32_Liberty Mutual - Hogar'!AD12</f>
        <v>1588632</v>
      </c>
      <c r="AF40" s="41">
        <f>'32_Liberty Mutual - Hogar'!AE12</f>
        <v>1590154</v>
      </c>
      <c r="AG40" s="41">
        <f>'32_Liberty Mutual - Hogar'!AF12</f>
        <v>1591677</v>
      </c>
      <c r="AH40" s="41">
        <f>'32_Liberty Mutual - Hogar'!AG12</f>
        <v>1593202</v>
      </c>
      <c r="AI40" s="41">
        <f>'32_Liberty Mutual - Hogar'!AH12</f>
        <v>1594728</v>
      </c>
      <c r="AJ40" s="41">
        <f>'32_Liberty Mutual - Hogar'!AI12</f>
        <v>1596256</v>
      </c>
      <c r="AK40" s="41">
        <f>'32_Liberty Mutual - Hogar'!AJ12</f>
        <v>1597785</v>
      </c>
      <c r="AL40" s="41">
        <f>'32_Liberty Mutual - Hogar'!AK12</f>
        <v>1599316</v>
      </c>
      <c r="AM40" s="41">
        <f>'32_Liberty Mutual - Hogar'!AL12</f>
        <v>1600848</v>
      </c>
      <c r="AN40" s="41">
        <f>'32_Liberty Mutual - Hogar'!AM12</f>
        <v>1602382</v>
      </c>
      <c r="AO40" s="41">
        <f>'32_Liberty Mutual - Hogar'!AN12</f>
        <v>1603917</v>
      </c>
      <c r="AP40" s="41">
        <f>'32_Liberty Mutual - Hogar'!AO12</f>
        <v>1605453</v>
      </c>
      <c r="AQ40" s="41">
        <f>'32_Liberty Mutual - Hogar'!AP12</f>
        <v>1606991</v>
      </c>
      <c r="AR40" s="41">
        <f>'32_Liberty Mutual - Hogar'!AQ12</f>
        <v>1608531</v>
      </c>
      <c r="AS40" s="41">
        <f>'32_Liberty Mutual - Hogar'!AR12</f>
        <v>1610072</v>
      </c>
      <c r="AT40" s="41">
        <f>'32_Liberty Mutual - Hogar'!AS12</f>
        <v>1611614</v>
      </c>
      <c r="AU40" s="41">
        <f>'32_Liberty Mutual - Hogar'!AT12</f>
        <v>1613158</v>
      </c>
      <c r="AV40" s="41">
        <f>'32_Liberty Mutual - Hogar'!AU12</f>
        <v>1614704</v>
      </c>
      <c r="AW40" s="41">
        <f>'32_Liberty Mutual - Hogar'!AV12</f>
        <v>1616250</v>
      </c>
      <c r="AX40" s="41">
        <f>'32_Liberty Mutual - Hogar'!AW12</f>
        <v>1617799</v>
      </c>
      <c r="AY40" s="41">
        <f>'32_Liberty Mutual - Hogar'!AX12</f>
        <v>1619349</v>
      </c>
      <c r="AZ40" s="41">
        <f>'32_Liberty Mutual - Hogar'!AY12</f>
        <v>1620900</v>
      </c>
      <c r="BA40" s="41">
        <f>'32_Liberty Mutual - Hogar'!AZ12</f>
        <v>1622453</v>
      </c>
      <c r="BB40" s="41">
        <f>'32_Liberty Mutual - Hogar'!BA12</f>
        <v>1624007</v>
      </c>
      <c r="BC40" s="41">
        <f>'32_Liberty Mutual - Hogar'!BB12</f>
        <v>1625563</v>
      </c>
      <c r="BD40" s="41">
        <f>'32_Liberty Mutual - Hogar'!BC12</f>
        <v>1627120</v>
      </c>
      <c r="BE40" s="41">
        <f>'32_Liberty Mutual - Hogar'!BD12</f>
        <v>1628679</v>
      </c>
      <c r="BF40" s="41">
        <f>'32_Liberty Mutual - Hogar'!BE12</f>
        <v>1630239</v>
      </c>
      <c r="BG40" s="41">
        <f>'32_Liberty Mutual - Hogar'!BF12</f>
        <v>1631801</v>
      </c>
      <c r="BH40" s="41">
        <f>'32_Liberty Mutual - Hogar'!BG12</f>
        <v>1633364</v>
      </c>
      <c r="BI40" s="41">
        <f>'32_Liberty Mutual - Hogar'!BH12</f>
        <v>1634929</v>
      </c>
      <c r="BJ40" s="41">
        <f>'32_Liberty Mutual - Hogar'!BI12</f>
        <v>1636495</v>
      </c>
      <c r="BK40" s="41">
        <f>'32_Liberty Mutual - Hogar'!BJ12</f>
        <v>1638063</v>
      </c>
      <c r="BL40" s="41">
        <f>'32_Liberty Mutual - Hogar'!BK12</f>
        <v>1639632</v>
      </c>
      <c r="BM40" s="41">
        <f>'32_Liberty Mutual - Hogar'!BL12</f>
        <v>1641203</v>
      </c>
      <c r="BN40" s="41">
        <f>'32_Liberty Mutual - Hogar'!BM12</f>
        <v>1642775</v>
      </c>
      <c r="BO40" s="41">
        <f>'32_Liberty Mutual - Hogar'!BN12</f>
        <v>1644349</v>
      </c>
      <c r="BP40" s="41">
        <f>'32_Liberty Mutual - Hogar'!BO12</f>
        <v>1645924</v>
      </c>
      <c r="BQ40" s="41">
        <f>'32_Liberty Mutual - Hogar'!BP12</f>
        <v>1647501</v>
      </c>
      <c r="BR40" s="41">
        <f>'32_Liberty Mutual - Hogar'!BQ12</f>
        <v>1649080</v>
      </c>
      <c r="BS40" s="41">
        <f>'32_Liberty Mutual - Hogar'!BR12</f>
        <v>1650659</v>
      </c>
      <c r="BT40" s="41">
        <f>'32_Liberty Mutual - Hogar'!BS12</f>
        <v>1652241</v>
      </c>
      <c r="BU40" s="41">
        <f>'32_Liberty Mutual - Hogar'!BT12</f>
        <v>1653824</v>
      </c>
      <c r="BV40" s="41">
        <f>'32_Liberty Mutual - Hogar'!BU12</f>
        <v>1655408</v>
      </c>
      <c r="BW40" s="67"/>
    </row>
    <row r="41">
      <c r="A41" s="41"/>
      <c r="B41" s="42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67"/>
    </row>
    <row r="42">
      <c r="A42" s="80" t="s">
        <v>223</v>
      </c>
      <c r="B42" s="81"/>
      <c r="C42" s="82">
        <f t="shared" ref="C42:BV42" si="1">SUM(C9:C41)</f>
        <v>0</v>
      </c>
      <c r="D42" s="82">
        <f t="shared" si="1"/>
        <v>0</v>
      </c>
      <c r="E42" s="82">
        <f t="shared" si="1"/>
        <v>0</v>
      </c>
      <c r="F42" s="82">
        <f t="shared" si="1"/>
        <v>0</v>
      </c>
      <c r="G42" s="82">
        <f t="shared" si="1"/>
        <v>0</v>
      </c>
      <c r="H42" s="82">
        <f t="shared" si="1"/>
        <v>0</v>
      </c>
      <c r="I42" s="82">
        <f t="shared" si="1"/>
        <v>6750</v>
      </c>
      <c r="J42" s="82">
        <f t="shared" si="1"/>
        <v>81263</v>
      </c>
      <c r="K42" s="82">
        <f t="shared" si="1"/>
        <v>892057</v>
      </c>
      <c r="L42" s="82">
        <f t="shared" si="1"/>
        <v>906753</v>
      </c>
      <c r="M42" s="82">
        <f t="shared" si="1"/>
        <v>911103</v>
      </c>
      <c r="N42" s="82">
        <f t="shared" si="1"/>
        <v>973906</v>
      </c>
      <c r="O42" s="82">
        <f t="shared" si="1"/>
        <v>1011739</v>
      </c>
      <c r="P42" s="82">
        <f t="shared" si="1"/>
        <v>1580594</v>
      </c>
      <c r="Q42" s="82">
        <f t="shared" si="1"/>
        <v>1995388</v>
      </c>
      <c r="R42" s="82">
        <f t="shared" si="1"/>
        <v>2493906</v>
      </c>
      <c r="S42" s="82">
        <f t="shared" si="1"/>
        <v>2502035</v>
      </c>
      <c r="T42" s="82">
        <f t="shared" si="1"/>
        <v>7157451</v>
      </c>
      <c r="U42" s="82">
        <f t="shared" si="1"/>
        <v>7170444</v>
      </c>
      <c r="V42" s="82">
        <f t="shared" si="1"/>
        <v>9318473</v>
      </c>
      <c r="W42" s="82">
        <f t="shared" si="1"/>
        <v>9338474</v>
      </c>
      <c r="X42" s="82">
        <f t="shared" si="1"/>
        <v>9358575</v>
      </c>
      <c r="Y42" s="82">
        <f t="shared" si="1"/>
        <v>9378787</v>
      </c>
      <c r="Z42" s="82">
        <f t="shared" si="1"/>
        <v>9399101</v>
      </c>
      <c r="AA42" s="82">
        <f t="shared" si="1"/>
        <v>11019522</v>
      </c>
      <c r="AB42" s="82">
        <f t="shared" si="1"/>
        <v>11041584</v>
      </c>
      <c r="AC42" s="82">
        <f t="shared" si="1"/>
        <v>11513757</v>
      </c>
      <c r="AD42" s="82">
        <f t="shared" si="1"/>
        <v>11540016</v>
      </c>
      <c r="AE42" s="82">
        <f t="shared" si="1"/>
        <v>11566429</v>
      </c>
      <c r="AF42" s="82">
        <f t="shared" si="1"/>
        <v>11592988</v>
      </c>
      <c r="AG42" s="82">
        <f t="shared" si="1"/>
        <v>11619693</v>
      </c>
      <c r="AH42" s="82">
        <f t="shared" si="1"/>
        <v>11646551</v>
      </c>
      <c r="AI42" s="82">
        <f t="shared" si="1"/>
        <v>11673562</v>
      </c>
      <c r="AJ42" s="82">
        <f t="shared" si="1"/>
        <v>11700728</v>
      </c>
      <c r="AK42" s="82">
        <f t="shared" si="1"/>
        <v>11728050</v>
      </c>
      <c r="AL42" s="82">
        <f t="shared" si="1"/>
        <v>11755532</v>
      </c>
      <c r="AM42" s="82">
        <f t="shared" si="1"/>
        <v>11783165</v>
      </c>
      <c r="AN42" s="82">
        <f t="shared" si="1"/>
        <v>11810962</v>
      </c>
      <c r="AO42" s="82">
        <f t="shared" si="1"/>
        <v>11838921</v>
      </c>
      <c r="AP42" s="82">
        <f t="shared" si="1"/>
        <v>11867043</v>
      </c>
      <c r="AQ42" s="82">
        <f t="shared" si="1"/>
        <v>11895325</v>
      </c>
      <c r="AR42" s="82">
        <f t="shared" si="1"/>
        <v>11923778</v>
      </c>
      <c r="AS42" s="82">
        <f t="shared" si="1"/>
        <v>11952398</v>
      </c>
      <c r="AT42" s="82">
        <f t="shared" si="1"/>
        <v>11981183</v>
      </c>
      <c r="AU42" s="82">
        <f t="shared" si="1"/>
        <v>12010137</v>
      </c>
      <c r="AV42" s="82">
        <f t="shared" si="1"/>
        <v>12039265</v>
      </c>
      <c r="AW42" s="82">
        <f t="shared" si="1"/>
        <v>12068567</v>
      </c>
      <c r="AX42" s="82">
        <f t="shared" si="1"/>
        <v>12098049</v>
      </c>
      <c r="AY42" s="82">
        <f t="shared" si="1"/>
        <v>12127700</v>
      </c>
      <c r="AZ42" s="82">
        <f t="shared" si="1"/>
        <v>12157530</v>
      </c>
      <c r="BA42" s="82">
        <f t="shared" si="1"/>
        <v>12187545</v>
      </c>
      <c r="BB42" s="82">
        <f t="shared" si="1"/>
        <v>12217735</v>
      </c>
      <c r="BC42" s="82">
        <f t="shared" si="1"/>
        <v>12248110</v>
      </c>
      <c r="BD42" s="82">
        <f t="shared" si="1"/>
        <v>12278674</v>
      </c>
      <c r="BE42" s="82">
        <f t="shared" si="1"/>
        <v>12309422</v>
      </c>
      <c r="BF42" s="82">
        <f t="shared" si="1"/>
        <v>12340356</v>
      </c>
      <c r="BG42" s="82">
        <f t="shared" si="1"/>
        <v>12371481</v>
      </c>
      <c r="BH42" s="82">
        <f t="shared" si="1"/>
        <v>12402801</v>
      </c>
      <c r="BI42" s="82">
        <f t="shared" si="1"/>
        <v>12434312</v>
      </c>
      <c r="BJ42" s="82">
        <f t="shared" si="1"/>
        <v>12466015</v>
      </c>
      <c r="BK42" s="82">
        <f t="shared" si="1"/>
        <v>12497918</v>
      </c>
      <c r="BL42" s="82">
        <f t="shared" si="1"/>
        <v>12530022</v>
      </c>
      <c r="BM42" s="82">
        <f t="shared" si="1"/>
        <v>12562326</v>
      </c>
      <c r="BN42" s="82">
        <f t="shared" si="1"/>
        <v>12594832</v>
      </c>
      <c r="BO42" s="82">
        <f t="shared" si="1"/>
        <v>12627539</v>
      </c>
      <c r="BP42" s="82">
        <f t="shared" si="1"/>
        <v>12660458</v>
      </c>
      <c r="BQ42" s="82">
        <f t="shared" si="1"/>
        <v>12693585</v>
      </c>
      <c r="BR42" s="82">
        <f t="shared" si="1"/>
        <v>12726923</v>
      </c>
      <c r="BS42" s="82">
        <f t="shared" si="1"/>
        <v>12760468</v>
      </c>
      <c r="BT42" s="82">
        <f t="shared" si="1"/>
        <v>12794230</v>
      </c>
      <c r="BU42" s="82">
        <f t="shared" si="1"/>
        <v>12828209</v>
      </c>
      <c r="BV42" s="82">
        <f t="shared" si="1"/>
        <v>12862405</v>
      </c>
      <c r="BW42" s="83"/>
    </row>
    <row r="43">
      <c r="A43" s="41" t="s">
        <v>225</v>
      </c>
      <c r="B43" s="7"/>
      <c r="C43" s="41">
        <v>0.0</v>
      </c>
      <c r="D43" s="41">
        <v>0.0</v>
      </c>
      <c r="E43" s="41">
        <v>0.0</v>
      </c>
      <c r="F43" s="41">
        <v>0.0</v>
      </c>
      <c r="G43" s="77">
        <v>0.0</v>
      </c>
      <c r="H43" s="77">
        <v>0.0</v>
      </c>
      <c r="I43" s="77">
        <v>2000.0</v>
      </c>
      <c r="J43" s="77">
        <v>8000.0</v>
      </c>
      <c r="K43" s="77">
        <v>18000.0</v>
      </c>
      <c r="L43" s="77">
        <v>18000.0</v>
      </c>
      <c r="M43" s="77">
        <v>18000.0</v>
      </c>
      <c r="N43" s="77">
        <v>18000.0</v>
      </c>
      <c r="O43" s="77">
        <v>20000.0</v>
      </c>
      <c r="P43" s="77">
        <v>20000.0</v>
      </c>
      <c r="Q43" s="77">
        <v>20000.0</v>
      </c>
      <c r="R43" s="77">
        <v>20000.0</v>
      </c>
      <c r="S43" s="77">
        <v>20000.0</v>
      </c>
      <c r="T43" s="77">
        <v>20000.0</v>
      </c>
      <c r="U43" s="77">
        <v>20000.0</v>
      </c>
      <c r="V43" s="77">
        <v>20000.0</v>
      </c>
      <c r="W43" s="77">
        <v>20000.0</v>
      </c>
      <c r="X43" s="77">
        <v>20000.0</v>
      </c>
      <c r="Y43" s="77">
        <v>20000.0</v>
      </c>
      <c r="Z43" s="77">
        <v>20000.0</v>
      </c>
      <c r="AA43" s="77">
        <v>30000.0</v>
      </c>
      <c r="AB43" s="77">
        <f t="shared" ref="AB43:BV43" si="2">AA43</f>
        <v>30000</v>
      </c>
      <c r="AC43" s="77">
        <f t="shared" si="2"/>
        <v>30000</v>
      </c>
      <c r="AD43" s="77">
        <f t="shared" si="2"/>
        <v>30000</v>
      </c>
      <c r="AE43" s="77">
        <f t="shared" si="2"/>
        <v>30000</v>
      </c>
      <c r="AF43" s="77">
        <f t="shared" si="2"/>
        <v>30000</v>
      </c>
      <c r="AG43" s="77">
        <f t="shared" si="2"/>
        <v>30000</v>
      </c>
      <c r="AH43" s="77">
        <f t="shared" si="2"/>
        <v>30000</v>
      </c>
      <c r="AI43" s="77">
        <f t="shared" si="2"/>
        <v>30000</v>
      </c>
      <c r="AJ43" s="77">
        <f t="shared" si="2"/>
        <v>30000</v>
      </c>
      <c r="AK43" s="77">
        <f t="shared" si="2"/>
        <v>30000</v>
      </c>
      <c r="AL43" s="77">
        <f t="shared" si="2"/>
        <v>30000</v>
      </c>
      <c r="AM43" s="77">
        <f t="shared" si="2"/>
        <v>30000</v>
      </c>
      <c r="AN43" s="77">
        <f t="shared" si="2"/>
        <v>30000</v>
      </c>
      <c r="AO43" s="77">
        <f t="shared" si="2"/>
        <v>30000</v>
      </c>
      <c r="AP43" s="77">
        <f t="shared" si="2"/>
        <v>30000</v>
      </c>
      <c r="AQ43" s="77">
        <f t="shared" si="2"/>
        <v>30000</v>
      </c>
      <c r="AR43" s="77">
        <f t="shared" si="2"/>
        <v>30000</v>
      </c>
      <c r="AS43" s="77">
        <f t="shared" si="2"/>
        <v>30000</v>
      </c>
      <c r="AT43" s="77">
        <f t="shared" si="2"/>
        <v>30000</v>
      </c>
      <c r="AU43" s="77">
        <f t="shared" si="2"/>
        <v>30000</v>
      </c>
      <c r="AV43" s="77">
        <f t="shared" si="2"/>
        <v>30000</v>
      </c>
      <c r="AW43" s="77">
        <f t="shared" si="2"/>
        <v>30000</v>
      </c>
      <c r="AX43" s="77">
        <f t="shared" si="2"/>
        <v>30000</v>
      </c>
      <c r="AY43" s="77">
        <f t="shared" si="2"/>
        <v>30000</v>
      </c>
      <c r="AZ43" s="77">
        <f t="shared" si="2"/>
        <v>30000</v>
      </c>
      <c r="BA43" s="77">
        <f t="shared" si="2"/>
        <v>30000</v>
      </c>
      <c r="BB43" s="77">
        <f t="shared" si="2"/>
        <v>30000</v>
      </c>
      <c r="BC43" s="77">
        <f t="shared" si="2"/>
        <v>30000</v>
      </c>
      <c r="BD43" s="77">
        <f t="shared" si="2"/>
        <v>30000</v>
      </c>
      <c r="BE43" s="77">
        <f t="shared" si="2"/>
        <v>30000</v>
      </c>
      <c r="BF43" s="77">
        <f t="shared" si="2"/>
        <v>30000</v>
      </c>
      <c r="BG43" s="77">
        <f t="shared" si="2"/>
        <v>30000</v>
      </c>
      <c r="BH43" s="77">
        <f t="shared" si="2"/>
        <v>30000</v>
      </c>
      <c r="BI43" s="77">
        <f t="shared" si="2"/>
        <v>30000</v>
      </c>
      <c r="BJ43" s="77">
        <f t="shared" si="2"/>
        <v>30000</v>
      </c>
      <c r="BK43" s="77">
        <f t="shared" si="2"/>
        <v>30000</v>
      </c>
      <c r="BL43" s="77">
        <f t="shared" si="2"/>
        <v>30000</v>
      </c>
      <c r="BM43" s="77">
        <f t="shared" si="2"/>
        <v>30000</v>
      </c>
      <c r="BN43" s="77">
        <f t="shared" si="2"/>
        <v>30000</v>
      </c>
      <c r="BO43" s="77">
        <f t="shared" si="2"/>
        <v>30000</v>
      </c>
      <c r="BP43" s="77">
        <f t="shared" si="2"/>
        <v>30000</v>
      </c>
      <c r="BQ43" s="77">
        <f t="shared" si="2"/>
        <v>30000</v>
      </c>
      <c r="BR43" s="77">
        <f t="shared" si="2"/>
        <v>30000</v>
      </c>
      <c r="BS43" s="77">
        <f t="shared" si="2"/>
        <v>30000</v>
      </c>
      <c r="BT43" s="77">
        <f t="shared" si="2"/>
        <v>30000</v>
      </c>
      <c r="BU43" s="77">
        <f t="shared" si="2"/>
        <v>30000</v>
      </c>
      <c r="BV43" s="77">
        <f t="shared" si="2"/>
        <v>30000</v>
      </c>
      <c r="BW43" s="79"/>
    </row>
    <row r="44">
      <c r="A44" s="41" t="s">
        <v>226</v>
      </c>
      <c r="B44" s="7"/>
      <c r="C44" s="41">
        <v>0.0</v>
      </c>
      <c r="D44" s="41">
        <v>0.0</v>
      </c>
      <c r="E44" s="41">
        <v>0.0</v>
      </c>
      <c r="F44" s="41">
        <v>0.0</v>
      </c>
      <c r="G44" s="41">
        <v>0.0</v>
      </c>
      <c r="H44" s="41">
        <v>0.0</v>
      </c>
      <c r="I44" s="41">
        <v>0.0</v>
      </c>
      <c r="J44" s="41">
        <v>0.0</v>
      </c>
      <c r="K44" s="41">
        <v>0.0</v>
      </c>
      <c r="L44" s="41">
        <v>0.0</v>
      </c>
      <c r="M44" s="41">
        <v>0.0</v>
      </c>
      <c r="N44" s="41">
        <v>0.0</v>
      </c>
      <c r="O44" s="41">
        <v>0.0</v>
      </c>
      <c r="P44" s="41">
        <v>0.0</v>
      </c>
      <c r="Q44" s="41">
        <v>0.0</v>
      </c>
      <c r="R44" s="41">
        <v>0.0</v>
      </c>
      <c r="S44" s="41">
        <v>0.0</v>
      </c>
      <c r="T44" s="41">
        <v>0.0</v>
      </c>
      <c r="U44" s="41">
        <v>0.0</v>
      </c>
      <c r="V44" s="41">
        <v>0.0</v>
      </c>
      <c r="W44" s="41">
        <v>0.0</v>
      </c>
      <c r="X44" s="41">
        <v>0.0</v>
      </c>
      <c r="Y44" s="41">
        <v>0.0</v>
      </c>
      <c r="Z44" s="41">
        <v>0.0</v>
      </c>
      <c r="AA44" s="41">
        <v>0.0</v>
      </c>
      <c r="AB44" s="41">
        <v>0.0</v>
      </c>
      <c r="AC44" s="41">
        <v>0.0</v>
      </c>
      <c r="AD44" s="41">
        <v>0.0</v>
      </c>
      <c r="AE44" s="41">
        <v>0.0</v>
      </c>
      <c r="AF44" s="41">
        <v>0.0</v>
      </c>
      <c r="AG44" s="41">
        <v>0.0</v>
      </c>
      <c r="AH44" s="41">
        <v>0.0</v>
      </c>
      <c r="AI44" s="41">
        <v>0.0</v>
      </c>
      <c r="AJ44" s="41">
        <v>0.0</v>
      </c>
      <c r="AK44" s="41">
        <v>0.0</v>
      </c>
      <c r="AL44" s="41">
        <v>0.0</v>
      </c>
      <c r="AM44" s="41">
        <v>0.0</v>
      </c>
      <c r="AN44" s="41">
        <v>0.0</v>
      </c>
      <c r="AO44" s="41">
        <v>0.0</v>
      </c>
      <c r="AP44" s="41">
        <v>0.0</v>
      </c>
      <c r="AQ44" s="41">
        <v>0.0</v>
      </c>
      <c r="AR44" s="41">
        <v>0.0</v>
      </c>
      <c r="AS44" s="41">
        <v>0.0</v>
      </c>
      <c r="AT44" s="41">
        <v>0.0</v>
      </c>
      <c r="AU44" s="41">
        <v>0.0</v>
      </c>
      <c r="AV44" s="41">
        <v>0.0</v>
      </c>
      <c r="AW44" s="41">
        <v>0.0</v>
      </c>
      <c r="AX44" s="41">
        <v>0.0</v>
      </c>
      <c r="AY44" s="41">
        <v>0.0</v>
      </c>
      <c r="AZ44" s="41">
        <v>0.0</v>
      </c>
      <c r="BA44" s="41">
        <v>0.0</v>
      </c>
      <c r="BB44" s="41">
        <v>0.0</v>
      </c>
      <c r="BC44" s="41">
        <v>0.0</v>
      </c>
      <c r="BD44" s="41">
        <v>0.0</v>
      </c>
      <c r="BE44" s="41">
        <v>0.0</v>
      </c>
      <c r="BF44" s="41">
        <v>0.0</v>
      </c>
      <c r="BG44" s="41">
        <v>0.0</v>
      </c>
      <c r="BH44" s="41">
        <v>0.0</v>
      </c>
      <c r="BI44" s="41">
        <v>0.0</v>
      </c>
      <c r="BJ44" s="41">
        <v>0.0</v>
      </c>
      <c r="BK44" s="41">
        <v>0.0</v>
      </c>
      <c r="BL44" s="41">
        <v>0.0</v>
      </c>
      <c r="BM44" s="41">
        <v>0.0</v>
      </c>
      <c r="BN44" s="41">
        <v>0.0</v>
      </c>
      <c r="BO44" s="41">
        <v>0.0</v>
      </c>
      <c r="BP44" s="41">
        <v>0.0</v>
      </c>
      <c r="BQ44" s="41">
        <v>0.0</v>
      </c>
      <c r="BR44" s="41">
        <v>0.0</v>
      </c>
      <c r="BS44" s="41">
        <v>0.0</v>
      </c>
      <c r="BT44" s="41">
        <v>0.0</v>
      </c>
      <c r="BU44" s="41">
        <v>0.0</v>
      </c>
      <c r="BV44" s="41">
        <v>0.0</v>
      </c>
      <c r="BW44" s="67"/>
    </row>
    <row r="45">
      <c r="A45" s="84" t="s">
        <v>227</v>
      </c>
      <c r="B45" s="85"/>
      <c r="C45" s="84">
        <f t="shared" ref="C45:BV45" si="3">C42+C43+C44</f>
        <v>0</v>
      </c>
      <c r="D45" s="84">
        <f t="shared" si="3"/>
        <v>0</v>
      </c>
      <c r="E45" s="84">
        <f t="shared" si="3"/>
        <v>0</v>
      </c>
      <c r="F45" s="84">
        <f t="shared" si="3"/>
        <v>0</v>
      </c>
      <c r="G45" s="84">
        <f t="shared" si="3"/>
        <v>0</v>
      </c>
      <c r="H45" s="84">
        <f t="shared" si="3"/>
        <v>0</v>
      </c>
      <c r="I45" s="84">
        <f t="shared" si="3"/>
        <v>8750</v>
      </c>
      <c r="J45" s="84">
        <f t="shared" si="3"/>
        <v>89263</v>
      </c>
      <c r="K45" s="84">
        <f t="shared" si="3"/>
        <v>910057</v>
      </c>
      <c r="L45" s="84">
        <f t="shared" si="3"/>
        <v>924753</v>
      </c>
      <c r="M45" s="84">
        <f t="shared" si="3"/>
        <v>929103</v>
      </c>
      <c r="N45" s="84">
        <f t="shared" si="3"/>
        <v>991906</v>
      </c>
      <c r="O45" s="84">
        <f t="shared" si="3"/>
        <v>1031739</v>
      </c>
      <c r="P45" s="84">
        <f t="shared" si="3"/>
        <v>1600594</v>
      </c>
      <c r="Q45" s="84">
        <f t="shared" si="3"/>
        <v>2015388</v>
      </c>
      <c r="R45" s="84">
        <f t="shared" si="3"/>
        <v>2513906</v>
      </c>
      <c r="S45" s="84">
        <f t="shared" si="3"/>
        <v>2522035</v>
      </c>
      <c r="T45" s="84">
        <f t="shared" si="3"/>
        <v>7177451</v>
      </c>
      <c r="U45" s="84">
        <f t="shared" si="3"/>
        <v>7190444</v>
      </c>
      <c r="V45" s="84">
        <f t="shared" si="3"/>
        <v>9338473</v>
      </c>
      <c r="W45" s="84">
        <f t="shared" si="3"/>
        <v>9358474</v>
      </c>
      <c r="X45" s="84">
        <f t="shared" si="3"/>
        <v>9378575</v>
      </c>
      <c r="Y45" s="84">
        <f t="shared" si="3"/>
        <v>9398787</v>
      </c>
      <c r="Z45" s="84">
        <f t="shared" si="3"/>
        <v>9419101</v>
      </c>
      <c r="AA45" s="84">
        <f t="shared" si="3"/>
        <v>11049522</v>
      </c>
      <c r="AB45" s="84">
        <f t="shared" si="3"/>
        <v>11071584</v>
      </c>
      <c r="AC45" s="84">
        <f t="shared" si="3"/>
        <v>11543757</v>
      </c>
      <c r="AD45" s="84">
        <f t="shared" si="3"/>
        <v>11570016</v>
      </c>
      <c r="AE45" s="84">
        <f t="shared" si="3"/>
        <v>11596429</v>
      </c>
      <c r="AF45" s="84">
        <f t="shared" si="3"/>
        <v>11622988</v>
      </c>
      <c r="AG45" s="84">
        <f t="shared" si="3"/>
        <v>11649693</v>
      </c>
      <c r="AH45" s="84">
        <f t="shared" si="3"/>
        <v>11676551</v>
      </c>
      <c r="AI45" s="84">
        <f t="shared" si="3"/>
        <v>11703562</v>
      </c>
      <c r="AJ45" s="84">
        <f t="shared" si="3"/>
        <v>11730728</v>
      </c>
      <c r="AK45" s="84">
        <f t="shared" si="3"/>
        <v>11758050</v>
      </c>
      <c r="AL45" s="84">
        <f t="shared" si="3"/>
        <v>11785532</v>
      </c>
      <c r="AM45" s="84">
        <f t="shared" si="3"/>
        <v>11813165</v>
      </c>
      <c r="AN45" s="84">
        <f t="shared" si="3"/>
        <v>11840962</v>
      </c>
      <c r="AO45" s="84">
        <f t="shared" si="3"/>
        <v>11868921</v>
      </c>
      <c r="AP45" s="84">
        <f t="shared" si="3"/>
        <v>11897043</v>
      </c>
      <c r="AQ45" s="84">
        <f t="shared" si="3"/>
        <v>11925325</v>
      </c>
      <c r="AR45" s="84">
        <f t="shared" si="3"/>
        <v>11953778</v>
      </c>
      <c r="AS45" s="84">
        <f t="shared" si="3"/>
        <v>11982398</v>
      </c>
      <c r="AT45" s="84">
        <f t="shared" si="3"/>
        <v>12011183</v>
      </c>
      <c r="AU45" s="84">
        <f t="shared" si="3"/>
        <v>12040137</v>
      </c>
      <c r="AV45" s="84">
        <f t="shared" si="3"/>
        <v>12069265</v>
      </c>
      <c r="AW45" s="84">
        <f t="shared" si="3"/>
        <v>12098567</v>
      </c>
      <c r="AX45" s="84">
        <f t="shared" si="3"/>
        <v>12128049</v>
      </c>
      <c r="AY45" s="84">
        <f t="shared" si="3"/>
        <v>12157700</v>
      </c>
      <c r="AZ45" s="84">
        <f t="shared" si="3"/>
        <v>12187530</v>
      </c>
      <c r="BA45" s="84">
        <f t="shared" si="3"/>
        <v>12217545</v>
      </c>
      <c r="BB45" s="84">
        <f t="shared" si="3"/>
        <v>12247735</v>
      </c>
      <c r="BC45" s="84">
        <f t="shared" si="3"/>
        <v>12278110</v>
      </c>
      <c r="BD45" s="84">
        <f t="shared" si="3"/>
        <v>12308674</v>
      </c>
      <c r="BE45" s="84">
        <f t="shared" si="3"/>
        <v>12339422</v>
      </c>
      <c r="BF45" s="84">
        <f t="shared" si="3"/>
        <v>12370356</v>
      </c>
      <c r="BG45" s="84">
        <f t="shared" si="3"/>
        <v>12401481</v>
      </c>
      <c r="BH45" s="84">
        <f t="shared" si="3"/>
        <v>12432801</v>
      </c>
      <c r="BI45" s="84">
        <f t="shared" si="3"/>
        <v>12464312</v>
      </c>
      <c r="BJ45" s="84">
        <f t="shared" si="3"/>
        <v>12496015</v>
      </c>
      <c r="BK45" s="84">
        <f t="shared" si="3"/>
        <v>12527918</v>
      </c>
      <c r="BL45" s="84">
        <f t="shared" si="3"/>
        <v>12560022</v>
      </c>
      <c r="BM45" s="84">
        <f t="shared" si="3"/>
        <v>12592326</v>
      </c>
      <c r="BN45" s="84">
        <f t="shared" si="3"/>
        <v>12624832</v>
      </c>
      <c r="BO45" s="84">
        <f t="shared" si="3"/>
        <v>12657539</v>
      </c>
      <c r="BP45" s="84">
        <f t="shared" si="3"/>
        <v>12690458</v>
      </c>
      <c r="BQ45" s="84">
        <f t="shared" si="3"/>
        <v>12723585</v>
      </c>
      <c r="BR45" s="84">
        <f t="shared" si="3"/>
        <v>12756923</v>
      </c>
      <c r="BS45" s="84">
        <f t="shared" si="3"/>
        <v>12790468</v>
      </c>
      <c r="BT45" s="84">
        <f t="shared" si="3"/>
        <v>12824230</v>
      </c>
      <c r="BU45" s="84">
        <f t="shared" si="3"/>
        <v>12858209</v>
      </c>
      <c r="BV45" s="84">
        <f t="shared" si="3"/>
        <v>12892405</v>
      </c>
      <c r="BW45" s="86">
        <f>SUM(C45:BV45)</f>
        <v>657586600</v>
      </c>
    </row>
    <row r="46">
      <c r="A46" s="10" t="s">
        <v>229</v>
      </c>
      <c r="B46" s="7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9"/>
    </row>
    <row r="47">
      <c r="A47" s="38" t="s">
        <v>230</v>
      </c>
      <c r="B47" s="39"/>
      <c r="C47" s="20" t="s">
        <v>231</v>
      </c>
      <c r="D47" s="20" t="s">
        <v>231</v>
      </c>
      <c r="E47" s="20" t="s">
        <v>231</v>
      </c>
      <c r="F47" s="20" t="s">
        <v>231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9"/>
    </row>
    <row r="48">
      <c r="A48" s="41" t="s">
        <v>232</v>
      </c>
      <c r="B48" s="7"/>
      <c r="C48" s="41">
        <v>0.0</v>
      </c>
      <c r="D48" s="41">
        <v>0.0</v>
      </c>
      <c r="E48" s="41">
        <v>0.0</v>
      </c>
      <c r="F48" s="41">
        <v>0.0</v>
      </c>
      <c r="G48" s="41">
        <f t="shared" ref="G48:BV48" si="4">G45*0.5% </f>
        <v>0</v>
      </c>
      <c r="H48" s="41">
        <f t="shared" si="4"/>
        <v>0</v>
      </c>
      <c r="I48" s="41">
        <f t="shared" si="4"/>
        <v>43.75</v>
      </c>
      <c r="J48" s="41">
        <f t="shared" si="4"/>
        <v>446.315</v>
      </c>
      <c r="K48" s="41">
        <f t="shared" si="4"/>
        <v>4550.285</v>
      </c>
      <c r="L48" s="41">
        <f t="shared" si="4"/>
        <v>4623.765</v>
      </c>
      <c r="M48" s="41">
        <f t="shared" si="4"/>
        <v>4645.515</v>
      </c>
      <c r="N48" s="41">
        <f t="shared" si="4"/>
        <v>4959.53</v>
      </c>
      <c r="O48" s="41">
        <f t="shared" si="4"/>
        <v>5158.695</v>
      </c>
      <c r="P48" s="41">
        <f t="shared" si="4"/>
        <v>8002.97</v>
      </c>
      <c r="Q48" s="41">
        <f t="shared" si="4"/>
        <v>10076.94</v>
      </c>
      <c r="R48" s="41">
        <f t="shared" si="4"/>
        <v>12569.53</v>
      </c>
      <c r="S48" s="41">
        <f t="shared" si="4"/>
        <v>12610.175</v>
      </c>
      <c r="T48" s="41">
        <f t="shared" si="4"/>
        <v>35887.255</v>
      </c>
      <c r="U48" s="41">
        <f t="shared" si="4"/>
        <v>35952.22</v>
      </c>
      <c r="V48" s="41">
        <f t="shared" si="4"/>
        <v>46692.365</v>
      </c>
      <c r="W48" s="41">
        <f t="shared" si="4"/>
        <v>46792.37</v>
      </c>
      <c r="X48" s="41">
        <f t="shared" si="4"/>
        <v>46892.875</v>
      </c>
      <c r="Y48" s="41">
        <f t="shared" si="4"/>
        <v>46993.935</v>
      </c>
      <c r="Z48" s="41">
        <f t="shared" si="4"/>
        <v>47095.505</v>
      </c>
      <c r="AA48" s="41">
        <f t="shared" si="4"/>
        <v>55247.61</v>
      </c>
      <c r="AB48" s="41">
        <f t="shared" si="4"/>
        <v>55357.92</v>
      </c>
      <c r="AC48" s="41">
        <f t="shared" si="4"/>
        <v>57718.785</v>
      </c>
      <c r="AD48" s="41">
        <f t="shared" si="4"/>
        <v>57850.08</v>
      </c>
      <c r="AE48" s="41">
        <f t="shared" si="4"/>
        <v>57982.145</v>
      </c>
      <c r="AF48" s="41">
        <f t="shared" si="4"/>
        <v>58114.94</v>
      </c>
      <c r="AG48" s="41">
        <f t="shared" si="4"/>
        <v>58248.465</v>
      </c>
      <c r="AH48" s="41">
        <f t="shared" si="4"/>
        <v>58382.755</v>
      </c>
      <c r="AI48" s="41">
        <f t="shared" si="4"/>
        <v>58517.81</v>
      </c>
      <c r="AJ48" s="41">
        <f t="shared" si="4"/>
        <v>58653.64</v>
      </c>
      <c r="AK48" s="41">
        <f t="shared" si="4"/>
        <v>58790.25</v>
      </c>
      <c r="AL48" s="41">
        <f t="shared" si="4"/>
        <v>58927.66</v>
      </c>
      <c r="AM48" s="41">
        <f t="shared" si="4"/>
        <v>59065.825</v>
      </c>
      <c r="AN48" s="41">
        <f t="shared" si="4"/>
        <v>59204.81</v>
      </c>
      <c r="AO48" s="41">
        <f t="shared" si="4"/>
        <v>59344.605</v>
      </c>
      <c r="AP48" s="41">
        <f t="shared" si="4"/>
        <v>59485.215</v>
      </c>
      <c r="AQ48" s="41">
        <f t="shared" si="4"/>
        <v>59626.625</v>
      </c>
      <c r="AR48" s="41">
        <f t="shared" si="4"/>
        <v>59768.89</v>
      </c>
      <c r="AS48" s="41">
        <f t="shared" si="4"/>
        <v>59911.99</v>
      </c>
      <c r="AT48" s="41">
        <f t="shared" si="4"/>
        <v>60055.915</v>
      </c>
      <c r="AU48" s="41">
        <f t="shared" si="4"/>
        <v>60200.685</v>
      </c>
      <c r="AV48" s="41">
        <f t="shared" si="4"/>
        <v>60346.325</v>
      </c>
      <c r="AW48" s="41">
        <f t="shared" si="4"/>
        <v>60492.835</v>
      </c>
      <c r="AX48" s="41">
        <f t="shared" si="4"/>
        <v>60640.245</v>
      </c>
      <c r="AY48" s="41">
        <f t="shared" si="4"/>
        <v>60788.5</v>
      </c>
      <c r="AZ48" s="41">
        <f t="shared" si="4"/>
        <v>60937.65</v>
      </c>
      <c r="BA48" s="41">
        <f t="shared" si="4"/>
        <v>61087.725</v>
      </c>
      <c r="BB48" s="41">
        <f t="shared" si="4"/>
        <v>61238.675</v>
      </c>
      <c r="BC48" s="41">
        <f t="shared" si="4"/>
        <v>61390.55</v>
      </c>
      <c r="BD48" s="41">
        <f t="shared" si="4"/>
        <v>61543.37</v>
      </c>
      <c r="BE48" s="41">
        <f t="shared" si="4"/>
        <v>61697.11</v>
      </c>
      <c r="BF48" s="41">
        <f t="shared" si="4"/>
        <v>61851.78</v>
      </c>
      <c r="BG48" s="41">
        <f t="shared" si="4"/>
        <v>62007.405</v>
      </c>
      <c r="BH48" s="41">
        <f t="shared" si="4"/>
        <v>62164.005</v>
      </c>
      <c r="BI48" s="41">
        <f t="shared" si="4"/>
        <v>62321.56</v>
      </c>
      <c r="BJ48" s="41">
        <f t="shared" si="4"/>
        <v>62480.075</v>
      </c>
      <c r="BK48" s="41">
        <f t="shared" si="4"/>
        <v>62639.59</v>
      </c>
      <c r="BL48" s="41">
        <f t="shared" si="4"/>
        <v>62800.11</v>
      </c>
      <c r="BM48" s="41">
        <f t="shared" si="4"/>
        <v>62961.63</v>
      </c>
      <c r="BN48" s="41">
        <f t="shared" si="4"/>
        <v>63124.16</v>
      </c>
      <c r="BO48" s="41">
        <f t="shared" si="4"/>
        <v>63287.695</v>
      </c>
      <c r="BP48" s="41">
        <f t="shared" si="4"/>
        <v>63452.29</v>
      </c>
      <c r="BQ48" s="41">
        <f t="shared" si="4"/>
        <v>63617.925</v>
      </c>
      <c r="BR48" s="41">
        <f t="shared" si="4"/>
        <v>63784.615</v>
      </c>
      <c r="BS48" s="41">
        <f t="shared" si="4"/>
        <v>63952.34</v>
      </c>
      <c r="BT48" s="41">
        <f t="shared" si="4"/>
        <v>64121.15</v>
      </c>
      <c r="BU48" s="41">
        <f t="shared" si="4"/>
        <v>64291.045</v>
      </c>
      <c r="BV48" s="41">
        <f t="shared" si="4"/>
        <v>64462.025</v>
      </c>
      <c r="BW48" s="67"/>
    </row>
    <row r="49">
      <c r="A49" s="41" t="s">
        <v>233</v>
      </c>
      <c r="B49" s="51"/>
      <c r="C49" s="87">
        <v>0.0</v>
      </c>
      <c r="D49" s="87">
        <v>0.0</v>
      </c>
      <c r="E49" s="87">
        <v>0.0</v>
      </c>
      <c r="F49" s="87">
        <v>0.0</v>
      </c>
      <c r="G49" s="87">
        <v>0.0</v>
      </c>
      <c r="H49" s="87">
        <v>0.0</v>
      </c>
      <c r="I49" s="87">
        <v>4725.0</v>
      </c>
      <c r="J49" s="87">
        <v>59084.0</v>
      </c>
      <c r="K49" s="87">
        <v>699269.0</v>
      </c>
      <c r="L49" s="87">
        <v>709940.0</v>
      </c>
      <c r="M49" s="87">
        <v>713371.0</v>
      </c>
      <c r="N49" s="87">
        <v>757724.0</v>
      </c>
      <c r="O49" s="87">
        <v>784599.0</v>
      </c>
      <c r="P49" s="87">
        <v>1183191.0</v>
      </c>
      <c r="Q49" s="87">
        <v>1473943.0</v>
      </c>
      <c r="R49" s="87">
        <v>1823306.0</v>
      </c>
      <c r="S49" s="87">
        <v>1829394.0</v>
      </c>
      <c r="T49" s="87">
        <v>5519186.0</v>
      </c>
      <c r="U49" s="87">
        <v>5529099.0</v>
      </c>
      <c r="V49" s="87">
        <v>7235041.0</v>
      </c>
      <c r="W49" s="87">
        <v>7250536.0</v>
      </c>
      <c r="X49" s="87">
        <v>7266104.0</v>
      </c>
      <c r="Y49" s="87">
        <v>7281762.0</v>
      </c>
      <c r="Z49" s="87">
        <v>7297499.0</v>
      </c>
      <c r="AA49" s="87">
        <v>8593322.0</v>
      </c>
      <c r="AB49" s="87">
        <v>8610458.0</v>
      </c>
      <c r="AC49" s="87">
        <v>8987678.0</v>
      </c>
      <c r="AD49" s="87">
        <v>9008167.0</v>
      </c>
      <c r="AE49" s="87">
        <v>9028773.0</v>
      </c>
      <c r="AF49" s="87">
        <v>9049497.0</v>
      </c>
      <c r="AG49" s="87">
        <v>9070339.0</v>
      </c>
      <c r="AH49" s="87">
        <v>9091301.0</v>
      </c>
      <c r="AI49" s="87">
        <v>9112386.0</v>
      </c>
      <c r="AJ49" s="87">
        <v>9133589.0</v>
      </c>
      <c r="AK49" s="87">
        <v>9154916.0</v>
      </c>
      <c r="AL49" s="87">
        <v>9176367.0</v>
      </c>
      <c r="AM49" s="87">
        <v>9197944.0</v>
      </c>
      <c r="AN49" s="87">
        <v>9219648.0</v>
      </c>
      <c r="AO49" s="87">
        <v>9241478.0</v>
      </c>
      <c r="AP49" s="87">
        <v>9263440.0</v>
      </c>
      <c r="AQ49" s="87">
        <v>9285527.0</v>
      </c>
      <c r="AR49" s="87">
        <v>9307749.0</v>
      </c>
      <c r="AS49" s="87">
        <v>9330097.0</v>
      </c>
      <c r="AT49" s="87">
        <v>9352581.0</v>
      </c>
      <c r="AU49" s="87">
        <v>9375201.0</v>
      </c>
      <c r="AV49" s="87">
        <v>9397954.0</v>
      </c>
      <c r="AW49" s="87">
        <v>9420847.0</v>
      </c>
      <c r="AX49" s="87">
        <v>9443881.0</v>
      </c>
      <c r="AY49" s="87">
        <v>9467049.0</v>
      </c>
      <c r="AZ49" s="87">
        <v>9490360.0</v>
      </c>
      <c r="BA49" s="87">
        <v>9513815.0</v>
      </c>
      <c r="BB49" s="87">
        <v>9537410.0</v>
      </c>
      <c r="BC49" s="87">
        <v>9561147.0</v>
      </c>
      <c r="BD49" s="87">
        <v>9585038.0</v>
      </c>
      <c r="BE49" s="87">
        <v>9609073.0</v>
      </c>
      <c r="BF49" s="87">
        <v>9633256.0</v>
      </c>
      <c r="BG49" s="87">
        <v>9657591.0</v>
      </c>
      <c r="BH49" s="87">
        <v>9682071.0</v>
      </c>
      <c r="BI49" s="87">
        <v>9706713.0</v>
      </c>
      <c r="BJ49" s="87">
        <v>9731507.0</v>
      </c>
      <c r="BK49" s="87">
        <v>9756454.0</v>
      </c>
      <c r="BL49" s="87">
        <v>9781564.0</v>
      </c>
      <c r="BM49" s="87">
        <v>9806828.0</v>
      </c>
      <c r="BN49" s="87">
        <v>9832256.0</v>
      </c>
      <c r="BO49" s="87">
        <v>9857838.0</v>
      </c>
      <c r="BP49" s="87">
        <v>9883593.0</v>
      </c>
      <c r="BQ49" s="87">
        <v>9909506.0</v>
      </c>
      <c r="BR49" s="87">
        <v>9935591.0</v>
      </c>
      <c r="BS49" s="87">
        <v>9961839.0</v>
      </c>
      <c r="BT49" s="87">
        <v>9988259.0</v>
      </c>
      <c r="BU49" s="87">
        <v>1.0014849E7</v>
      </c>
      <c r="BV49" s="87">
        <v>1.0041613E7</v>
      </c>
      <c r="BW49" s="88"/>
    </row>
    <row r="50">
      <c r="A50" s="77" t="s">
        <v>234</v>
      </c>
      <c r="B50" s="42"/>
      <c r="C50" s="89">
        <v>0.0</v>
      </c>
      <c r="D50" s="89">
        <v>0.0</v>
      </c>
      <c r="E50" s="89">
        <v>0.0</v>
      </c>
      <c r="F50" s="89">
        <v>0.0</v>
      </c>
      <c r="G50" s="89">
        <v>0.0</v>
      </c>
      <c r="H50" s="89">
        <v>0.0</v>
      </c>
      <c r="I50" s="90">
        <f t="shared" ref="I50:BV50" si="5">I49/I7</f>
        <v>31.5</v>
      </c>
      <c r="J50" s="90">
        <f t="shared" si="5"/>
        <v>53.71272727</v>
      </c>
      <c r="K50" s="90">
        <f t="shared" si="5"/>
        <v>72.3431616</v>
      </c>
      <c r="L50" s="90">
        <f t="shared" si="5"/>
        <v>72.62070376</v>
      </c>
      <c r="M50" s="90">
        <f t="shared" si="5"/>
        <v>72.63730781</v>
      </c>
      <c r="N50" s="90">
        <f t="shared" si="5"/>
        <v>69.81057675</v>
      </c>
      <c r="O50" s="90">
        <f t="shared" si="5"/>
        <v>67.60287782</v>
      </c>
      <c r="P50" s="90">
        <f t="shared" si="5"/>
        <v>57.95694342</v>
      </c>
      <c r="Q50" s="90">
        <f t="shared" si="5"/>
        <v>53.99651976</v>
      </c>
      <c r="R50" s="90">
        <f t="shared" si="5"/>
        <v>46.16432044</v>
      </c>
      <c r="S50" s="90">
        <f t="shared" si="5"/>
        <v>46.18049175</v>
      </c>
      <c r="T50" s="90">
        <f t="shared" si="5"/>
        <v>62.9555368</v>
      </c>
      <c r="U50" s="90">
        <f t="shared" si="5"/>
        <v>62.94583272</v>
      </c>
      <c r="V50" s="90">
        <f t="shared" si="5"/>
        <v>68.96426461</v>
      </c>
      <c r="W50" s="90">
        <f t="shared" si="5"/>
        <v>68.95880848</v>
      </c>
      <c r="X50" s="90">
        <f t="shared" si="5"/>
        <v>68.9573412</v>
      </c>
      <c r="Y50" s="90">
        <f t="shared" si="5"/>
        <v>68.94955023</v>
      </c>
      <c r="Z50" s="90">
        <f t="shared" si="5"/>
        <v>68.94254079</v>
      </c>
      <c r="AA50" s="90">
        <f t="shared" si="5"/>
        <v>70.38860129</v>
      </c>
      <c r="AB50" s="90">
        <f t="shared" si="5"/>
        <v>70.38137976</v>
      </c>
      <c r="AC50" s="90">
        <f t="shared" si="5"/>
        <v>71.56193418</v>
      </c>
      <c r="AD50" s="90">
        <f t="shared" si="5"/>
        <v>71.56381677</v>
      </c>
      <c r="AE50" s="90">
        <f t="shared" si="5"/>
        <v>71.56378206</v>
      </c>
      <c r="AF50" s="90">
        <f t="shared" si="5"/>
        <v>71.56864249</v>
      </c>
      <c r="AG50" s="90">
        <f t="shared" si="5"/>
        <v>71.57102389</v>
      </c>
      <c r="AH50" s="90">
        <f t="shared" si="5"/>
        <v>71.57264883</v>
      </c>
      <c r="AI50" s="90">
        <f t="shared" si="5"/>
        <v>71.5746703</v>
      </c>
      <c r="AJ50" s="90">
        <f t="shared" si="5"/>
        <v>71.57872917</v>
      </c>
      <c r="AK50" s="90">
        <f t="shared" si="5"/>
        <v>71.58206014</v>
      </c>
      <c r="AL50" s="90">
        <f t="shared" si="5"/>
        <v>71.5829927</v>
      </c>
      <c r="AM50" s="90">
        <f t="shared" si="5"/>
        <v>71.58880163</v>
      </c>
      <c r="AN50" s="90">
        <f t="shared" si="5"/>
        <v>71.59056708</v>
      </c>
      <c r="AO50" s="90">
        <f t="shared" si="5"/>
        <v>71.59330043</v>
      </c>
      <c r="AP50" s="90">
        <f t="shared" si="5"/>
        <v>71.5987015</v>
      </c>
      <c r="AQ50" s="90">
        <f t="shared" si="5"/>
        <v>71.60062459</v>
      </c>
      <c r="AR50" s="90">
        <f t="shared" si="5"/>
        <v>71.60467889</v>
      </c>
      <c r="AS50" s="90">
        <f t="shared" si="5"/>
        <v>71.60968141</v>
      </c>
      <c r="AT50" s="90">
        <f t="shared" si="5"/>
        <v>71.61241194</v>
      </c>
      <c r="AU50" s="90">
        <f t="shared" si="5"/>
        <v>71.61835682</v>
      </c>
      <c r="AV50" s="90">
        <f t="shared" si="5"/>
        <v>71.62092091</v>
      </c>
      <c r="AW50" s="90">
        <f t="shared" si="5"/>
        <v>71.62508173</v>
      </c>
      <c r="AX50" s="90">
        <f t="shared" si="5"/>
        <v>71.63192227</v>
      </c>
      <c r="AY50" s="90">
        <f t="shared" si="5"/>
        <v>71.63595021</v>
      </c>
      <c r="AZ50" s="90">
        <f t="shared" si="5"/>
        <v>71.63941604</v>
      </c>
      <c r="BA50" s="90">
        <f t="shared" si="5"/>
        <v>71.64664729</v>
      </c>
      <c r="BB50" s="90">
        <f t="shared" si="5"/>
        <v>71.65166632</v>
      </c>
      <c r="BC50" s="90">
        <f t="shared" si="5"/>
        <v>71.65665143</v>
      </c>
      <c r="BD50" s="90">
        <f t="shared" si="5"/>
        <v>71.66169236</v>
      </c>
      <c r="BE50" s="90">
        <f t="shared" si="5"/>
        <v>71.6667139</v>
      </c>
      <c r="BF50" s="90">
        <f t="shared" si="5"/>
        <v>71.67281223</v>
      </c>
      <c r="BG50" s="90">
        <f t="shared" si="5"/>
        <v>71.67894518</v>
      </c>
      <c r="BH50" s="90">
        <f t="shared" si="5"/>
        <v>71.68399893</v>
      </c>
      <c r="BI50" s="90">
        <f t="shared" si="5"/>
        <v>71.69022438</v>
      </c>
      <c r="BJ50" s="90">
        <f t="shared" si="5"/>
        <v>71.69542635</v>
      </c>
      <c r="BK50" s="90">
        <f t="shared" si="5"/>
        <v>71.7038349</v>
      </c>
      <c r="BL50" s="90">
        <f t="shared" si="5"/>
        <v>71.71076882</v>
      </c>
      <c r="BM50" s="90">
        <f t="shared" si="5"/>
        <v>71.71722136</v>
      </c>
      <c r="BN50" s="90">
        <f t="shared" si="5"/>
        <v>71.72274541</v>
      </c>
      <c r="BO50" s="90">
        <f t="shared" si="5"/>
        <v>71.73040625</v>
      </c>
      <c r="BP50" s="90">
        <f t="shared" si="5"/>
        <v>71.73720196</v>
      </c>
      <c r="BQ50" s="90">
        <f t="shared" si="5"/>
        <v>71.74458812</v>
      </c>
      <c r="BR50" s="90">
        <f t="shared" si="5"/>
        <v>71.75110671</v>
      </c>
      <c r="BS50" s="90">
        <f t="shared" si="5"/>
        <v>71.7592834</v>
      </c>
      <c r="BT50" s="90">
        <f t="shared" si="5"/>
        <v>71.76710783</v>
      </c>
      <c r="BU50" s="90">
        <f t="shared" si="5"/>
        <v>71.77456784</v>
      </c>
      <c r="BV50" s="90">
        <f t="shared" si="5"/>
        <v>71.78272059</v>
      </c>
      <c r="BW50" s="91"/>
    </row>
    <row r="51">
      <c r="A51" s="92" t="s">
        <v>235</v>
      </c>
      <c r="B51" s="93"/>
      <c r="C51" s="92">
        <f t="shared" ref="C51:BV51" si="6">C49+C48</f>
        <v>0</v>
      </c>
      <c r="D51" s="92">
        <f t="shared" si="6"/>
        <v>0</v>
      </c>
      <c r="E51" s="92">
        <f t="shared" si="6"/>
        <v>0</v>
      </c>
      <c r="F51" s="92">
        <f t="shared" si="6"/>
        <v>0</v>
      </c>
      <c r="G51" s="92">
        <f t="shared" si="6"/>
        <v>0</v>
      </c>
      <c r="H51" s="92">
        <f t="shared" si="6"/>
        <v>0</v>
      </c>
      <c r="I51" s="92">
        <f t="shared" si="6"/>
        <v>4768.75</v>
      </c>
      <c r="J51" s="92">
        <f t="shared" si="6"/>
        <v>59530.315</v>
      </c>
      <c r="K51" s="92">
        <f t="shared" si="6"/>
        <v>703819.285</v>
      </c>
      <c r="L51" s="92">
        <f t="shared" si="6"/>
        <v>714563.765</v>
      </c>
      <c r="M51" s="92">
        <f t="shared" si="6"/>
        <v>718016.515</v>
      </c>
      <c r="N51" s="92">
        <f t="shared" si="6"/>
        <v>762683.53</v>
      </c>
      <c r="O51" s="92">
        <f t="shared" si="6"/>
        <v>789757.695</v>
      </c>
      <c r="P51" s="92">
        <f t="shared" si="6"/>
        <v>1191193.97</v>
      </c>
      <c r="Q51" s="92">
        <f t="shared" si="6"/>
        <v>1484019.94</v>
      </c>
      <c r="R51" s="92">
        <f t="shared" si="6"/>
        <v>1835875.53</v>
      </c>
      <c r="S51" s="92">
        <f t="shared" si="6"/>
        <v>1842004.175</v>
      </c>
      <c r="T51" s="92">
        <f t="shared" si="6"/>
        <v>5555073.255</v>
      </c>
      <c r="U51" s="92">
        <f t="shared" si="6"/>
        <v>5565051.22</v>
      </c>
      <c r="V51" s="92">
        <f t="shared" si="6"/>
        <v>7281733.365</v>
      </c>
      <c r="W51" s="92">
        <f t="shared" si="6"/>
        <v>7297328.37</v>
      </c>
      <c r="X51" s="92">
        <f t="shared" si="6"/>
        <v>7312996.875</v>
      </c>
      <c r="Y51" s="92">
        <f t="shared" si="6"/>
        <v>7328755.935</v>
      </c>
      <c r="Z51" s="92">
        <f t="shared" si="6"/>
        <v>7344594.505</v>
      </c>
      <c r="AA51" s="92">
        <f t="shared" si="6"/>
        <v>8648569.61</v>
      </c>
      <c r="AB51" s="92">
        <f t="shared" si="6"/>
        <v>8665815.92</v>
      </c>
      <c r="AC51" s="92">
        <f t="shared" si="6"/>
        <v>9045396.785</v>
      </c>
      <c r="AD51" s="92">
        <f t="shared" si="6"/>
        <v>9066017.08</v>
      </c>
      <c r="AE51" s="92">
        <f t="shared" si="6"/>
        <v>9086755.145</v>
      </c>
      <c r="AF51" s="92">
        <f t="shared" si="6"/>
        <v>9107611.94</v>
      </c>
      <c r="AG51" s="92">
        <f t="shared" si="6"/>
        <v>9128587.465</v>
      </c>
      <c r="AH51" s="92">
        <f t="shared" si="6"/>
        <v>9149683.755</v>
      </c>
      <c r="AI51" s="92">
        <f t="shared" si="6"/>
        <v>9170903.81</v>
      </c>
      <c r="AJ51" s="92">
        <f t="shared" si="6"/>
        <v>9192242.64</v>
      </c>
      <c r="AK51" s="92">
        <f t="shared" si="6"/>
        <v>9213706.25</v>
      </c>
      <c r="AL51" s="92">
        <f t="shared" si="6"/>
        <v>9235294.66</v>
      </c>
      <c r="AM51" s="92">
        <f t="shared" si="6"/>
        <v>9257009.825</v>
      </c>
      <c r="AN51" s="92">
        <f t="shared" si="6"/>
        <v>9278852.81</v>
      </c>
      <c r="AO51" s="92">
        <f t="shared" si="6"/>
        <v>9300822.605</v>
      </c>
      <c r="AP51" s="92">
        <f t="shared" si="6"/>
        <v>9322925.215</v>
      </c>
      <c r="AQ51" s="92">
        <f t="shared" si="6"/>
        <v>9345153.625</v>
      </c>
      <c r="AR51" s="92">
        <f t="shared" si="6"/>
        <v>9367517.89</v>
      </c>
      <c r="AS51" s="92">
        <f t="shared" si="6"/>
        <v>9390008.99</v>
      </c>
      <c r="AT51" s="92">
        <f t="shared" si="6"/>
        <v>9412636.915</v>
      </c>
      <c r="AU51" s="92">
        <f t="shared" si="6"/>
        <v>9435401.685</v>
      </c>
      <c r="AV51" s="92">
        <f t="shared" si="6"/>
        <v>9458300.325</v>
      </c>
      <c r="AW51" s="92">
        <f t="shared" si="6"/>
        <v>9481339.835</v>
      </c>
      <c r="AX51" s="92">
        <f t="shared" si="6"/>
        <v>9504521.245</v>
      </c>
      <c r="AY51" s="92">
        <f t="shared" si="6"/>
        <v>9527837.5</v>
      </c>
      <c r="AZ51" s="92">
        <f t="shared" si="6"/>
        <v>9551297.65</v>
      </c>
      <c r="BA51" s="92">
        <f t="shared" si="6"/>
        <v>9574902.725</v>
      </c>
      <c r="BB51" s="92">
        <f t="shared" si="6"/>
        <v>9598648.675</v>
      </c>
      <c r="BC51" s="92">
        <f t="shared" si="6"/>
        <v>9622537.55</v>
      </c>
      <c r="BD51" s="92">
        <f t="shared" si="6"/>
        <v>9646581.37</v>
      </c>
      <c r="BE51" s="92">
        <f t="shared" si="6"/>
        <v>9670770.11</v>
      </c>
      <c r="BF51" s="92">
        <f t="shared" si="6"/>
        <v>9695107.78</v>
      </c>
      <c r="BG51" s="92">
        <f t="shared" si="6"/>
        <v>9719598.405</v>
      </c>
      <c r="BH51" s="92">
        <f t="shared" si="6"/>
        <v>9744235.005</v>
      </c>
      <c r="BI51" s="92">
        <f t="shared" si="6"/>
        <v>9769034.56</v>
      </c>
      <c r="BJ51" s="92">
        <f t="shared" si="6"/>
        <v>9793987.075</v>
      </c>
      <c r="BK51" s="92">
        <f t="shared" si="6"/>
        <v>9819093.59</v>
      </c>
      <c r="BL51" s="92">
        <f t="shared" si="6"/>
        <v>9844364.11</v>
      </c>
      <c r="BM51" s="92">
        <f t="shared" si="6"/>
        <v>9869789.63</v>
      </c>
      <c r="BN51" s="92">
        <f t="shared" si="6"/>
        <v>9895380.16</v>
      </c>
      <c r="BO51" s="92">
        <f t="shared" si="6"/>
        <v>9921125.695</v>
      </c>
      <c r="BP51" s="92">
        <f t="shared" si="6"/>
        <v>9947045.29</v>
      </c>
      <c r="BQ51" s="92">
        <f t="shared" si="6"/>
        <v>9973123.925</v>
      </c>
      <c r="BR51" s="92">
        <f t="shared" si="6"/>
        <v>9999375.615</v>
      </c>
      <c r="BS51" s="92">
        <f t="shared" si="6"/>
        <v>10025791.34</v>
      </c>
      <c r="BT51" s="92">
        <f t="shared" si="6"/>
        <v>10052380.15</v>
      </c>
      <c r="BU51" s="92">
        <f t="shared" si="6"/>
        <v>10079140.05</v>
      </c>
      <c r="BV51" s="92">
        <f t="shared" si="6"/>
        <v>10106075.03</v>
      </c>
      <c r="BW51" s="86">
        <f>SUM(C51:BV51)</f>
        <v>514504066</v>
      </c>
    </row>
    <row r="52">
      <c r="A52" s="10" t="s">
        <v>229</v>
      </c>
      <c r="B52" s="7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94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9"/>
    </row>
    <row r="53">
      <c r="A53" s="95" t="s">
        <v>236</v>
      </c>
      <c r="B53" s="96"/>
      <c r="C53" s="97">
        <f t="shared" ref="C53:BV53" si="7">C45-C51</f>
        <v>0</v>
      </c>
      <c r="D53" s="97">
        <f t="shared" si="7"/>
        <v>0</v>
      </c>
      <c r="E53" s="97">
        <f t="shared" si="7"/>
        <v>0</v>
      </c>
      <c r="F53" s="97">
        <f t="shared" si="7"/>
        <v>0</v>
      </c>
      <c r="G53" s="97">
        <f t="shared" si="7"/>
        <v>0</v>
      </c>
      <c r="H53" s="97">
        <f t="shared" si="7"/>
        <v>0</v>
      </c>
      <c r="I53" s="97">
        <f t="shared" si="7"/>
        <v>3981.25</v>
      </c>
      <c r="J53" s="97">
        <f t="shared" si="7"/>
        <v>29732.685</v>
      </c>
      <c r="K53" s="97">
        <f t="shared" si="7"/>
        <v>206237.715</v>
      </c>
      <c r="L53" s="97">
        <f t="shared" si="7"/>
        <v>210189.235</v>
      </c>
      <c r="M53" s="97">
        <f t="shared" si="7"/>
        <v>211086.485</v>
      </c>
      <c r="N53" s="97">
        <f t="shared" si="7"/>
        <v>229222.47</v>
      </c>
      <c r="O53" s="97">
        <f t="shared" si="7"/>
        <v>241981.305</v>
      </c>
      <c r="P53" s="97">
        <f t="shared" si="7"/>
        <v>409400.03</v>
      </c>
      <c r="Q53" s="97">
        <f t="shared" si="7"/>
        <v>531368.06</v>
      </c>
      <c r="R53" s="97">
        <f t="shared" si="7"/>
        <v>678030.47</v>
      </c>
      <c r="S53" s="97">
        <f t="shared" si="7"/>
        <v>680030.825</v>
      </c>
      <c r="T53" s="97">
        <f t="shared" si="7"/>
        <v>1622377.745</v>
      </c>
      <c r="U53" s="97">
        <f t="shared" si="7"/>
        <v>1625392.78</v>
      </c>
      <c r="V53" s="97">
        <f t="shared" si="7"/>
        <v>2056739.635</v>
      </c>
      <c r="W53" s="97">
        <f t="shared" si="7"/>
        <v>2061145.63</v>
      </c>
      <c r="X53" s="97">
        <f t="shared" si="7"/>
        <v>2065578.125</v>
      </c>
      <c r="Y53" s="97">
        <f t="shared" si="7"/>
        <v>2070031.065</v>
      </c>
      <c r="Z53" s="97">
        <f t="shared" si="7"/>
        <v>2074506.495</v>
      </c>
      <c r="AA53" s="98">
        <f t="shared" si="7"/>
        <v>2400952.39</v>
      </c>
      <c r="AB53" s="97">
        <f t="shared" si="7"/>
        <v>2405768.08</v>
      </c>
      <c r="AC53" s="97">
        <f t="shared" si="7"/>
        <v>2498360.215</v>
      </c>
      <c r="AD53" s="97">
        <f t="shared" si="7"/>
        <v>2503998.92</v>
      </c>
      <c r="AE53" s="97">
        <f t="shared" si="7"/>
        <v>2509673.855</v>
      </c>
      <c r="AF53" s="97">
        <f t="shared" si="7"/>
        <v>2515376.06</v>
      </c>
      <c r="AG53" s="97">
        <f t="shared" si="7"/>
        <v>2521105.535</v>
      </c>
      <c r="AH53" s="97">
        <f t="shared" si="7"/>
        <v>2526867.245</v>
      </c>
      <c r="AI53" s="97">
        <f t="shared" si="7"/>
        <v>2532658.19</v>
      </c>
      <c r="AJ53" s="97">
        <f t="shared" si="7"/>
        <v>2538485.36</v>
      </c>
      <c r="AK53" s="97">
        <f t="shared" si="7"/>
        <v>2544343.75</v>
      </c>
      <c r="AL53" s="97">
        <f t="shared" si="7"/>
        <v>2550237.34</v>
      </c>
      <c r="AM53" s="97">
        <f t="shared" si="7"/>
        <v>2556155.175</v>
      </c>
      <c r="AN53" s="97">
        <f t="shared" si="7"/>
        <v>2562109.19</v>
      </c>
      <c r="AO53" s="97">
        <f t="shared" si="7"/>
        <v>2568098.395</v>
      </c>
      <c r="AP53" s="97">
        <f t="shared" si="7"/>
        <v>2574117.785</v>
      </c>
      <c r="AQ53" s="97">
        <f t="shared" si="7"/>
        <v>2580171.375</v>
      </c>
      <c r="AR53" s="97">
        <f t="shared" si="7"/>
        <v>2586260.11</v>
      </c>
      <c r="AS53" s="97">
        <f t="shared" si="7"/>
        <v>2592389.01</v>
      </c>
      <c r="AT53" s="97">
        <f t="shared" si="7"/>
        <v>2598546.085</v>
      </c>
      <c r="AU53" s="97">
        <f t="shared" si="7"/>
        <v>2604735.315</v>
      </c>
      <c r="AV53" s="97">
        <f t="shared" si="7"/>
        <v>2610964.675</v>
      </c>
      <c r="AW53" s="97">
        <f t="shared" si="7"/>
        <v>2617227.165</v>
      </c>
      <c r="AX53" s="97">
        <f t="shared" si="7"/>
        <v>2623527.755</v>
      </c>
      <c r="AY53" s="97">
        <f t="shared" si="7"/>
        <v>2629862.5</v>
      </c>
      <c r="AZ53" s="97">
        <f t="shared" si="7"/>
        <v>2636232.35</v>
      </c>
      <c r="BA53" s="97">
        <f t="shared" si="7"/>
        <v>2642642.275</v>
      </c>
      <c r="BB53" s="97">
        <f t="shared" si="7"/>
        <v>2649086.325</v>
      </c>
      <c r="BC53" s="97">
        <f t="shared" si="7"/>
        <v>2655572.45</v>
      </c>
      <c r="BD53" s="97">
        <f t="shared" si="7"/>
        <v>2662092.63</v>
      </c>
      <c r="BE53" s="97">
        <f t="shared" si="7"/>
        <v>2668651.89</v>
      </c>
      <c r="BF53" s="97">
        <f t="shared" si="7"/>
        <v>2675248.22</v>
      </c>
      <c r="BG53" s="97">
        <f t="shared" si="7"/>
        <v>2681882.595</v>
      </c>
      <c r="BH53" s="97">
        <f t="shared" si="7"/>
        <v>2688565.995</v>
      </c>
      <c r="BI53" s="97">
        <f t="shared" si="7"/>
        <v>2695277.44</v>
      </c>
      <c r="BJ53" s="97">
        <f t="shared" si="7"/>
        <v>2702027.925</v>
      </c>
      <c r="BK53" s="97">
        <f t="shared" si="7"/>
        <v>2708824.41</v>
      </c>
      <c r="BL53" s="97">
        <f t="shared" si="7"/>
        <v>2715657.89</v>
      </c>
      <c r="BM53" s="97">
        <f t="shared" si="7"/>
        <v>2722536.37</v>
      </c>
      <c r="BN53" s="97">
        <f t="shared" si="7"/>
        <v>2729451.84</v>
      </c>
      <c r="BO53" s="97">
        <f t="shared" si="7"/>
        <v>2736413.305</v>
      </c>
      <c r="BP53" s="97">
        <f t="shared" si="7"/>
        <v>2743412.71</v>
      </c>
      <c r="BQ53" s="97">
        <f t="shared" si="7"/>
        <v>2750461.075</v>
      </c>
      <c r="BR53" s="97">
        <f t="shared" si="7"/>
        <v>2757547.385</v>
      </c>
      <c r="BS53" s="97">
        <f t="shared" si="7"/>
        <v>2764676.66</v>
      </c>
      <c r="BT53" s="97">
        <f t="shared" si="7"/>
        <v>2771849.85</v>
      </c>
      <c r="BU53" s="97">
        <f t="shared" si="7"/>
        <v>2779068.955</v>
      </c>
      <c r="BV53" s="97">
        <f t="shared" si="7"/>
        <v>2786329.975</v>
      </c>
      <c r="BW53" s="86">
        <f>SUM(C53:BV53)</f>
        <v>143082534</v>
      </c>
    </row>
    <row r="54">
      <c r="A54" s="99" t="s">
        <v>240</v>
      </c>
      <c r="B54" s="7"/>
      <c r="C54" s="100">
        <v>0.0</v>
      </c>
      <c r="D54" s="100">
        <v>0.0</v>
      </c>
      <c r="E54" s="100">
        <v>0.0</v>
      </c>
      <c r="F54" s="100">
        <v>0.0</v>
      </c>
      <c r="G54" s="100">
        <v>0.0</v>
      </c>
      <c r="H54" s="100">
        <v>0.0</v>
      </c>
      <c r="I54" s="101">
        <f t="shared" ref="I54:BV54" si="8">I53/I45</f>
        <v>0.455</v>
      </c>
      <c r="J54" s="101">
        <f t="shared" si="8"/>
        <v>0.3330908103</v>
      </c>
      <c r="K54" s="101">
        <f t="shared" si="8"/>
        <v>0.2266206567</v>
      </c>
      <c r="L54" s="101">
        <f t="shared" si="8"/>
        <v>0.2272922986</v>
      </c>
      <c r="M54" s="101">
        <f t="shared" si="8"/>
        <v>0.2271938472</v>
      </c>
      <c r="N54" s="101">
        <f t="shared" si="8"/>
        <v>0.2310929362</v>
      </c>
      <c r="O54" s="101">
        <f t="shared" si="8"/>
        <v>0.2345373248</v>
      </c>
      <c r="P54" s="101">
        <f t="shared" si="8"/>
        <v>0.2557800604</v>
      </c>
      <c r="Q54" s="101">
        <f t="shared" si="8"/>
        <v>0.2636554649</v>
      </c>
      <c r="R54" s="101">
        <f t="shared" si="8"/>
        <v>0.2697119423</v>
      </c>
      <c r="S54" s="101">
        <f t="shared" si="8"/>
        <v>0.2696357604</v>
      </c>
      <c r="T54" s="101">
        <f t="shared" si="8"/>
        <v>0.2260381499</v>
      </c>
      <c r="U54" s="101">
        <f t="shared" si="8"/>
        <v>0.2260490145</v>
      </c>
      <c r="V54" s="101">
        <f t="shared" si="8"/>
        <v>0.2202436774</v>
      </c>
      <c r="W54" s="101">
        <f t="shared" si="8"/>
        <v>0.2202437737</v>
      </c>
      <c r="X54" s="101">
        <f t="shared" si="8"/>
        <v>0.2202443468</v>
      </c>
      <c r="Y54" s="101">
        <f t="shared" si="8"/>
        <v>0.2202444917</v>
      </c>
      <c r="Z54" s="101">
        <f t="shared" si="8"/>
        <v>0.2202446385</v>
      </c>
      <c r="AA54" s="101">
        <f t="shared" si="8"/>
        <v>0.2172901588</v>
      </c>
      <c r="AB54" s="101">
        <f t="shared" si="8"/>
        <v>0.2172921309</v>
      </c>
      <c r="AC54" s="101">
        <f t="shared" si="8"/>
        <v>0.2164252258</v>
      </c>
      <c r="AD54" s="101">
        <f t="shared" si="8"/>
        <v>0.2164213878</v>
      </c>
      <c r="AE54" s="101">
        <f t="shared" si="8"/>
        <v>0.2164178175</v>
      </c>
      <c r="AF54" s="101">
        <f t="shared" si="8"/>
        <v>0.2164138912</v>
      </c>
      <c r="AG54" s="101">
        <f t="shared" si="8"/>
        <v>0.2164096114</v>
      </c>
      <c r="AH54" s="101">
        <f t="shared" si="8"/>
        <v>0.2164052763</v>
      </c>
      <c r="AI54" s="101">
        <f t="shared" si="8"/>
        <v>0.21640063</v>
      </c>
      <c r="AJ54" s="101">
        <f t="shared" si="8"/>
        <v>0.2163962339</v>
      </c>
      <c r="AK54" s="101">
        <f t="shared" si="8"/>
        <v>0.2163916423</v>
      </c>
      <c r="AL54" s="101">
        <f t="shared" si="8"/>
        <v>0.2163871211</v>
      </c>
      <c r="AM54" s="101">
        <f t="shared" si="8"/>
        <v>0.2163819074</v>
      </c>
      <c r="AN54" s="101">
        <f t="shared" si="8"/>
        <v>0.2163767767</v>
      </c>
      <c r="AO54" s="101">
        <f t="shared" si="8"/>
        <v>0.2163716816</v>
      </c>
      <c r="AP54" s="101">
        <f t="shared" si="8"/>
        <v>0.2163661832</v>
      </c>
      <c r="AQ54" s="101">
        <f t="shared" si="8"/>
        <v>0.2163606757</v>
      </c>
      <c r="AR54" s="101">
        <f t="shared" si="8"/>
        <v>0.2163550394</v>
      </c>
      <c r="AS54" s="101">
        <f t="shared" si="8"/>
        <v>0.2163497665</v>
      </c>
      <c r="AT54" s="101">
        <f t="shared" si="8"/>
        <v>0.2163438926</v>
      </c>
      <c r="AU54" s="101">
        <f t="shared" si="8"/>
        <v>0.2163376808</v>
      </c>
      <c r="AV54" s="101">
        <f t="shared" si="8"/>
        <v>0.216331705</v>
      </c>
      <c r="AW54" s="101">
        <f t="shared" si="8"/>
        <v>0.2163253851</v>
      </c>
      <c r="AX54" s="101">
        <f t="shared" si="8"/>
        <v>0.2163190267</v>
      </c>
      <c r="AY54" s="101">
        <f t="shared" si="8"/>
        <v>0.2163125015</v>
      </c>
      <c r="AZ54" s="101">
        <f t="shared" si="8"/>
        <v>0.2163057117</v>
      </c>
      <c r="BA54" s="101">
        <f t="shared" si="8"/>
        <v>0.2162989598</v>
      </c>
      <c r="BB54" s="101">
        <f t="shared" si="8"/>
        <v>0.2162919368</v>
      </c>
      <c r="BC54" s="101">
        <f t="shared" si="8"/>
        <v>0.2162851164</v>
      </c>
      <c r="BD54" s="101">
        <f t="shared" si="8"/>
        <v>0.2162777753</v>
      </c>
      <c r="BE54" s="101">
        <f t="shared" si="8"/>
        <v>0.2162704128</v>
      </c>
      <c r="BF54" s="101">
        <f t="shared" si="8"/>
        <v>0.2162628319</v>
      </c>
      <c r="BG54" s="101">
        <f t="shared" si="8"/>
        <v>0.2162550259</v>
      </c>
      <c r="BH54" s="101">
        <f t="shared" si="8"/>
        <v>0.2162478105</v>
      </c>
      <c r="BI54" s="101">
        <f t="shared" si="8"/>
        <v>0.2162395678</v>
      </c>
      <c r="BJ54" s="101">
        <f t="shared" si="8"/>
        <v>0.2162311685</v>
      </c>
      <c r="BK54" s="101">
        <f t="shared" si="8"/>
        <v>0.2162230316</v>
      </c>
      <c r="BL54" s="101">
        <f t="shared" si="8"/>
        <v>0.2162144214</v>
      </c>
      <c r="BM54" s="101">
        <f t="shared" si="8"/>
        <v>0.2162059948</v>
      </c>
      <c r="BN54" s="101">
        <f t="shared" si="8"/>
        <v>0.2161970821</v>
      </c>
      <c r="BO54" s="101">
        <f t="shared" si="8"/>
        <v>0.2161884159</v>
      </c>
      <c r="BP54" s="101">
        <f t="shared" si="8"/>
        <v>0.2161791726</v>
      </c>
      <c r="BQ54" s="101">
        <f t="shared" si="8"/>
        <v>0.2161702912</v>
      </c>
      <c r="BR54" s="101">
        <f t="shared" si="8"/>
        <v>0.2161608552</v>
      </c>
      <c r="BS54" s="101">
        <f t="shared" si="8"/>
        <v>0.2161513293</v>
      </c>
      <c r="BT54" s="101">
        <f t="shared" si="8"/>
        <v>0.2161416202</v>
      </c>
      <c r="BU54" s="101">
        <f t="shared" si="8"/>
        <v>0.2161318855</v>
      </c>
      <c r="BV54" s="101">
        <f t="shared" si="8"/>
        <v>0.2161218155</v>
      </c>
      <c r="BW54" s="102"/>
    </row>
    <row r="55">
      <c r="A55" s="38"/>
      <c r="B55" s="39"/>
      <c r="C55" s="20"/>
      <c r="D55" s="20"/>
      <c r="E55" s="20"/>
      <c r="F55" s="2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9"/>
    </row>
    <row r="56">
      <c r="A56" s="38" t="s">
        <v>241</v>
      </c>
      <c r="B56" s="39"/>
      <c r="C56" s="20" t="s">
        <v>231</v>
      </c>
      <c r="D56" s="20" t="s">
        <v>231</v>
      </c>
      <c r="E56" s="20" t="s">
        <v>231</v>
      </c>
      <c r="F56" s="20" t="s">
        <v>231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9"/>
    </row>
    <row r="57">
      <c r="A57" s="41" t="s">
        <v>242</v>
      </c>
      <c r="B57" s="41"/>
      <c r="C57" s="41">
        <v>0.0</v>
      </c>
      <c r="D57" s="41">
        <v>0.0</v>
      </c>
      <c r="E57" s="41">
        <v>0.0</v>
      </c>
      <c r="F57" s="41">
        <v>0.0</v>
      </c>
      <c r="G57" s="41">
        <f t="shared" ref="G57:BV57" si="9">G45*1% </f>
        <v>0</v>
      </c>
      <c r="H57" s="41">
        <f t="shared" si="9"/>
        <v>0</v>
      </c>
      <c r="I57" s="41">
        <f t="shared" si="9"/>
        <v>87.5</v>
      </c>
      <c r="J57" s="41">
        <f t="shared" si="9"/>
        <v>892.63</v>
      </c>
      <c r="K57" s="41">
        <f t="shared" si="9"/>
        <v>9100.57</v>
      </c>
      <c r="L57" s="41">
        <f t="shared" si="9"/>
        <v>9247.53</v>
      </c>
      <c r="M57" s="41">
        <f t="shared" si="9"/>
        <v>9291.03</v>
      </c>
      <c r="N57" s="41">
        <f t="shared" si="9"/>
        <v>9919.06</v>
      </c>
      <c r="O57" s="41">
        <f t="shared" si="9"/>
        <v>10317.39</v>
      </c>
      <c r="P57" s="41">
        <f t="shared" si="9"/>
        <v>16005.94</v>
      </c>
      <c r="Q57" s="41">
        <f t="shared" si="9"/>
        <v>20153.88</v>
      </c>
      <c r="R57" s="41">
        <f t="shared" si="9"/>
        <v>25139.06</v>
      </c>
      <c r="S57" s="41">
        <f t="shared" si="9"/>
        <v>25220.35</v>
      </c>
      <c r="T57" s="41">
        <f t="shared" si="9"/>
        <v>71774.51</v>
      </c>
      <c r="U57" s="41">
        <f t="shared" si="9"/>
        <v>71904.44</v>
      </c>
      <c r="V57" s="41">
        <f t="shared" si="9"/>
        <v>93384.73</v>
      </c>
      <c r="W57" s="41">
        <f t="shared" si="9"/>
        <v>93584.74</v>
      </c>
      <c r="X57" s="41">
        <f t="shared" si="9"/>
        <v>93785.75</v>
      </c>
      <c r="Y57" s="41">
        <f t="shared" si="9"/>
        <v>93987.87</v>
      </c>
      <c r="Z57" s="41">
        <f t="shared" si="9"/>
        <v>94191.01</v>
      </c>
      <c r="AA57" s="41">
        <f t="shared" si="9"/>
        <v>110495.22</v>
      </c>
      <c r="AB57" s="41">
        <f t="shared" si="9"/>
        <v>110715.84</v>
      </c>
      <c r="AC57" s="41">
        <f t="shared" si="9"/>
        <v>115437.57</v>
      </c>
      <c r="AD57" s="41">
        <f t="shared" si="9"/>
        <v>115700.16</v>
      </c>
      <c r="AE57" s="41">
        <f t="shared" si="9"/>
        <v>115964.29</v>
      </c>
      <c r="AF57" s="41">
        <f t="shared" si="9"/>
        <v>116229.88</v>
      </c>
      <c r="AG57" s="41">
        <f t="shared" si="9"/>
        <v>116496.93</v>
      </c>
      <c r="AH57" s="41">
        <f t="shared" si="9"/>
        <v>116765.51</v>
      </c>
      <c r="AI57" s="41">
        <f t="shared" si="9"/>
        <v>117035.62</v>
      </c>
      <c r="AJ57" s="41">
        <f t="shared" si="9"/>
        <v>117307.28</v>
      </c>
      <c r="AK57" s="41">
        <f t="shared" si="9"/>
        <v>117580.5</v>
      </c>
      <c r="AL57" s="41">
        <f t="shared" si="9"/>
        <v>117855.32</v>
      </c>
      <c r="AM57" s="41">
        <f t="shared" si="9"/>
        <v>118131.65</v>
      </c>
      <c r="AN57" s="41">
        <f t="shared" si="9"/>
        <v>118409.62</v>
      </c>
      <c r="AO57" s="41">
        <f t="shared" si="9"/>
        <v>118689.21</v>
      </c>
      <c r="AP57" s="41">
        <f t="shared" si="9"/>
        <v>118970.43</v>
      </c>
      <c r="AQ57" s="41">
        <f t="shared" si="9"/>
        <v>119253.25</v>
      </c>
      <c r="AR57" s="41">
        <f t="shared" si="9"/>
        <v>119537.78</v>
      </c>
      <c r="AS57" s="41">
        <f t="shared" si="9"/>
        <v>119823.98</v>
      </c>
      <c r="AT57" s="41">
        <f t="shared" si="9"/>
        <v>120111.83</v>
      </c>
      <c r="AU57" s="41">
        <f t="shared" si="9"/>
        <v>120401.37</v>
      </c>
      <c r="AV57" s="41">
        <f t="shared" si="9"/>
        <v>120692.65</v>
      </c>
      <c r="AW57" s="41">
        <f t="shared" si="9"/>
        <v>120985.67</v>
      </c>
      <c r="AX57" s="41">
        <f t="shared" si="9"/>
        <v>121280.49</v>
      </c>
      <c r="AY57" s="41">
        <f t="shared" si="9"/>
        <v>121577</v>
      </c>
      <c r="AZ57" s="41">
        <f t="shared" si="9"/>
        <v>121875.3</v>
      </c>
      <c r="BA57" s="41">
        <f t="shared" si="9"/>
        <v>122175.45</v>
      </c>
      <c r="BB57" s="41">
        <f t="shared" si="9"/>
        <v>122477.35</v>
      </c>
      <c r="BC57" s="41">
        <f t="shared" si="9"/>
        <v>122781.1</v>
      </c>
      <c r="BD57" s="41">
        <f t="shared" si="9"/>
        <v>123086.74</v>
      </c>
      <c r="BE57" s="41">
        <f t="shared" si="9"/>
        <v>123394.22</v>
      </c>
      <c r="BF57" s="41">
        <f t="shared" si="9"/>
        <v>123703.56</v>
      </c>
      <c r="BG57" s="41">
        <f t="shared" si="9"/>
        <v>124014.81</v>
      </c>
      <c r="BH57" s="41">
        <f t="shared" si="9"/>
        <v>124328.01</v>
      </c>
      <c r="BI57" s="41">
        <f t="shared" si="9"/>
        <v>124643.12</v>
      </c>
      <c r="BJ57" s="41">
        <f t="shared" si="9"/>
        <v>124960.15</v>
      </c>
      <c r="BK57" s="41">
        <f t="shared" si="9"/>
        <v>125279.18</v>
      </c>
      <c r="BL57" s="41">
        <f t="shared" si="9"/>
        <v>125600.22</v>
      </c>
      <c r="BM57" s="41">
        <f t="shared" si="9"/>
        <v>125923.26</v>
      </c>
      <c r="BN57" s="41">
        <f t="shared" si="9"/>
        <v>126248.32</v>
      </c>
      <c r="BO57" s="41">
        <f t="shared" si="9"/>
        <v>126575.39</v>
      </c>
      <c r="BP57" s="41">
        <f t="shared" si="9"/>
        <v>126904.58</v>
      </c>
      <c r="BQ57" s="41">
        <f t="shared" si="9"/>
        <v>127235.85</v>
      </c>
      <c r="BR57" s="41">
        <f t="shared" si="9"/>
        <v>127569.23</v>
      </c>
      <c r="BS57" s="41">
        <f t="shared" si="9"/>
        <v>127904.68</v>
      </c>
      <c r="BT57" s="41">
        <f t="shared" si="9"/>
        <v>128242.3</v>
      </c>
      <c r="BU57" s="41">
        <f t="shared" si="9"/>
        <v>128582.09</v>
      </c>
      <c r="BV57" s="41">
        <f t="shared" si="9"/>
        <v>128924.05</v>
      </c>
      <c r="BW57" s="67"/>
    </row>
    <row r="58">
      <c r="A58" s="77" t="s">
        <v>243</v>
      </c>
      <c r="B58" s="41"/>
      <c r="C58" s="41">
        <v>0.0</v>
      </c>
      <c r="D58" s="41">
        <v>0.0</v>
      </c>
      <c r="E58" s="41">
        <v>0.0</v>
      </c>
      <c r="F58" s="41">
        <v>0.0</v>
      </c>
      <c r="G58" s="41">
        <v>0.0</v>
      </c>
      <c r="H58" s="41">
        <v>0.0</v>
      </c>
      <c r="I58" s="77">
        <v>0.0</v>
      </c>
      <c r="J58" s="77">
        <v>1000.0</v>
      </c>
      <c r="K58" s="41">
        <f t="shared" ref="K58:Q58" si="10">J58</f>
        <v>1000</v>
      </c>
      <c r="L58" s="41">
        <f t="shared" si="10"/>
        <v>1000</v>
      </c>
      <c r="M58" s="41">
        <f t="shared" si="10"/>
        <v>1000</v>
      </c>
      <c r="N58" s="41">
        <f t="shared" si="10"/>
        <v>1000</v>
      </c>
      <c r="O58" s="41">
        <f t="shared" si="10"/>
        <v>1000</v>
      </c>
      <c r="P58" s="41">
        <f t="shared" si="10"/>
        <v>1000</v>
      </c>
      <c r="Q58" s="41">
        <f t="shared" si="10"/>
        <v>1000</v>
      </c>
      <c r="R58" s="77">
        <v>4000.0</v>
      </c>
      <c r="S58" s="41">
        <f t="shared" ref="S58:AC58" si="11">R58</f>
        <v>4000</v>
      </c>
      <c r="T58" s="41">
        <f t="shared" si="11"/>
        <v>4000</v>
      </c>
      <c r="U58" s="41">
        <f t="shared" si="11"/>
        <v>4000</v>
      </c>
      <c r="V58" s="41">
        <f t="shared" si="11"/>
        <v>4000</v>
      </c>
      <c r="W58" s="41">
        <f t="shared" si="11"/>
        <v>4000</v>
      </c>
      <c r="X58" s="41">
        <f t="shared" si="11"/>
        <v>4000</v>
      </c>
      <c r="Y58" s="41">
        <f t="shared" si="11"/>
        <v>4000</v>
      </c>
      <c r="Z58" s="41">
        <f t="shared" si="11"/>
        <v>4000</v>
      </c>
      <c r="AA58" s="41">
        <f t="shared" si="11"/>
        <v>4000</v>
      </c>
      <c r="AB58" s="41">
        <f t="shared" si="11"/>
        <v>4000</v>
      </c>
      <c r="AC58" s="41">
        <f t="shared" si="11"/>
        <v>4000</v>
      </c>
      <c r="AD58" s="77">
        <v>9000.0</v>
      </c>
      <c r="AE58" s="41">
        <f t="shared" ref="AE58:BV58" si="12">AD58</f>
        <v>9000</v>
      </c>
      <c r="AF58" s="41">
        <f t="shared" si="12"/>
        <v>9000</v>
      </c>
      <c r="AG58" s="41">
        <f t="shared" si="12"/>
        <v>9000</v>
      </c>
      <c r="AH58" s="41">
        <f t="shared" si="12"/>
        <v>9000</v>
      </c>
      <c r="AI58" s="41">
        <f t="shared" si="12"/>
        <v>9000</v>
      </c>
      <c r="AJ58" s="41">
        <f t="shared" si="12"/>
        <v>9000</v>
      </c>
      <c r="AK58" s="41">
        <f t="shared" si="12"/>
        <v>9000</v>
      </c>
      <c r="AL58" s="41">
        <f t="shared" si="12"/>
        <v>9000</v>
      </c>
      <c r="AM58" s="41">
        <f t="shared" si="12"/>
        <v>9000</v>
      </c>
      <c r="AN58" s="41">
        <f t="shared" si="12"/>
        <v>9000</v>
      </c>
      <c r="AO58" s="41">
        <f t="shared" si="12"/>
        <v>9000</v>
      </c>
      <c r="AP58" s="41">
        <f t="shared" si="12"/>
        <v>9000</v>
      </c>
      <c r="AQ58" s="41">
        <f t="shared" si="12"/>
        <v>9000</v>
      </c>
      <c r="AR58" s="41">
        <f t="shared" si="12"/>
        <v>9000</v>
      </c>
      <c r="AS58" s="41">
        <f t="shared" si="12"/>
        <v>9000</v>
      </c>
      <c r="AT58" s="41">
        <f t="shared" si="12"/>
        <v>9000</v>
      </c>
      <c r="AU58" s="41">
        <f t="shared" si="12"/>
        <v>9000</v>
      </c>
      <c r="AV58" s="41">
        <f t="shared" si="12"/>
        <v>9000</v>
      </c>
      <c r="AW58" s="41">
        <f t="shared" si="12"/>
        <v>9000</v>
      </c>
      <c r="AX58" s="41">
        <f t="shared" si="12"/>
        <v>9000</v>
      </c>
      <c r="AY58" s="41">
        <f t="shared" si="12"/>
        <v>9000</v>
      </c>
      <c r="AZ58" s="41">
        <f t="shared" si="12"/>
        <v>9000</v>
      </c>
      <c r="BA58" s="41">
        <f t="shared" si="12"/>
        <v>9000</v>
      </c>
      <c r="BB58" s="41">
        <f t="shared" si="12"/>
        <v>9000</v>
      </c>
      <c r="BC58" s="41">
        <f t="shared" si="12"/>
        <v>9000</v>
      </c>
      <c r="BD58" s="41">
        <f t="shared" si="12"/>
        <v>9000</v>
      </c>
      <c r="BE58" s="41">
        <f t="shared" si="12"/>
        <v>9000</v>
      </c>
      <c r="BF58" s="41">
        <f t="shared" si="12"/>
        <v>9000</v>
      </c>
      <c r="BG58" s="41">
        <f t="shared" si="12"/>
        <v>9000</v>
      </c>
      <c r="BH58" s="41">
        <f t="shared" si="12"/>
        <v>9000</v>
      </c>
      <c r="BI58" s="41">
        <f t="shared" si="12"/>
        <v>9000</v>
      </c>
      <c r="BJ58" s="41">
        <f t="shared" si="12"/>
        <v>9000</v>
      </c>
      <c r="BK58" s="41">
        <f t="shared" si="12"/>
        <v>9000</v>
      </c>
      <c r="BL58" s="41">
        <f t="shared" si="12"/>
        <v>9000</v>
      </c>
      <c r="BM58" s="41">
        <f t="shared" si="12"/>
        <v>9000</v>
      </c>
      <c r="BN58" s="41">
        <f t="shared" si="12"/>
        <v>9000</v>
      </c>
      <c r="BO58" s="41">
        <f t="shared" si="12"/>
        <v>9000</v>
      </c>
      <c r="BP58" s="41">
        <f t="shared" si="12"/>
        <v>9000</v>
      </c>
      <c r="BQ58" s="41">
        <f t="shared" si="12"/>
        <v>9000</v>
      </c>
      <c r="BR58" s="41">
        <f t="shared" si="12"/>
        <v>9000</v>
      </c>
      <c r="BS58" s="41">
        <f t="shared" si="12"/>
        <v>9000</v>
      </c>
      <c r="BT58" s="41">
        <f t="shared" si="12"/>
        <v>9000</v>
      </c>
      <c r="BU58" s="41">
        <f t="shared" si="12"/>
        <v>9000</v>
      </c>
      <c r="BV58" s="41">
        <f t="shared" si="12"/>
        <v>9000</v>
      </c>
      <c r="BW58" s="67"/>
    </row>
    <row r="59">
      <c r="A59" s="103" t="s">
        <v>244</v>
      </c>
      <c r="B59" s="104"/>
      <c r="C59" s="104">
        <f>Formulas!E8</f>
        <v>0</v>
      </c>
      <c r="D59" s="104">
        <f>Formulas!F8</f>
        <v>0</v>
      </c>
      <c r="E59" s="104">
        <f>Formulas!G8</f>
        <v>0</v>
      </c>
      <c r="F59" s="104">
        <f>Formulas!H8</f>
        <v>0</v>
      </c>
      <c r="G59" s="104">
        <f>Formulas!I8</f>
        <v>0</v>
      </c>
      <c r="H59" s="104">
        <f>Formulas!J8</f>
        <v>0</v>
      </c>
      <c r="I59" s="104">
        <f>Formulas!K8</f>
        <v>12.5</v>
      </c>
      <c r="J59" s="104">
        <f>Formulas!L8</f>
        <v>91.66666667</v>
      </c>
      <c r="K59" s="104">
        <f>Formulas!M8</f>
        <v>805.5</v>
      </c>
      <c r="L59" s="104">
        <f>Formulas!N8</f>
        <v>814.6666667</v>
      </c>
      <c r="M59" s="104">
        <f>Formulas!O8</f>
        <v>818.4166667</v>
      </c>
      <c r="N59" s="104">
        <f>Formulas!P8</f>
        <v>904.5</v>
      </c>
      <c r="O59" s="104">
        <f>Formulas!Q8</f>
        <v>967.1666667</v>
      </c>
      <c r="P59" s="104">
        <f>Formulas!R8</f>
        <v>1701.25</v>
      </c>
      <c r="Q59" s="104">
        <f>Formulas!S8</f>
        <v>2274.75</v>
      </c>
      <c r="R59" s="104">
        <f>Formulas!T8</f>
        <v>3291.333333</v>
      </c>
      <c r="S59" s="104">
        <f>Formulas!U8</f>
        <v>3301.166667</v>
      </c>
      <c r="T59" s="104">
        <f>Formulas!V8</f>
        <v>7305.666667</v>
      </c>
      <c r="U59" s="104">
        <f>Formulas!W8</f>
        <v>7319.916667</v>
      </c>
      <c r="V59" s="104">
        <f>Formulas!X8</f>
        <v>8742.5</v>
      </c>
      <c r="W59" s="104">
        <f>Formulas!Y8</f>
        <v>8761.916667</v>
      </c>
      <c r="X59" s="104">
        <f>Formulas!Z8</f>
        <v>8780.916667</v>
      </c>
      <c r="Y59" s="104">
        <f>Formulas!AA8</f>
        <v>8800.833333</v>
      </c>
      <c r="Z59" s="104">
        <f>Formulas!AB8</f>
        <v>8820.75</v>
      </c>
      <c r="AA59" s="104">
        <f>Formulas!AC8</f>
        <v>10173.66667</v>
      </c>
      <c r="AB59" s="104">
        <f>Formulas!AD8</f>
        <v>10195</v>
      </c>
      <c r="AC59" s="104">
        <f>Formulas!AE8</f>
        <v>10466.08333</v>
      </c>
      <c r="AD59" s="104">
        <f>Formulas!AF8</f>
        <v>10489.66667</v>
      </c>
      <c r="AE59" s="104">
        <f>Formulas!AG8</f>
        <v>10513.66667</v>
      </c>
      <c r="AF59" s="104">
        <f>Formulas!AH8</f>
        <v>10537.08333</v>
      </c>
      <c r="AG59" s="104">
        <f>Formulas!AI8</f>
        <v>10561</v>
      </c>
      <c r="AH59" s="104">
        <f>Formulas!AJ8</f>
        <v>10585.16667</v>
      </c>
      <c r="AI59" s="104">
        <f>Formulas!AK8</f>
        <v>10609.41667</v>
      </c>
      <c r="AJ59" s="104">
        <f>Formulas!AL8</f>
        <v>10633.5</v>
      </c>
      <c r="AK59" s="104">
        <f>Formulas!AM8</f>
        <v>10657.83333</v>
      </c>
      <c r="AL59" s="104">
        <f>Formulas!AN8</f>
        <v>10682.66667</v>
      </c>
      <c r="AM59" s="104">
        <f>Formulas!AO8</f>
        <v>10706.91667</v>
      </c>
      <c r="AN59" s="104">
        <f>Formulas!AP8</f>
        <v>10731.91667</v>
      </c>
      <c r="AO59" s="104">
        <f>Formulas!AQ8</f>
        <v>10756.91667</v>
      </c>
      <c r="AP59" s="104">
        <f>Formulas!AR8</f>
        <v>10781.66667</v>
      </c>
      <c r="AQ59" s="104">
        <f>Formulas!AS8</f>
        <v>10807.08333</v>
      </c>
      <c r="AR59" s="104">
        <f>Formulas!AT8</f>
        <v>10832.33333</v>
      </c>
      <c r="AS59" s="104">
        <f>Formulas!AU8</f>
        <v>10857.58333</v>
      </c>
      <c r="AT59" s="104">
        <f>Formulas!AV8</f>
        <v>10883.33333</v>
      </c>
      <c r="AU59" s="104">
        <f>Formulas!AW8</f>
        <v>10908.75</v>
      </c>
      <c r="AV59" s="104">
        <f>Formulas!AX8</f>
        <v>10934.83333</v>
      </c>
      <c r="AW59" s="104">
        <f>Formulas!AY8</f>
        <v>10960.83333</v>
      </c>
      <c r="AX59" s="104">
        <f>Formulas!AZ8</f>
        <v>10986.58333</v>
      </c>
      <c r="AY59" s="104">
        <f>Formulas!BA8</f>
        <v>11012.91667</v>
      </c>
      <c r="AZ59" s="104">
        <f>Formulas!BB8</f>
        <v>11039.5</v>
      </c>
      <c r="BA59" s="104">
        <f>Formulas!BC8</f>
        <v>11065.66667</v>
      </c>
      <c r="BB59" s="104">
        <f>Formulas!BD8</f>
        <v>11092.33333</v>
      </c>
      <c r="BC59" s="104">
        <f>Formulas!BE8</f>
        <v>11119.16667</v>
      </c>
      <c r="BD59" s="104">
        <f>Formulas!BF8</f>
        <v>11146.16667</v>
      </c>
      <c r="BE59" s="104">
        <f>Formulas!BG8</f>
        <v>11173.33333</v>
      </c>
      <c r="BF59" s="104">
        <f>Formulas!BH8</f>
        <v>11200.5</v>
      </c>
      <c r="BG59" s="104">
        <f>Formulas!BI8</f>
        <v>11227.83333</v>
      </c>
      <c r="BH59" s="104">
        <f>Formulas!BJ8</f>
        <v>11255.5</v>
      </c>
      <c r="BI59" s="104">
        <f>Formulas!BK8</f>
        <v>11283.16667</v>
      </c>
      <c r="BJ59" s="104">
        <f>Formulas!BL8</f>
        <v>11311.16667</v>
      </c>
      <c r="BK59" s="104">
        <f>Formulas!BM8</f>
        <v>11338.83333</v>
      </c>
      <c r="BL59" s="104">
        <f>Formulas!BN8</f>
        <v>11366.91667</v>
      </c>
      <c r="BM59" s="104">
        <f>Formulas!BO8</f>
        <v>11395.25</v>
      </c>
      <c r="BN59" s="104">
        <f>Formulas!BP8</f>
        <v>11423.91667</v>
      </c>
      <c r="BO59" s="104">
        <f>Formulas!BQ8</f>
        <v>11452.41667</v>
      </c>
      <c r="BP59" s="104">
        <f>Formulas!BR8</f>
        <v>11481.25</v>
      </c>
      <c r="BQ59" s="104">
        <f>Formulas!BS8</f>
        <v>11510.16667</v>
      </c>
      <c r="BR59" s="104">
        <f>Formulas!BT8</f>
        <v>11539.41667</v>
      </c>
      <c r="BS59" s="104">
        <f>Formulas!BU8</f>
        <v>11568.58333</v>
      </c>
      <c r="BT59" s="104">
        <f>Formulas!BV8</f>
        <v>11598</v>
      </c>
      <c r="BU59" s="104">
        <f>Formulas!BW8</f>
        <v>11627.66667</v>
      </c>
      <c r="BV59" s="104">
        <f>Formulas!BX8</f>
        <v>11657.41667</v>
      </c>
      <c r="BW59" s="67"/>
    </row>
    <row r="60">
      <c r="A60" s="105" t="s">
        <v>246</v>
      </c>
      <c r="B60" s="106"/>
      <c r="C60" s="106">
        <f>Formulas!E16</f>
        <v>0</v>
      </c>
      <c r="D60" s="106">
        <f>Formulas!F16</f>
        <v>0</v>
      </c>
      <c r="E60" s="106">
        <f>Formulas!G16</f>
        <v>0</v>
      </c>
      <c r="F60" s="106">
        <f>Formulas!H16</f>
        <v>0</v>
      </c>
      <c r="G60" s="106">
        <f>Formulas!I16</f>
        <v>0</v>
      </c>
      <c r="H60" s="106">
        <f>Formulas!J16</f>
        <v>0</v>
      </c>
      <c r="I60" s="106">
        <f>Formulas!K16</f>
        <v>322.875</v>
      </c>
      <c r="J60" s="106">
        <f>Formulas!L16</f>
        <v>2367.75</v>
      </c>
      <c r="K60" s="106">
        <f>Formulas!M16</f>
        <v>20806.065</v>
      </c>
      <c r="L60" s="106">
        <f>Formulas!N16</f>
        <v>21042.84</v>
      </c>
      <c r="M60" s="106">
        <f>Formulas!O16</f>
        <v>21139.7025</v>
      </c>
      <c r="N60" s="106">
        <f>Formulas!P16</f>
        <v>23363.235</v>
      </c>
      <c r="O60" s="106">
        <f>Formulas!Q16</f>
        <v>24981.915</v>
      </c>
      <c r="P60" s="106">
        <f>Formulas!R16</f>
        <v>43943.2875</v>
      </c>
      <c r="Q60" s="106">
        <f>Formulas!S16</f>
        <v>58756.7925</v>
      </c>
      <c r="R60" s="106">
        <f>Formulas!T16</f>
        <v>85015.14</v>
      </c>
      <c r="S60" s="106">
        <f>Formulas!U16</f>
        <v>85269.135</v>
      </c>
      <c r="T60" s="106">
        <f>Formulas!V16</f>
        <v>188705.37</v>
      </c>
      <c r="U60" s="106">
        <f>Formulas!W16</f>
        <v>189073.4475</v>
      </c>
      <c r="V60" s="106">
        <f>Formulas!X16</f>
        <v>225818.775</v>
      </c>
      <c r="W60" s="106">
        <f>Formulas!Y16</f>
        <v>226320.3075</v>
      </c>
      <c r="X60" s="106">
        <f>Formulas!Z16</f>
        <v>226811.0775</v>
      </c>
      <c r="Y60" s="106">
        <f>Formulas!AA16</f>
        <v>227325.525</v>
      </c>
      <c r="Z60" s="106">
        <f>Formulas!AB16</f>
        <v>227839.9725</v>
      </c>
      <c r="AA60" s="106">
        <f>Formulas!AC16</f>
        <v>262785.81</v>
      </c>
      <c r="AB60" s="106">
        <f>Formulas!AD16</f>
        <v>263336.85</v>
      </c>
      <c r="AC60" s="106">
        <f>Formulas!AE16</f>
        <v>270338.9325</v>
      </c>
      <c r="AD60" s="106">
        <f>Formulas!AF16</f>
        <v>270948.09</v>
      </c>
      <c r="AE60" s="106">
        <f>Formulas!AG16</f>
        <v>271568.01</v>
      </c>
      <c r="AF60" s="106">
        <f>Formulas!AH16</f>
        <v>272172.8625</v>
      </c>
      <c r="AG60" s="106">
        <f>Formulas!AI16</f>
        <v>272790.63</v>
      </c>
      <c r="AH60" s="106">
        <f>Formulas!AJ16</f>
        <v>273414.855</v>
      </c>
      <c r="AI60" s="106">
        <f>Formulas!AK16</f>
        <v>274041.2325</v>
      </c>
      <c r="AJ60" s="106">
        <f>Formulas!AL16</f>
        <v>274663.305</v>
      </c>
      <c r="AK60" s="106">
        <f>Formulas!AM16</f>
        <v>275291.835</v>
      </c>
      <c r="AL60" s="106">
        <f>Formulas!AN16</f>
        <v>275933.28</v>
      </c>
      <c r="AM60" s="106">
        <f>Formulas!AO16</f>
        <v>276559.6575</v>
      </c>
      <c r="AN60" s="106">
        <f>Formulas!AP16</f>
        <v>277205.4075</v>
      </c>
      <c r="AO60" s="106">
        <f>Formulas!AQ16</f>
        <v>277851.1575</v>
      </c>
      <c r="AP60" s="106">
        <f>Formulas!AR16</f>
        <v>278490.45</v>
      </c>
      <c r="AQ60" s="106">
        <f>Formulas!AS16</f>
        <v>279146.9625</v>
      </c>
      <c r="AR60" s="106">
        <f>Formulas!AT16</f>
        <v>279799.17</v>
      </c>
      <c r="AS60" s="106">
        <f>Formulas!AU16</f>
        <v>280451.3775</v>
      </c>
      <c r="AT60" s="106">
        <f>Formulas!AV16</f>
        <v>281116.5</v>
      </c>
      <c r="AU60" s="106">
        <f>Formulas!AW16</f>
        <v>281773.0125</v>
      </c>
      <c r="AV60" s="106">
        <f>Formulas!AX16</f>
        <v>282446.745</v>
      </c>
      <c r="AW60" s="106">
        <f>Formulas!AY16</f>
        <v>283118.325</v>
      </c>
      <c r="AX60" s="106">
        <f>Formulas!AZ16</f>
        <v>283783.4475</v>
      </c>
      <c r="AY60" s="106">
        <f>Formulas!BA16</f>
        <v>284463.6375</v>
      </c>
      <c r="AZ60" s="106">
        <f>Formulas!BB16</f>
        <v>285150.285</v>
      </c>
      <c r="BA60" s="106">
        <f>Formulas!BC16</f>
        <v>285826.17</v>
      </c>
      <c r="BB60" s="106">
        <f>Formulas!BD16</f>
        <v>286514.97</v>
      </c>
      <c r="BC60" s="106">
        <f>Formulas!BE16</f>
        <v>287208.075</v>
      </c>
      <c r="BD60" s="106">
        <f>Formulas!BF16</f>
        <v>287905.485</v>
      </c>
      <c r="BE60" s="106">
        <f>Formulas!BG16</f>
        <v>288607.2</v>
      </c>
      <c r="BF60" s="106">
        <f>Formulas!BH16</f>
        <v>289308.915</v>
      </c>
      <c r="BG60" s="106">
        <f>Formulas!BI16</f>
        <v>290014.935</v>
      </c>
      <c r="BH60" s="106">
        <f>Formulas!BJ16</f>
        <v>290729.565</v>
      </c>
      <c r="BI60" s="106">
        <f>Formulas!BK16</f>
        <v>291444.195</v>
      </c>
      <c r="BJ60" s="106">
        <f>Formulas!BL16</f>
        <v>292167.435</v>
      </c>
      <c r="BK60" s="106">
        <f>Formulas!BM16</f>
        <v>292882.065</v>
      </c>
      <c r="BL60" s="106">
        <f>Formulas!BN16</f>
        <v>293607.4575</v>
      </c>
      <c r="BM60" s="106">
        <f>Formulas!BO16</f>
        <v>294339.3075</v>
      </c>
      <c r="BN60" s="106">
        <f>Formulas!BP16</f>
        <v>295079.7675</v>
      </c>
      <c r="BO60" s="106">
        <f>Formulas!BQ16</f>
        <v>295815.9225</v>
      </c>
      <c r="BP60" s="106">
        <f>Formulas!BR16</f>
        <v>296560.6875</v>
      </c>
      <c r="BQ60" s="106">
        <f>Formulas!BS16</f>
        <v>297307.605</v>
      </c>
      <c r="BR60" s="106">
        <f>Formulas!BT16</f>
        <v>298063.1325</v>
      </c>
      <c r="BS60" s="106">
        <f>Formulas!BU16</f>
        <v>298816.5075</v>
      </c>
      <c r="BT60" s="106">
        <f>Formulas!BV16</f>
        <v>299576.34</v>
      </c>
      <c r="BU60" s="106">
        <f>Formulas!BW16</f>
        <v>300342.63</v>
      </c>
      <c r="BV60" s="106">
        <f>Formulas!BX16</f>
        <v>301111.0725</v>
      </c>
      <c r="BW60" s="67"/>
    </row>
    <row r="61">
      <c r="A61" s="41" t="s">
        <v>248</v>
      </c>
      <c r="B61" s="41"/>
      <c r="C61" s="41">
        <v>0.0</v>
      </c>
      <c r="D61" s="41">
        <v>0.0</v>
      </c>
      <c r="E61" s="41">
        <v>0.0</v>
      </c>
      <c r="F61" s="41">
        <v>0.0</v>
      </c>
      <c r="G61" s="77">
        <v>30.0</v>
      </c>
      <c r="H61" s="41">
        <f t="shared" ref="H61:BS61" si="13">G61</f>
        <v>30</v>
      </c>
      <c r="I61" s="41">
        <f t="shared" si="13"/>
        <v>30</v>
      </c>
      <c r="J61" s="41">
        <f t="shared" si="13"/>
        <v>30</v>
      </c>
      <c r="K61" s="41">
        <f t="shared" si="13"/>
        <v>30</v>
      </c>
      <c r="L61" s="41">
        <f t="shared" si="13"/>
        <v>30</v>
      </c>
      <c r="M61" s="41">
        <f t="shared" si="13"/>
        <v>30</v>
      </c>
      <c r="N61" s="41">
        <f t="shared" si="13"/>
        <v>30</v>
      </c>
      <c r="O61" s="41">
        <f t="shared" si="13"/>
        <v>30</v>
      </c>
      <c r="P61" s="41">
        <f t="shared" si="13"/>
        <v>30</v>
      </c>
      <c r="Q61" s="41">
        <f t="shared" si="13"/>
        <v>30</v>
      </c>
      <c r="R61" s="41">
        <f t="shared" si="13"/>
        <v>30</v>
      </c>
      <c r="S61" s="41">
        <f t="shared" si="13"/>
        <v>30</v>
      </c>
      <c r="T61" s="41">
        <f t="shared" si="13"/>
        <v>30</v>
      </c>
      <c r="U61" s="41">
        <f t="shared" si="13"/>
        <v>30</v>
      </c>
      <c r="V61" s="41">
        <f t="shared" si="13"/>
        <v>30</v>
      </c>
      <c r="W61" s="41">
        <f t="shared" si="13"/>
        <v>30</v>
      </c>
      <c r="X61" s="41">
        <f t="shared" si="13"/>
        <v>30</v>
      </c>
      <c r="Y61" s="41">
        <f t="shared" si="13"/>
        <v>30</v>
      </c>
      <c r="Z61" s="41">
        <f t="shared" si="13"/>
        <v>30</v>
      </c>
      <c r="AA61" s="41">
        <f t="shared" si="13"/>
        <v>30</v>
      </c>
      <c r="AB61" s="41">
        <f t="shared" si="13"/>
        <v>30</v>
      </c>
      <c r="AC61" s="41">
        <f t="shared" si="13"/>
        <v>30</v>
      </c>
      <c r="AD61" s="41">
        <f t="shared" si="13"/>
        <v>30</v>
      </c>
      <c r="AE61" s="41">
        <f t="shared" si="13"/>
        <v>30</v>
      </c>
      <c r="AF61" s="41">
        <f t="shared" si="13"/>
        <v>30</v>
      </c>
      <c r="AG61" s="41">
        <f t="shared" si="13"/>
        <v>30</v>
      </c>
      <c r="AH61" s="41">
        <f t="shared" si="13"/>
        <v>30</v>
      </c>
      <c r="AI61" s="41">
        <f t="shared" si="13"/>
        <v>30</v>
      </c>
      <c r="AJ61" s="41">
        <f t="shared" si="13"/>
        <v>30</v>
      </c>
      <c r="AK61" s="41">
        <f t="shared" si="13"/>
        <v>30</v>
      </c>
      <c r="AL61" s="41">
        <f t="shared" si="13"/>
        <v>30</v>
      </c>
      <c r="AM61" s="41">
        <f t="shared" si="13"/>
        <v>30</v>
      </c>
      <c r="AN61" s="41">
        <f t="shared" si="13"/>
        <v>30</v>
      </c>
      <c r="AO61" s="41">
        <f t="shared" si="13"/>
        <v>30</v>
      </c>
      <c r="AP61" s="41">
        <f t="shared" si="13"/>
        <v>30</v>
      </c>
      <c r="AQ61" s="41">
        <f t="shared" si="13"/>
        <v>30</v>
      </c>
      <c r="AR61" s="41">
        <f t="shared" si="13"/>
        <v>30</v>
      </c>
      <c r="AS61" s="41">
        <f t="shared" si="13"/>
        <v>30</v>
      </c>
      <c r="AT61" s="41">
        <f t="shared" si="13"/>
        <v>30</v>
      </c>
      <c r="AU61" s="41">
        <f t="shared" si="13"/>
        <v>30</v>
      </c>
      <c r="AV61" s="41">
        <f t="shared" si="13"/>
        <v>30</v>
      </c>
      <c r="AW61" s="41">
        <f t="shared" si="13"/>
        <v>30</v>
      </c>
      <c r="AX61" s="41">
        <f t="shared" si="13"/>
        <v>30</v>
      </c>
      <c r="AY61" s="41">
        <f t="shared" si="13"/>
        <v>30</v>
      </c>
      <c r="AZ61" s="41">
        <f t="shared" si="13"/>
        <v>30</v>
      </c>
      <c r="BA61" s="41">
        <f t="shared" si="13"/>
        <v>30</v>
      </c>
      <c r="BB61" s="41">
        <f t="shared" si="13"/>
        <v>30</v>
      </c>
      <c r="BC61" s="41">
        <f t="shared" si="13"/>
        <v>30</v>
      </c>
      <c r="BD61" s="41">
        <f t="shared" si="13"/>
        <v>30</v>
      </c>
      <c r="BE61" s="41">
        <f t="shared" si="13"/>
        <v>30</v>
      </c>
      <c r="BF61" s="41">
        <f t="shared" si="13"/>
        <v>30</v>
      </c>
      <c r="BG61" s="41">
        <f t="shared" si="13"/>
        <v>30</v>
      </c>
      <c r="BH61" s="41">
        <f t="shared" si="13"/>
        <v>30</v>
      </c>
      <c r="BI61" s="41">
        <f t="shared" si="13"/>
        <v>30</v>
      </c>
      <c r="BJ61" s="41">
        <f t="shared" si="13"/>
        <v>30</v>
      </c>
      <c r="BK61" s="41">
        <f t="shared" si="13"/>
        <v>30</v>
      </c>
      <c r="BL61" s="41">
        <f t="shared" si="13"/>
        <v>30</v>
      </c>
      <c r="BM61" s="41">
        <f t="shared" si="13"/>
        <v>30</v>
      </c>
      <c r="BN61" s="41">
        <f t="shared" si="13"/>
        <v>30</v>
      </c>
      <c r="BO61" s="41">
        <f t="shared" si="13"/>
        <v>30</v>
      </c>
      <c r="BP61" s="41">
        <f t="shared" si="13"/>
        <v>30</v>
      </c>
      <c r="BQ61" s="41">
        <f t="shared" si="13"/>
        <v>30</v>
      </c>
      <c r="BR61" s="41">
        <f t="shared" si="13"/>
        <v>30</v>
      </c>
      <c r="BS61" s="41">
        <f t="shared" si="13"/>
        <v>30</v>
      </c>
      <c r="BT61" s="77">
        <v>30.0</v>
      </c>
      <c r="BU61" s="77">
        <v>30.0</v>
      </c>
      <c r="BV61" s="77">
        <v>30.0</v>
      </c>
      <c r="BW61" s="79"/>
    </row>
    <row r="62">
      <c r="A62" s="41" t="s">
        <v>249</v>
      </c>
      <c r="B62" s="41"/>
      <c r="C62" s="41">
        <v>0.0</v>
      </c>
      <c r="D62" s="41">
        <v>0.0</v>
      </c>
      <c r="E62" s="41">
        <v>0.0</v>
      </c>
      <c r="F62" s="41">
        <v>0.0</v>
      </c>
      <c r="G62" s="41">
        <v>0.0</v>
      </c>
      <c r="H62" s="41">
        <v>0.0</v>
      </c>
      <c r="I62" s="77">
        <v>25.0</v>
      </c>
      <c r="J62" s="41">
        <f t="shared" ref="J62:L62" si="14">I62</f>
        <v>25</v>
      </c>
      <c r="K62" s="41">
        <f t="shared" si="14"/>
        <v>25</v>
      </c>
      <c r="L62" s="41">
        <f t="shared" si="14"/>
        <v>25</v>
      </c>
      <c r="M62" s="77">
        <v>150.0</v>
      </c>
      <c r="N62" s="41">
        <f t="shared" ref="N62:BS62" si="15">M62</f>
        <v>150</v>
      </c>
      <c r="O62" s="41">
        <f t="shared" si="15"/>
        <v>150</v>
      </c>
      <c r="P62" s="41">
        <f t="shared" si="15"/>
        <v>150</v>
      </c>
      <c r="Q62" s="41">
        <f t="shared" si="15"/>
        <v>150</v>
      </c>
      <c r="R62" s="41">
        <f t="shared" si="15"/>
        <v>150</v>
      </c>
      <c r="S62" s="41">
        <f t="shared" si="15"/>
        <v>150</v>
      </c>
      <c r="T62" s="41">
        <f t="shared" si="15"/>
        <v>150</v>
      </c>
      <c r="U62" s="41">
        <f t="shared" si="15"/>
        <v>150</v>
      </c>
      <c r="V62" s="41">
        <f t="shared" si="15"/>
        <v>150</v>
      </c>
      <c r="W62" s="41">
        <f t="shared" si="15"/>
        <v>150</v>
      </c>
      <c r="X62" s="41">
        <f t="shared" si="15"/>
        <v>150</v>
      </c>
      <c r="Y62" s="41">
        <f t="shared" si="15"/>
        <v>150</v>
      </c>
      <c r="Z62" s="41">
        <f t="shared" si="15"/>
        <v>150</v>
      </c>
      <c r="AA62" s="41">
        <f t="shared" si="15"/>
        <v>150</v>
      </c>
      <c r="AB62" s="41">
        <f t="shared" si="15"/>
        <v>150</v>
      </c>
      <c r="AC62" s="41">
        <f t="shared" si="15"/>
        <v>150</v>
      </c>
      <c r="AD62" s="41">
        <f t="shared" si="15"/>
        <v>150</v>
      </c>
      <c r="AE62" s="41">
        <f t="shared" si="15"/>
        <v>150</v>
      </c>
      <c r="AF62" s="41">
        <f t="shared" si="15"/>
        <v>150</v>
      </c>
      <c r="AG62" s="41">
        <f t="shared" si="15"/>
        <v>150</v>
      </c>
      <c r="AH62" s="41">
        <f t="shared" si="15"/>
        <v>150</v>
      </c>
      <c r="AI62" s="41">
        <f t="shared" si="15"/>
        <v>150</v>
      </c>
      <c r="AJ62" s="41">
        <f t="shared" si="15"/>
        <v>150</v>
      </c>
      <c r="AK62" s="41">
        <f t="shared" si="15"/>
        <v>150</v>
      </c>
      <c r="AL62" s="41">
        <f t="shared" si="15"/>
        <v>150</v>
      </c>
      <c r="AM62" s="41">
        <f t="shared" si="15"/>
        <v>150</v>
      </c>
      <c r="AN62" s="41">
        <f t="shared" si="15"/>
        <v>150</v>
      </c>
      <c r="AO62" s="41">
        <f t="shared" si="15"/>
        <v>150</v>
      </c>
      <c r="AP62" s="41">
        <f t="shared" si="15"/>
        <v>150</v>
      </c>
      <c r="AQ62" s="41">
        <f t="shared" si="15"/>
        <v>150</v>
      </c>
      <c r="AR62" s="41">
        <f t="shared" si="15"/>
        <v>150</v>
      </c>
      <c r="AS62" s="41">
        <f t="shared" si="15"/>
        <v>150</v>
      </c>
      <c r="AT62" s="41">
        <f t="shared" si="15"/>
        <v>150</v>
      </c>
      <c r="AU62" s="41">
        <f t="shared" si="15"/>
        <v>150</v>
      </c>
      <c r="AV62" s="41">
        <f t="shared" si="15"/>
        <v>150</v>
      </c>
      <c r="AW62" s="41">
        <f t="shared" si="15"/>
        <v>150</v>
      </c>
      <c r="AX62" s="41">
        <f t="shared" si="15"/>
        <v>150</v>
      </c>
      <c r="AY62" s="41">
        <f t="shared" si="15"/>
        <v>150</v>
      </c>
      <c r="AZ62" s="41">
        <f t="shared" si="15"/>
        <v>150</v>
      </c>
      <c r="BA62" s="41">
        <f t="shared" si="15"/>
        <v>150</v>
      </c>
      <c r="BB62" s="41">
        <f t="shared" si="15"/>
        <v>150</v>
      </c>
      <c r="BC62" s="41">
        <f t="shared" si="15"/>
        <v>150</v>
      </c>
      <c r="BD62" s="41">
        <f t="shared" si="15"/>
        <v>150</v>
      </c>
      <c r="BE62" s="41">
        <f t="shared" si="15"/>
        <v>150</v>
      </c>
      <c r="BF62" s="41">
        <f t="shared" si="15"/>
        <v>150</v>
      </c>
      <c r="BG62" s="41">
        <f t="shared" si="15"/>
        <v>150</v>
      </c>
      <c r="BH62" s="41">
        <f t="shared" si="15"/>
        <v>150</v>
      </c>
      <c r="BI62" s="41">
        <f t="shared" si="15"/>
        <v>150</v>
      </c>
      <c r="BJ62" s="41">
        <f t="shared" si="15"/>
        <v>150</v>
      </c>
      <c r="BK62" s="41">
        <f t="shared" si="15"/>
        <v>150</v>
      </c>
      <c r="BL62" s="41">
        <f t="shared" si="15"/>
        <v>150</v>
      </c>
      <c r="BM62" s="41">
        <f t="shared" si="15"/>
        <v>150</v>
      </c>
      <c r="BN62" s="41">
        <f t="shared" si="15"/>
        <v>150</v>
      </c>
      <c r="BO62" s="41">
        <f t="shared" si="15"/>
        <v>150</v>
      </c>
      <c r="BP62" s="41">
        <f t="shared" si="15"/>
        <v>150</v>
      </c>
      <c r="BQ62" s="41">
        <f t="shared" si="15"/>
        <v>150</v>
      </c>
      <c r="BR62" s="41">
        <f t="shared" si="15"/>
        <v>150</v>
      </c>
      <c r="BS62" s="41">
        <f t="shared" si="15"/>
        <v>150</v>
      </c>
      <c r="BT62" s="77">
        <v>25.0</v>
      </c>
      <c r="BU62" s="77">
        <v>25.0</v>
      </c>
      <c r="BV62" s="77">
        <v>25.0</v>
      </c>
      <c r="BW62" s="79"/>
    </row>
    <row r="63">
      <c r="A63" s="41" t="s">
        <v>250</v>
      </c>
      <c r="B63" s="41"/>
      <c r="C63" s="41">
        <v>0.0</v>
      </c>
      <c r="D63" s="41">
        <v>0.0</v>
      </c>
      <c r="E63" s="41">
        <v>0.0</v>
      </c>
      <c r="F63" s="41">
        <v>0.0</v>
      </c>
      <c r="G63" s="41">
        <v>0.0</v>
      </c>
      <c r="H63" s="41">
        <v>0.0</v>
      </c>
      <c r="I63" s="77">
        <v>100.0</v>
      </c>
      <c r="J63" s="41">
        <f t="shared" ref="J63:K63" si="16">I63</f>
        <v>100</v>
      </c>
      <c r="K63" s="41">
        <f t="shared" si="16"/>
        <v>100</v>
      </c>
      <c r="L63" s="77">
        <v>1000.0</v>
      </c>
      <c r="M63" s="41">
        <f t="shared" ref="M63:BV63" si="17">L63</f>
        <v>1000</v>
      </c>
      <c r="N63" s="41">
        <f t="shared" si="17"/>
        <v>1000</v>
      </c>
      <c r="O63" s="41">
        <f t="shared" si="17"/>
        <v>1000</v>
      </c>
      <c r="P63" s="41">
        <f t="shared" si="17"/>
        <v>1000</v>
      </c>
      <c r="Q63" s="41">
        <f t="shared" si="17"/>
        <v>1000</v>
      </c>
      <c r="R63" s="41">
        <f t="shared" si="17"/>
        <v>1000</v>
      </c>
      <c r="S63" s="41">
        <f t="shared" si="17"/>
        <v>1000</v>
      </c>
      <c r="T63" s="41">
        <f t="shared" si="17"/>
        <v>1000</v>
      </c>
      <c r="U63" s="41">
        <f t="shared" si="17"/>
        <v>1000</v>
      </c>
      <c r="V63" s="41">
        <f t="shared" si="17"/>
        <v>1000</v>
      </c>
      <c r="W63" s="41">
        <f t="shared" si="17"/>
        <v>1000</v>
      </c>
      <c r="X63" s="41">
        <f t="shared" si="17"/>
        <v>1000</v>
      </c>
      <c r="Y63" s="41">
        <f t="shared" si="17"/>
        <v>1000</v>
      </c>
      <c r="Z63" s="41">
        <f t="shared" si="17"/>
        <v>1000</v>
      </c>
      <c r="AA63" s="41">
        <f t="shared" si="17"/>
        <v>1000</v>
      </c>
      <c r="AB63" s="41">
        <f t="shared" si="17"/>
        <v>1000</v>
      </c>
      <c r="AC63" s="41">
        <f t="shared" si="17"/>
        <v>1000</v>
      </c>
      <c r="AD63" s="41">
        <f t="shared" si="17"/>
        <v>1000</v>
      </c>
      <c r="AE63" s="41">
        <f t="shared" si="17"/>
        <v>1000</v>
      </c>
      <c r="AF63" s="41">
        <f t="shared" si="17"/>
        <v>1000</v>
      </c>
      <c r="AG63" s="41">
        <f t="shared" si="17"/>
        <v>1000</v>
      </c>
      <c r="AH63" s="41">
        <f t="shared" si="17"/>
        <v>1000</v>
      </c>
      <c r="AI63" s="41">
        <f t="shared" si="17"/>
        <v>1000</v>
      </c>
      <c r="AJ63" s="41">
        <f t="shared" si="17"/>
        <v>1000</v>
      </c>
      <c r="AK63" s="41">
        <f t="shared" si="17"/>
        <v>1000</v>
      </c>
      <c r="AL63" s="41">
        <f t="shared" si="17"/>
        <v>1000</v>
      </c>
      <c r="AM63" s="41">
        <f t="shared" si="17"/>
        <v>1000</v>
      </c>
      <c r="AN63" s="41">
        <f t="shared" si="17"/>
        <v>1000</v>
      </c>
      <c r="AO63" s="41">
        <f t="shared" si="17"/>
        <v>1000</v>
      </c>
      <c r="AP63" s="41">
        <f t="shared" si="17"/>
        <v>1000</v>
      </c>
      <c r="AQ63" s="41">
        <f t="shared" si="17"/>
        <v>1000</v>
      </c>
      <c r="AR63" s="41">
        <f t="shared" si="17"/>
        <v>1000</v>
      </c>
      <c r="AS63" s="41">
        <f t="shared" si="17"/>
        <v>1000</v>
      </c>
      <c r="AT63" s="41">
        <f t="shared" si="17"/>
        <v>1000</v>
      </c>
      <c r="AU63" s="41">
        <f t="shared" si="17"/>
        <v>1000</v>
      </c>
      <c r="AV63" s="41">
        <f t="shared" si="17"/>
        <v>1000</v>
      </c>
      <c r="AW63" s="41">
        <f t="shared" si="17"/>
        <v>1000</v>
      </c>
      <c r="AX63" s="41">
        <f t="shared" si="17"/>
        <v>1000</v>
      </c>
      <c r="AY63" s="41">
        <f t="shared" si="17"/>
        <v>1000</v>
      </c>
      <c r="AZ63" s="41">
        <f t="shared" si="17"/>
        <v>1000</v>
      </c>
      <c r="BA63" s="41">
        <f t="shared" si="17"/>
        <v>1000</v>
      </c>
      <c r="BB63" s="41">
        <f t="shared" si="17"/>
        <v>1000</v>
      </c>
      <c r="BC63" s="41">
        <f t="shared" si="17"/>
        <v>1000</v>
      </c>
      <c r="BD63" s="41">
        <f t="shared" si="17"/>
        <v>1000</v>
      </c>
      <c r="BE63" s="41">
        <f t="shared" si="17"/>
        <v>1000</v>
      </c>
      <c r="BF63" s="41">
        <f t="shared" si="17"/>
        <v>1000</v>
      </c>
      <c r="BG63" s="41">
        <f t="shared" si="17"/>
        <v>1000</v>
      </c>
      <c r="BH63" s="41">
        <f t="shared" si="17"/>
        <v>1000</v>
      </c>
      <c r="BI63" s="41">
        <f t="shared" si="17"/>
        <v>1000</v>
      </c>
      <c r="BJ63" s="41">
        <f t="shared" si="17"/>
        <v>1000</v>
      </c>
      <c r="BK63" s="41">
        <f t="shared" si="17"/>
        <v>1000</v>
      </c>
      <c r="BL63" s="41">
        <f t="shared" si="17"/>
        <v>1000</v>
      </c>
      <c r="BM63" s="41">
        <f t="shared" si="17"/>
        <v>1000</v>
      </c>
      <c r="BN63" s="41">
        <f t="shared" si="17"/>
        <v>1000</v>
      </c>
      <c r="BO63" s="41">
        <f t="shared" si="17"/>
        <v>1000</v>
      </c>
      <c r="BP63" s="41">
        <f t="shared" si="17"/>
        <v>1000</v>
      </c>
      <c r="BQ63" s="41">
        <f t="shared" si="17"/>
        <v>1000</v>
      </c>
      <c r="BR63" s="41">
        <f t="shared" si="17"/>
        <v>1000</v>
      </c>
      <c r="BS63" s="41">
        <f t="shared" si="17"/>
        <v>1000</v>
      </c>
      <c r="BT63" s="41">
        <f t="shared" si="17"/>
        <v>1000</v>
      </c>
      <c r="BU63" s="41">
        <f t="shared" si="17"/>
        <v>1000</v>
      </c>
      <c r="BV63" s="41">
        <f t="shared" si="17"/>
        <v>1000</v>
      </c>
      <c r="BW63" s="67"/>
    </row>
    <row r="64">
      <c r="A64" s="41" t="s">
        <v>251</v>
      </c>
      <c r="B64" s="41"/>
      <c r="C64" s="41">
        <v>0.0</v>
      </c>
      <c r="D64" s="77">
        <v>50.0</v>
      </c>
      <c r="E64" s="77">
        <v>50.0</v>
      </c>
      <c r="F64" s="77">
        <v>50.0</v>
      </c>
      <c r="G64" s="77">
        <v>50.0</v>
      </c>
      <c r="H64" s="77">
        <v>50.0</v>
      </c>
      <c r="I64" s="77">
        <v>400.0</v>
      </c>
      <c r="J64" s="41">
        <f t="shared" ref="J64:BS64" si="18">I64</f>
        <v>400</v>
      </c>
      <c r="K64" s="41">
        <f t="shared" si="18"/>
        <v>400</v>
      </c>
      <c r="L64" s="41">
        <f t="shared" si="18"/>
        <v>400</v>
      </c>
      <c r="M64" s="41">
        <f t="shared" si="18"/>
        <v>400</v>
      </c>
      <c r="N64" s="41">
        <f t="shared" si="18"/>
        <v>400</v>
      </c>
      <c r="O64" s="41">
        <f t="shared" si="18"/>
        <v>400</v>
      </c>
      <c r="P64" s="41">
        <f t="shared" si="18"/>
        <v>400</v>
      </c>
      <c r="Q64" s="41">
        <f t="shared" si="18"/>
        <v>400</v>
      </c>
      <c r="R64" s="41">
        <f t="shared" si="18"/>
        <v>400</v>
      </c>
      <c r="S64" s="41">
        <f t="shared" si="18"/>
        <v>400</v>
      </c>
      <c r="T64" s="41">
        <f t="shared" si="18"/>
        <v>400</v>
      </c>
      <c r="U64" s="41">
        <f t="shared" si="18"/>
        <v>400</v>
      </c>
      <c r="V64" s="41">
        <f t="shared" si="18"/>
        <v>400</v>
      </c>
      <c r="W64" s="41">
        <f t="shared" si="18"/>
        <v>400</v>
      </c>
      <c r="X64" s="41">
        <f t="shared" si="18"/>
        <v>400</v>
      </c>
      <c r="Y64" s="41">
        <f t="shared" si="18"/>
        <v>400</v>
      </c>
      <c r="Z64" s="41">
        <f t="shared" si="18"/>
        <v>400</v>
      </c>
      <c r="AA64" s="41">
        <f t="shared" si="18"/>
        <v>400</v>
      </c>
      <c r="AB64" s="41">
        <f t="shared" si="18"/>
        <v>400</v>
      </c>
      <c r="AC64" s="41">
        <f t="shared" si="18"/>
        <v>400</v>
      </c>
      <c r="AD64" s="41">
        <f t="shared" si="18"/>
        <v>400</v>
      </c>
      <c r="AE64" s="41">
        <f t="shared" si="18"/>
        <v>400</v>
      </c>
      <c r="AF64" s="41">
        <f t="shared" si="18"/>
        <v>400</v>
      </c>
      <c r="AG64" s="41">
        <f t="shared" si="18"/>
        <v>400</v>
      </c>
      <c r="AH64" s="41">
        <f t="shared" si="18"/>
        <v>400</v>
      </c>
      <c r="AI64" s="41">
        <f t="shared" si="18"/>
        <v>400</v>
      </c>
      <c r="AJ64" s="41">
        <f t="shared" si="18"/>
        <v>400</v>
      </c>
      <c r="AK64" s="41">
        <f t="shared" si="18"/>
        <v>400</v>
      </c>
      <c r="AL64" s="41">
        <f t="shared" si="18"/>
        <v>400</v>
      </c>
      <c r="AM64" s="41">
        <f t="shared" si="18"/>
        <v>400</v>
      </c>
      <c r="AN64" s="41">
        <f t="shared" si="18"/>
        <v>400</v>
      </c>
      <c r="AO64" s="41">
        <f t="shared" si="18"/>
        <v>400</v>
      </c>
      <c r="AP64" s="41">
        <f t="shared" si="18"/>
        <v>400</v>
      </c>
      <c r="AQ64" s="41">
        <f t="shared" si="18"/>
        <v>400</v>
      </c>
      <c r="AR64" s="41">
        <f t="shared" si="18"/>
        <v>400</v>
      </c>
      <c r="AS64" s="41">
        <f t="shared" si="18"/>
        <v>400</v>
      </c>
      <c r="AT64" s="41">
        <f t="shared" si="18"/>
        <v>400</v>
      </c>
      <c r="AU64" s="41">
        <f t="shared" si="18"/>
        <v>400</v>
      </c>
      <c r="AV64" s="41">
        <f t="shared" si="18"/>
        <v>400</v>
      </c>
      <c r="AW64" s="41">
        <f t="shared" si="18"/>
        <v>400</v>
      </c>
      <c r="AX64" s="41">
        <f t="shared" si="18"/>
        <v>400</v>
      </c>
      <c r="AY64" s="41">
        <f t="shared" si="18"/>
        <v>400</v>
      </c>
      <c r="AZ64" s="41">
        <f t="shared" si="18"/>
        <v>400</v>
      </c>
      <c r="BA64" s="41">
        <f t="shared" si="18"/>
        <v>400</v>
      </c>
      <c r="BB64" s="41">
        <f t="shared" si="18"/>
        <v>400</v>
      </c>
      <c r="BC64" s="41">
        <f t="shared" si="18"/>
        <v>400</v>
      </c>
      <c r="BD64" s="41">
        <f t="shared" si="18"/>
        <v>400</v>
      </c>
      <c r="BE64" s="41">
        <f t="shared" si="18"/>
        <v>400</v>
      </c>
      <c r="BF64" s="41">
        <f t="shared" si="18"/>
        <v>400</v>
      </c>
      <c r="BG64" s="41">
        <f t="shared" si="18"/>
        <v>400</v>
      </c>
      <c r="BH64" s="41">
        <f t="shared" si="18"/>
        <v>400</v>
      </c>
      <c r="BI64" s="41">
        <f t="shared" si="18"/>
        <v>400</v>
      </c>
      <c r="BJ64" s="41">
        <f t="shared" si="18"/>
        <v>400</v>
      </c>
      <c r="BK64" s="41">
        <f t="shared" si="18"/>
        <v>400</v>
      </c>
      <c r="BL64" s="41">
        <f t="shared" si="18"/>
        <v>400</v>
      </c>
      <c r="BM64" s="41">
        <f t="shared" si="18"/>
        <v>400</v>
      </c>
      <c r="BN64" s="41">
        <f t="shared" si="18"/>
        <v>400</v>
      </c>
      <c r="BO64" s="41">
        <f t="shared" si="18"/>
        <v>400</v>
      </c>
      <c r="BP64" s="41">
        <f t="shared" si="18"/>
        <v>400</v>
      </c>
      <c r="BQ64" s="41">
        <f t="shared" si="18"/>
        <v>400</v>
      </c>
      <c r="BR64" s="41">
        <f t="shared" si="18"/>
        <v>400</v>
      </c>
      <c r="BS64" s="41">
        <f t="shared" si="18"/>
        <v>400</v>
      </c>
      <c r="BT64" s="77">
        <v>50.0</v>
      </c>
      <c r="BU64" s="77">
        <v>50.0</v>
      </c>
      <c r="BV64" s="77">
        <v>50.0</v>
      </c>
      <c r="BW64" s="79"/>
    </row>
    <row r="65">
      <c r="A65" s="41" t="s">
        <v>252</v>
      </c>
      <c r="B65" s="41"/>
      <c r="C65" s="41">
        <v>0.0</v>
      </c>
      <c r="D65" s="77">
        <v>0.0</v>
      </c>
      <c r="E65" s="77">
        <v>0.0</v>
      </c>
      <c r="F65" s="77">
        <v>0.0</v>
      </c>
      <c r="G65" s="77">
        <v>0.0</v>
      </c>
      <c r="H65" s="77">
        <v>0.0</v>
      </c>
      <c r="I65" s="77">
        <v>75.0</v>
      </c>
      <c r="J65" s="41">
        <f t="shared" ref="J65:BV65" si="19">I65</f>
        <v>75</v>
      </c>
      <c r="K65" s="41">
        <f t="shared" si="19"/>
        <v>75</v>
      </c>
      <c r="L65" s="41">
        <f t="shared" si="19"/>
        <v>75</v>
      </c>
      <c r="M65" s="41">
        <f t="shared" si="19"/>
        <v>75</v>
      </c>
      <c r="N65" s="41">
        <f t="shared" si="19"/>
        <v>75</v>
      </c>
      <c r="O65" s="41">
        <f t="shared" si="19"/>
        <v>75</v>
      </c>
      <c r="P65" s="41">
        <f t="shared" si="19"/>
        <v>75</v>
      </c>
      <c r="Q65" s="41">
        <f t="shared" si="19"/>
        <v>75</v>
      </c>
      <c r="R65" s="41">
        <f t="shared" si="19"/>
        <v>75</v>
      </c>
      <c r="S65" s="41">
        <f t="shared" si="19"/>
        <v>75</v>
      </c>
      <c r="T65" s="41">
        <f t="shared" si="19"/>
        <v>75</v>
      </c>
      <c r="U65" s="41">
        <f t="shared" si="19"/>
        <v>75</v>
      </c>
      <c r="V65" s="41">
        <f t="shared" si="19"/>
        <v>75</v>
      </c>
      <c r="W65" s="41">
        <f t="shared" si="19"/>
        <v>75</v>
      </c>
      <c r="X65" s="41">
        <f t="shared" si="19"/>
        <v>75</v>
      </c>
      <c r="Y65" s="41">
        <f t="shared" si="19"/>
        <v>75</v>
      </c>
      <c r="Z65" s="41">
        <f t="shared" si="19"/>
        <v>75</v>
      </c>
      <c r="AA65" s="41">
        <f t="shared" si="19"/>
        <v>75</v>
      </c>
      <c r="AB65" s="41">
        <f t="shared" si="19"/>
        <v>75</v>
      </c>
      <c r="AC65" s="41">
        <f t="shared" si="19"/>
        <v>75</v>
      </c>
      <c r="AD65" s="41">
        <f t="shared" si="19"/>
        <v>75</v>
      </c>
      <c r="AE65" s="41">
        <f t="shared" si="19"/>
        <v>75</v>
      </c>
      <c r="AF65" s="41">
        <f t="shared" si="19"/>
        <v>75</v>
      </c>
      <c r="AG65" s="41">
        <f t="shared" si="19"/>
        <v>75</v>
      </c>
      <c r="AH65" s="41">
        <f t="shared" si="19"/>
        <v>75</v>
      </c>
      <c r="AI65" s="41">
        <f t="shared" si="19"/>
        <v>75</v>
      </c>
      <c r="AJ65" s="41">
        <f t="shared" si="19"/>
        <v>75</v>
      </c>
      <c r="AK65" s="41">
        <f t="shared" si="19"/>
        <v>75</v>
      </c>
      <c r="AL65" s="41">
        <f t="shared" si="19"/>
        <v>75</v>
      </c>
      <c r="AM65" s="41">
        <f t="shared" si="19"/>
        <v>75</v>
      </c>
      <c r="AN65" s="41">
        <f t="shared" si="19"/>
        <v>75</v>
      </c>
      <c r="AO65" s="41">
        <f t="shared" si="19"/>
        <v>75</v>
      </c>
      <c r="AP65" s="41">
        <f t="shared" si="19"/>
        <v>75</v>
      </c>
      <c r="AQ65" s="41">
        <f t="shared" si="19"/>
        <v>75</v>
      </c>
      <c r="AR65" s="41">
        <f t="shared" si="19"/>
        <v>75</v>
      </c>
      <c r="AS65" s="41">
        <f t="shared" si="19"/>
        <v>75</v>
      </c>
      <c r="AT65" s="41">
        <f t="shared" si="19"/>
        <v>75</v>
      </c>
      <c r="AU65" s="41">
        <f t="shared" si="19"/>
        <v>75</v>
      </c>
      <c r="AV65" s="41">
        <f t="shared" si="19"/>
        <v>75</v>
      </c>
      <c r="AW65" s="41">
        <f t="shared" si="19"/>
        <v>75</v>
      </c>
      <c r="AX65" s="41">
        <f t="shared" si="19"/>
        <v>75</v>
      </c>
      <c r="AY65" s="41">
        <f t="shared" si="19"/>
        <v>75</v>
      </c>
      <c r="AZ65" s="41">
        <f t="shared" si="19"/>
        <v>75</v>
      </c>
      <c r="BA65" s="41">
        <f t="shared" si="19"/>
        <v>75</v>
      </c>
      <c r="BB65" s="41">
        <f t="shared" si="19"/>
        <v>75</v>
      </c>
      <c r="BC65" s="41">
        <f t="shared" si="19"/>
        <v>75</v>
      </c>
      <c r="BD65" s="41">
        <f t="shared" si="19"/>
        <v>75</v>
      </c>
      <c r="BE65" s="41">
        <f t="shared" si="19"/>
        <v>75</v>
      </c>
      <c r="BF65" s="41">
        <f t="shared" si="19"/>
        <v>75</v>
      </c>
      <c r="BG65" s="41">
        <f t="shared" si="19"/>
        <v>75</v>
      </c>
      <c r="BH65" s="41">
        <f t="shared" si="19"/>
        <v>75</v>
      </c>
      <c r="BI65" s="41">
        <f t="shared" si="19"/>
        <v>75</v>
      </c>
      <c r="BJ65" s="41">
        <f t="shared" si="19"/>
        <v>75</v>
      </c>
      <c r="BK65" s="41">
        <f t="shared" si="19"/>
        <v>75</v>
      </c>
      <c r="BL65" s="41">
        <f t="shared" si="19"/>
        <v>75</v>
      </c>
      <c r="BM65" s="41">
        <f t="shared" si="19"/>
        <v>75</v>
      </c>
      <c r="BN65" s="41">
        <f t="shared" si="19"/>
        <v>75</v>
      </c>
      <c r="BO65" s="41">
        <f t="shared" si="19"/>
        <v>75</v>
      </c>
      <c r="BP65" s="41">
        <f t="shared" si="19"/>
        <v>75</v>
      </c>
      <c r="BQ65" s="41">
        <f t="shared" si="19"/>
        <v>75</v>
      </c>
      <c r="BR65" s="41">
        <f t="shared" si="19"/>
        <v>75</v>
      </c>
      <c r="BS65" s="41">
        <f t="shared" si="19"/>
        <v>75</v>
      </c>
      <c r="BT65" s="41">
        <f t="shared" si="19"/>
        <v>75</v>
      </c>
      <c r="BU65" s="41">
        <f t="shared" si="19"/>
        <v>75</v>
      </c>
      <c r="BV65" s="41">
        <f t="shared" si="19"/>
        <v>75</v>
      </c>
      <c r="BW65" s="67"/>
    </row>
    <row r="66">
      <c r="A66" s="41" t="s">
        <v>254</v>
      </c>
      <c r="B66" s="41"/>
      <c r="C66" s="41">
        <v>0.0</v>
      </c>
      <c r="D66" s="77">
        <v>0.0</v>
      </c>
      <c r="E66" s="77">
        <v>0.0</v>
      </c>
      <c r="F66" s="77">
        <v>0.0</v>
      </c>
      <c r="G66" s="77">
        <v>0.0</v>
      </c>
      <c r="H66" s="77">
        <v>0.0</v>
      </c>
      <c r="I66" s="77">
        <v>150.0</v>
      </c>
      <c r="J66" s="41">
        <f t="shared" ref="J66:BV66" si="20">I66</f>
        <v>150</v>
      </c>
      <c r="K66" s="41">
        <f t="shared" si="20"/>
        <v>150</v>
      </c>
      <c r="L66" s="41">
        <f t="shared" si="20"/>
        <v>150</v>
      </c>
      <c r="M66" s="41">
        <f t="shared" si="20"/>
        <v>150</v>
      </c>
      <c r="N66" s="41">
        <f t="shared" si="20"/>
        <v>150</v>
      </c>
      <c r="O66" s="41">
        <f t="shared" si="20"/>
        <v>150</v>
      </c>
      <c r="P66" s="41">
        <f t="shared" si="20"/>
        <v>150</v>
      </c>
      <c r="Q66" s="41">
        <f t="shared" si="20"/>
        <v>150</v>
      </c>
      <c r="R66" s="41">
        <f t="shared" si="20"/>
        <v>150</v>
      </c>
      <c r="S66" s="41">
        <f t="shared" si="20"/>
        <v>150</v>
      </c>
      <c r="T66" s="41">
        <f t="shared" si="20"/>
        <v>150</v>
      </c>
      <c r="U66" s="41">
        <f t="shared" si="20"/>
        <v>150</v>
      </c>
      <c r="V66" s="41">
        <f t="shared" si="20"/>
        <v>150</v>
      </c>
      <c r="W66" s="41">
        <f t="shared" si="20"/>
        <v>150</v>
      </c>
      <c r="X66" s="41">
        <f t="shared" si="20"/>
        <v>150</v>
      </c>
      <c r="Y66" s="41">
        <f t="shared" si="20"/>
        <v>150</v>
      </c>
      <c r="Z66" s="41">
        <f t="shared" si="20"/>
        <v>150</v>
      </c>
      <c r="AA66" s="41">
        <f t="shared" si="20"/>
        <v>150</v>
      </c>
      <c r="AB66" s="41">
        <f t="shared" si="20"/>
        <v>150</v>
      </c>
      <c r="AC66" s="41">
        <f t="shared" si="20"/>
        <v>150</v>
      </c>
      <c r="AD66" s="41">
        <f t="shared" si="20"/>
        <v>150</v>
      </c>
      <c r="AE66" s="41">
        <f t="shared" si="20"/>
        <v>150</v>
      </c>
      <c r="AF66" s="41">
        <f t="shared" si="20"/>
        <v>150</v>
      </c>
      <c r="AG66" s="41">
        <f t="shared" si="20"/>
        <v>150</v>
      </c>
      <c r="AH66" s="41">
        <f t="shared" si="20"/>
        <v>150</v>
      </c>
      <c r="AI66" s="41">
        <f t="shared" si="20"/>
        <v>150</v>
      </c>
      <c r="AJ66" s="41">
        <f t="shared" si="20"/>
        <v>150</v>
      </c>
      <c r="AK66" s="41">
        <f t="shared" si="20"/>
        <v>150</v>
      </c>
      <c r="AL66" s="41">
        <f t="shared" si="20"/>
        <v>150</v>
      </c>
      <c r="AM66" s="41">
        <f t="shared" si="20"/>
        <v>150</v>
      </c>
      <c r="AN66" s="41">
        <f t="shared" si="20"/>
        <v>150</v>
      </c>
      <c r="AO66" s="41">
        <f t="shared" si="20"/>
        <v>150</v>
      </c>
      <c r="AP66" s="41">
        <f t="shared" si="20"/>
        <v>150</v>
      </c>
      <c r="AQ66" s="41">
        <f t="shared" si="20"/>
        <v>150</v>
      </c>
      <c r="AR66" s="41">
        <f t="shared" si="20"/>
        <v>150</v>
      </c>
      <c r="AS66" s="41">
        <f t="shared" si="20"/>
        <v>150</v>
      </c>
      <c r="AT66" s="41">
        <f t="shared" si="20"/>
        <v>150</v>
      </c>
      <c r="AU66" s="41">
        <f t="shared" si="20"/>
        <v>150</v>
      </c>
      <c r="AV66" s="41">
        <f t="shared" si="20"/>
        <v>150</v>
      </c>
      <c r="AW66" s="41">
        <f t="shared" si="20"/>
        <v>150</v>
      </c>
      <c r="AX66" s="41">
        <f t="shared" si="20"/>
        <v>150</v>
      </c>
      <c r="AY66" s="41">
        <f t="shared" si="20"/>
        <v>150</v>
      </c>
      <c r="AZ66" s="41">
        <f t="shared" si="20"/>
        <v>150</v>
      </c>
      <c r="BA66" s="41">
        <f t="shared" si="20"/>
        <v>150</v>
      </c>
      <c r="BB66" s="41">
        <f t="shared" si="20"/>
        <v>150</v>
      </c>
      <c r="BC66" s="41">
        <f t="shared" si="20"/>
        <v>150</v>
      </c>
      <c r="BD66" s="41">
        <f t="shared" si="20"/>
        <v>150</v>
      </c>
      <c r="BE66" s="41">
        <f t="shared" si="20"/>
        <v>150</v>
      </c>
      <c r="BF66" s="41">
        <f t="shared" si="20"/>
        <v>150</v>
      </c>
      <c r="BG66" s="41">
        <f t="shared" si="20"/>
        <v>150</v>
      </c>
      <c r="BH66" s="41">
        <f t="shared" si="20"/>
        <v>150</v>
      </c>
      <c r="BI66" s="41">
        <f t="shared" si="20"/>
        <v>150</v>
      </c>
      <c r="BJ66" s="41">
        <f t="shared" si="20"/>
        <v>150</v>
      </c>
      <c r="BK66" s="41">
        <f t="shared" si="20"/>
        <v>150</v>
      </c>
      <c r="BL66" s="41">
        <f t="shared" si="20"/>
        <v>150</v>
      </c>
      <c r="BM66" s="41">
        <f t="shared" si="20"/>
        <v>150</v>
      </c>
      <c r="BN66" s="41">
        <f t="shared" si="20"/>
        <v>150</v>
      </c>
      <c r="BO66" s="41">
        <f t="shared" si="20"/>
        <v>150</v>
      </c>
      <c r="BP66" s="41">
        <f t="shared" si="20"/>
        <v>150</v>
      </c>
      <c r="BQ66" s="41">
        <f t="shared" si="20"/>
        <v>150</v>
      </c>
      <c r="BR66" s="41">
        <f t="shared" si="20"/>
        <v>150</v>
      </c>
      <c r="BS66" s="41">
        <f t="shared" si="20"/>
        <v>150</v>
      </c>
      <c r="BT66" s="41">
        <f t="shared" si="20"/>
        <v>150</v>
      </c>
      <c r="BU66" s="41">
        <f t="shared" si="20"/>
        <v>150</v>
      </c>
      <c r="BV66" s="41">
        <f t="shared" si="20"/>
        <v>150</v>
      </c>
      <c r="BW66" s="67"/>
    </row>
    <row r="67">
      <c r="A67" s="41" t="s">
        <v>255</v>
      </c>
      <c r="B67" s="41"/>
      <c r="C67" s="41">
        <v>0.0</v>
      </c>
      <c r="D67" s="77">
        <v>0.0</v>
      </c>
      <c r="E67" s="77">
        <v>0.0</v>
      </c>
      <c r="F67" s="77">
        <v>0.0</v>
      </c>
      <c r="G67" s="77">
        <v>0.0</v>
      </c>
      <c r="H67" s="77">
        <v>0.0</v>
      </c>
      <c r="I67" s="77">
        <v>50.0</v>
      </c>
      <c r="J67" s="41">
        <f t="shared" ref="J67:BV67" si="21">I67</f>
        <v>50</v>
      </c>
      <c r="K67" s="41">
        <f t="shared" si="21"/>
        <v>50</v>
      </c>
      <c r="L67" s="41">
        <f t="shared" si="21"/>
        <v>50</v>
      </c>
      <c r="M67" s="41">
        <f t="shared" si="21"/>
        <v>50</v>
      </c>
      <c r="N67" s="41">
        <f t="shared" si="21"/>
        <v>50</v>
      </c>
      <c r="O67" s="41">
        <f t="shared" si="21"/>
        <v>50</v>
      </c>
      <c r="P67" s="41">
        <f t="shared" si="21"/>
        <v>50</v>
      </c>
      <c r="Q67" s="41">
        <f t="shared" si="21"/>
        <v>50</v>
      </c>
      <c r="R67" s="41">
        <f t="shared" si="21"/>
        <v>50</v>
      </c>
      <c r="S67" s="41">
        <f t="shared" si="21"/>
        <v>50</v>
      </c>
      <c r="T67" s="41">
        <f t="shared" si="21"/>
        <v>50</v>
      </c>
      <c r="U67" s="41">
        <f t="shared" si="21"/>
        <v>50</v>
      </c>
      <c r="V67" s="41">
        <f t="shared" si="21"/>
        <v>50</v>
      </c>
      <c r="W67" s="41">
        <f t="shared" si="21"/>
        <v>50</v>
      </c>
      <c r="X67" s="41">
        <f t="shared" si="21"/>
        <v>50</v>
      </c>
      <c r="Y67" s="41">
        <f t="shared" si="21"/>
        <v>50</v>
      </c>
      <c r="Z67" s="41">
        <f t="shared" si="21"/>
        <v>50</v>
      </c>
      <c r="AA67" s="41">
        <f t="shared" si="21"/>
        <v>50</v>
      </c>
      <c r="AB67" s="41">
        <f t="shared" si="21"/>
        <v>50</v>
      </c>
      <c r="AC67" s="41">
        <f t="shared" si="21"/>
        <v>50</v>
      </c>
      <c r="AD67" s="41">
        <f t="shared" si="21"/>
        <v>50</v>
      </c>
      <c r="AE67" s="41">
        <f t="shared" si="21"/>
        <v>50</v>
      </c>
      <c r="AF67" s="41">
        <f t="shared" si="21"/>
        <v>50</v>
      </c>
      <c r="AG67" s="41">
        <f t="shared" si="21"/>
        <v>50</v>
      </c>
      <c r="AH67" s="41">
        <f t="shared" si="21"/>
        <v>50</v>
      </c>
      <c r="AI67" s="41">
        <f t="shared" si="21"/>
        <v>50</v>
      </c>
      <c r="AJ67" s="41">
        <f t="shared" si="21"/>
        <v>50</v>
      </c>
      <c r="AK67" s="41">
        <f t="shared" si="21"/>
        <v>50</v>
      </c>
      <c r="AL67" s="41">
        <f t="shared" si="21"/>
        <v>50</v>
      </c>
      <c r="AM67" s="41">
        <f t="shared" si="21"/>
        <v>50</v>
      </c>
      <c r="AN67" s="41">
        <f t="shared" si="21"/>
        <v>50</v>
      </c>
      <c r="AO67" s="41">
        <f t="shared" si="21"/>
        <v>50</v>
      </c>
      <c r="AP67" s="41">
        <f t="shared" si="21"/>
        <v>50</v>
      </c>
      <c r="AQ67" s="41">
        <f t="shared" si="21"/>
        <v>50</v>
      </c>
      <c r="AR67" s="41">
        <f t="shared" si="21"/>
        <v>50</v>
      </c>
      <c r="AS67" s="41">
        <f t="shared" si="21"/>
        <v>50</v>
      </c>
      <c r="AT67" s="41">
        <f t="shared" si="21"/>
        <v>50</v>
      </c>
      <c r="AU67" s="41">
        <f t="shared" si="21"/>
        <v>50</v>
      </c>
      <c r="AV67" s="41">
        <f t="shared" si="21"/>
        <v>50</v>
      </c>
      <c r="AW67" s="41">
        <f t="shared" si="21"/>
        <v>50</v>
      </c>
      <c r="AX67" s="41">
        <f t="shared" si="21"/>
        <v>50</v>
      </c>
      <c r="AY67" s="41">
        <f t="shared" si="21"/>
        <v>50</v>
      </c>
      <c r="AZ67" s="41">
        <f t="shared" si="21"/>
        <v>50</v>
      </c>
      <c r="BA67" s="41">
        <f t="shared" si="21"/>
        <v>50</v>
      </c>
      <c r="BB67" s="41">
        <f t="shared" si="21"/>
        <v>50</v>
      </c>
      <c r="BC67" s="41">
        <f t="shared" si="21"/>
        <v>50</v>
      </c>
      <c r="BD67" s="41">
        <f t="shared" si="21"/>
        <v>50</v>
      </c>
      <c r="BE67" s="41">
        <f t="shared" si="21"/>
        <v>50</v>
      </c>
      <c r="BF67" s="41">
        <f t="shared" si="21"/>
        <v>50</v>
      </c>
      <c r="BG67" s="41">
        <f t="shared" si="21"/>
        <v>50</v>
      </c>
      <c r="BH67" s="41">
        <f t="shared" si="21"/>
        <v>50</v>
      </c>
      <c r="BI67" s="41">
        <f t="shared" si="21"/>
        <v>50</v>
      </c>
      <c r="BJ67" s="41">
        <f t="shared" si="21"/>
        <v>50</v>
      </c>
      <c r="BK67" s="41">
        <f t="shared" si="21"/>
        <v>50</v>
      </c>
      <c r="BL67" s="41">
        <f t="shared" si="21"/>
        <v>50</v>
      </c>
      <c r="BM67" s="41">
        <f t="shared" si="21"/>
        <v>50</v>
      </c>
      <c r="BN67" s="41">
        <f t="shared" si="21"/>
        <v>50</v>
      </c>
      <c r="BO67" s="41">
        <f t="shared" si="21"/>
        <v>50</v>
      </c>
      <c r="BP67" s="41">
        <f t="shared" si="21"/>
        <v>50</v>
      </c>
      <c r="BQ67" s="41">
        <f t="shared" si="21"/>
        <v>50</v>
      </c>
      <c r="BR67" s="41">
        <f t="shared" si="21"/>
        <v>50</v>
      </c>
      <c r="BS67" s="41">
        <f t="shared" si="21"/>
        <v>50</v>
      </c>
      <c r="BT67" s="41">
        <f t="shared" si="21"/>
        <v>50</v>
      </c>
      <c r="BU67" s="41">
        <f t="shared" si="21"/>
        <v>50</v>
      </c>
      <c r="BV67" s="41">
        <f t="shared" si="21"/>
        <v>50</v>
      </c>
      <c r="BW67" s="67"/>
    </row>
    <row r="68">
      <c r="A68" s="41" t="s">
        <v>256</v>
      </c>
      <c r="B68" s="41"/>
      <c r="C68" s="41">
        <v>0.0</v>
      </c>
      <c r="D68" s="41">
        <v>0.0</v>
      </c>
      <c r="E68" s="41">
        <v>0.0</v>
      </c>
      <c r="F68" s="41">
        <v>0.0</v>
      </c>
      <c r="G68" s="41">
        <v>0.0</v>
      </c>
      <c r="H68" s="41">
        <v>0.0</v>
      </c>
      <c r="I68" s="77">
        <v>20.0</v>
      </c>
      <c r="J68" s="41">
        <f t="shared" ref="J68:BS68" si="22">I68</f>
        <v>20</v>
      </c>
      <c r="K68" s="41">
        <f t="shared" si="22"/>
        <v>20</v>
      </c>
      <c r="L68" s="41">
        <f t="shared" si="22"/>
        <v>20</v>
      </c>
      <c r="M68" s="41">
        <f t="shared" si="22"/>
        <v>20</v>
      </c>
      <c r="N68" s="41">
        <f t="shared" si="22"/>
        <v>20</v>
      </c>
      <c r="O68" s="41">
        <f t="shared" si="22"/>
        <v>20</v>
      </c>
      <c r="P68" s="41">
        <f t="shared" si="22"/>
        <v>20</v>
      </c>
      <c r="Q68" s="41">
        <f t="shared" si="22"/>
        <v>20</v>
      </c>
      <c r="R68" s="41">
        <f t="shared" si="22"/>
        <v>20</v>
      </c>
      <c r="S68" s="41">
        <f t="shared" si="22"/>
        <v>20</v>
      </c>
      <c r="T68" s="41">
        <f t="shared" si="22"/>
        <v>20</v>
      </c>
      <c r="U68" s="41">
        <f t="shared" si="22"/>
        <v>20</v>
      </c>
      <c r="V68" s="41">
        <f t="shared" si="22"/>
        <v>20</v>
      </c>
      <c r="W68" s="41">
        <f t="shared" si="22"/>
        <v>20</v>
      </c>
      <c r="X68" s="41">
        <f t="shared" si="22"/>
        <v>20</v>
      </c>
      <c r="Y68" s="41">
        <f t="shared" si="22"/>
        <v>20</v>
      </c>
      <c r="Z68" s="41">
        <f t="shared" si="22"/>
        <v>20</v>
      </c>
      <c r="AA68" s="41">
        <f t="shared" si="22"/>
        <v>20</v>
      </c>
      <c r="AB68" s="41">
        <f t="shared" si="22"/>
        <v>20</v>
      </c>
      <c r="AC68" s="41">
        <f t="shared" si="22"/>
        <v>20</v>
      </c>
      <c r="AD68" s="41">
        <f t="shared" si="22"/>
        <v>20</v>
      </c>
      <c r="AE68" s="41">
        <f t="shared" si="22"/>
        <v>20</v>
      </c>
      <c r="AF68" s="41">
        <f t="shared" si="22"/>
        <v>20</v>
      </c>
      <c r="AG68" s="41">
        <f t="shared" si="22"/>
        <v>20</v>
      </c>
      <c r="AH68" s="41">
        <f t="shared" si="22"/>
        <v>20</v>
      </c>
      <c r="AI68" s="41">
        <f t="shared" si="22"/>
        <v>20</v>
      </c>
      <c r="AJ68" s="41">
        <f t="shared" si="22"/>
        <v>20</v>
      </c>
      <c r="AK68" s="41">
        <f t="shared" si="22"/>
        <v>20</v>
      </c>
      <c r="AL68" s="41">
        <f t="shared" si="22"/>
        <v>20</v>
      </c>
      <c r="AM68" s="41">
        <f t="shared" si="22"/>
        <v>20</v>
      </c>
      <c r="AN68" s="41">
        <f t="shared" si="22"/>
        <v>20</v>
      </c>
      <c r="AO68" s="41">
        <f t="shared" si="22"/>
        <v>20</v>
      </c>
      <c r="AP68" s="41">
        <f t="shared" si="22"/>
        <v>20</v>
      </c>
      <c r="AQ68" s="41">
        <f t="shared" si="22"/>
        <v>20</v>
      </c>
      <c r="AR68" s="41">
        <f t="shared" si="22"/>
        <v>20</v>
      </c>
      <c r="AS68" s="41">
        <f t="shared" si="22"/>
        <v>20</v>
      </c>
      <c r="AT68" s="41">
        <f t="shared" si="22"/>
        <v>20</v>
      </c>
      <c r="AU68" s="41">
        <f t="shared" si="22"/>
        <v>20</v>
      </c>
      <c r="AV68" s="41">
        <f t="shared" si="22"/>
        <v>20</v>
      </c>
      <c r="AW68" s="41">
        <f t="shared" si="22"/>
        <v>20</v>
      </c>
      <c r="AX68" s="41">
        <f t="shared" si="22"/>
        <v>20</v>
      </c>
      <c r="AY68" s="41">
        <f t="shared" si="22"/>
        <v>20</v>
      </c>
      <c r="AZ68" s="41">
        <f t="shared" si="22"/>
        <v>20</v>
      </c>
      <c r="BA68" s="41">
        <f t="shared" si="22"/>
        <v>20</v>
      </c>
      <c r="BB68" s="41">
        <f t="shared" si="22"/>
        <v>20</v>
      </c>
      <c r="BC68" s="41">
        <f t="shared" si="22"/>
        <v>20</v>
      </c>
      <c r="BD68" s="41">
        <f t="shared" si="22"/>
        <v>20</v>
      </c>
      <c r="BE68" s="41">
        <f t="shared" si="22"/>
        <v>20</v>
      </c>
      <c r="BF68" s="41">
        <f t="shared" si="22"/>
        <v>20</v>
      </c>
      <c r="BG68" s="41">
        <f t="shared" si="22"/>
        <v>20</v>
      </c>
      <c r="BH68" s="41">
        <f t="shared" si="22"/>
        <v>20</v>
      </c>
      <c r="BI68" s="41">
        <f t="shared" si="22"/>
        <v>20</v>
      </c>
      <c r="BJ68" s="41">
        <f t="shared" si="22"/>
        <v>20</v>
      </c>
      <c r="BK68" s="41">
        <f t="shared" si="22"/>
        <v>20</v>
      </c>
      <c r="BL68" s="41">
        <f t="shared" si="22"/>
        <v>20</v>
      </c>
      <c r="BM68" s="41">
        <f t="shared" si="22"/>
        <v>20</v>
      </c>
      <c r="BN68" s="41">
        <f t="shared" si="22"/>
        <v>20</v>
      </c>
      <c r="BO68" s="41">
        <f t="shared" si="22"/>
        <v>20</v>
      </c>
      <c r="BP68" s="41">
        <f t="shared" si="22"/>
        <v>20</v>
      </c>
      <c r="BQ68" s="41">
        <f t="shared" si="22"/>
        <v>20</v>
      </c>
      <c r="BR68" s="41">
        <f t="shared" si="22"/>
        <v>20</v>
      </c>
      <c r="BS68" s="41">
        <f t="shared" si="22"/>
        <v>20</v>
      </c>
      <c r="BT68" s="41">
        <v>0.0</v>
      </c>
      <c r="BU68" s="41">
        <v>0.0</v>
      </c>
      <c r="BV68" s="41">
        <v>0.0</v>
      </c>
      <c r="BW68" s="67"/>
    </row>
    <row r="69">
      <c r="A69" s="10"/>
      <c r="B69" s="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  <c r="BE69" s="107"/>
      <c r="BF69" s="107"/>
      <c r="BG69" s="107"/>
      <c r="BH69" s="107"/>
      <c r="BI69" s="107"/>
      <c r="BJ69" s="107"/>
      <c r="BK69" s="107"/>
      <c r="BL69" s="107"/>
      <c r="BM69" s="107"/>
      <c r="BN69" s="107"/>
      <c r="BO69" s="107"/>
      <c r="BP69" s="107"/>
      <c r="BQ69" s="107"/>
      <c r="BR69" s="107"/>
      <c r="BS69" s="107"/>
      <c r="BT69" s="107"/>
      <c r="BU69" s="107"/>
      <c r="BV69" s="107"/>
      <c r="BW69" s="108"/>
    </row>
    <row r="70">
      <c r="A70" s="109" t="s">
        <v>258</v>
      </c>
      <c r="B70" s="109"/>
      <c r="C70" s="109">
        <f t="shared" ref="C70:BV70" si="23">SUM(C57:C68)</f>
        <v>0</v>
      </c>
      <c r="D70" s="109">
        <f t="shared" si="23"/>
        <v>50</v>
      </c>
      <c r="E70" s="109">
        <f t="shared" si="23"/>
        <v>50</v>
      </c>
      <c r="F70" s="109">
        <f t="shared" si="23"/>
        <v>50</v>
      </c>
      <c r="G70" s="109">
        <f t="shared" si="23"/>
        <v>80</v>
      </c>
      <c r="H70" s="109">
        <f t="shared" si="23"/>
        <v>80</v>
      </c>
      <c r="I70" s="109">
        <f t="shared" si="23"/>
        <v>1272.875</v>
      </c>
      <c r="J70" s="109">
        <f t="shared" si="23"/>
        <v>5202.046667</v>
      </c>
      <c r="K70" s="109">
        <f t="shared" si="23"/>
        <v>32562.135</v>
      </c>
      <c r="L70" s="109">
        <f t="shared" si="23"/>
        <v>33855.03667</v>
      </c>
      <c r="M70" s="109">
        <f t="shared" si="23"/>
        <v>34124.14917</v>
      </c>
      <c r="N70" s="109">
        <f t="shared" si="23"/>
        <v>37061.795</v>
      </c>
      <c r="O70" s="109">
        <f t="shared" si="23"/>
        <v>39141.47167</v>
      </c>
      <c r="P70" s="109">
        <f t="shared" si="23"/>
        <v>64525.4775</v>
      </c>
      <c r="Q70" s="109">
        <f t="shared" si="23"/>
        <v>84060.4225</v>
      </c>
      <c r="R70" s="109">
        <f t="shared" si="23"/>
        <v>119320.5333</v>
      </c>
      <c r="S70" s="109">
        <f t="shared" si="23"/>
        <v>119665.6517</v>
      </c>
      <c r="T70" s="109">
        <f t="shared" si="23"/>
        <v>273660.5467</v>
      </c>
      <c r="U70" s="109">
        <f t="shared" si="23"/>
        <v>274172.8042</v>
      </c>
      <c r="V70" s="109">
        <f t="shared" si="23"/>
        <v>333821.005</v>
      </c>
      <c r="W70" s="109">
        <f t="shared" si="23"/>
        <v>334541.9642</v>
      </c>
      <c r="X70" s="109">
        <f t="shared" si="23"/>
        <v>335252.7442</v>
      </c>
      <c r="Y70" s="109">
        <f t="shared" si="23"/>
        <v>335989.2283</v>
      </c>
      <c r="Z70" s="109">
        <f t="shared" si="23"/>
        <v>336726.7325</v>
      </c>
      <c r="AA70" s="109">
        <f t="shared" si="23"/>
        <v>389329.6967</v>
      </c>
      <c r="AB70" s="109">
        <f t="shared" si="23"/>
        <v>390122.69</v>
      </c>
      <c r="AC70" s="109">
        <f t="shared" si="23"/>
        <v>402117.5858</v>
      </c>
      <c r="AD70" s="109">
        <f t="shared" si="23"/>
        <v>408012.9167</v>
      </c>
      <c r="AE70" s="109">
        <f t="shared" si="23"/>
        <v>408920.9667</v>
      </c>
      <c r="AF70" s="109">
        <f t="shared" si="23"/>
        <v>409814.8258</v>
      </c>
      <c r="AG70" s="109">
        <f t="shared" si="23"/>
        <v>410723.56</v>
      </c>
      <c r="AH70" s="109">
        <f t="shared" si="23"/>
        <v>411640.5317</v>
      </c>
      <c r="AI70" s="109">
        <f t="shared" si="23"/>
        <v>412561.2692</v>
      </c>
      <c r="AJ70" s="109">
        <f t="shared" si="23"/>
        <v>413479.085</v>
      </c>
      <c r="AK70" s="109">
        <f t="shared" si="23"/>
        <v>414405.1683</v>
      </c>
      <c r="AL70" s="109">
        <f t="shared" si="23"/>
        <v>415346.2667</v>
      </c>
      <c r="AM70" s="109">
        <f t="shared" si="23"/>
        <v>416273.2242</v>
      </c>
      <c r="AN70" s="109">
        <f t="shared" si="23"/>
        <v>417221.9442</v>
      </c>
      <c r="AO70" s="109">
        <f t="shared" si="23"/>
        <v>418172.2842</v>
      </c>
      <c r="AP70" s="109">
        <f t="shared" si="23"/>
        <v>419117.5467</v>
      </c>
      <c r="AQ70" s="109">
        <f t="shared" si="23"/>
        <v>420082.2958</v>
      </c>
      <c r="AR70" s="109">
        <f t="shared" si="23"/>
        <v>421044.2833</v>
      </c>
      <c r="AS70" s="109">
        <f t="shared" si="23"/>
        <v>422007.9408</v>
      </c>
      <c r="AT70" s="109">
        <f t="shared" si="23"/>
        <v>422986.6633</v>
      </c>
      <c r="AU70" s="109">
        <f t="shared" si="23"/>
        <v>423958.1325</v>
      </c>
      <c r="AV70" s="109">
        <f t="shared" si="23"/>
        <v>424949.2283</v>
      </c>
      <c r="AW70" s="109">
        <f t="shared" si="23"/>
        <v>425939.8283</v>
      </c>
      <c r="AX70" s="109">
        <f t="shared" si="23"/>
        <v>426925.5208</v>
      </c>
      <c r="AY70" s="109">
        <f t="shared" si="23"/>
        <v>427928.5542</v>
      </c>
      <c r="AZ70" s="109">
        <f t="shared" si="23"/>
        <v>428940.085</v>
      </c>
      <c r="BA70" s="109">
        <f t="shared" si="23"/>
        <v>429942.2867</v>
      </c>
      <c r="BB70" s="109">
        <f t="shared" si="23"/>
        <v>430959.6533</v>
      </c>
      <c r="BC70" s="109">
        <f t="shared" si="23"/>
        <v>431983.3417</v>
      </c>
      <c r="BD70" s="109">
        <f t="shared" si="23"/>
        <v>433013.3917</v>
      </c>
      <c r="BE70" s="109">
        <f t="shared" si="23"/>
        <v>434049.7533</v>
      </c>
      <c r="BF70" s="109">
        <f t="shared" si="23"/>
        <v>435087.975</v>
      </c>
      <c r="BG70" s="109">
        <f t="shared" si="23"/>
        <v>436132.5783</v>
      </c>
      <c r="BH70" s="109">
        <f t="shared" si="23"/>
        <v>437188.075</v>
      </c>
      <c r="BI70" s="109">
        <f t="shared" si="23"/>
        <v>438245.4817</v>
      </c>
      <c r="BJ70" s="109">
        <f t="shared" si="23"/>
        <v>439313.7517</v>
      </c>
      <c r="BK70" s="109">
        <f t="shared" si="23"/>
        <v>440375.0783</v>
      </c>
      <c r="BL70" s="109">
        <f t="shared" si="23"/>
        <v>441449.5942</v>
      </c>
      <c r="BM70" s="109">
        <f t="shared" si="23"/>
        <v>442532.8175</v>
      </c>
      <c r="BN70" s="109">
        <f t="shared" si="23"/>
        <v>443627.0042</v>
      </c>
      <c r="BO70" s="109">
        <f t="shared" si="23"/>
        <v>444718.7292</v>
      </c>
      <c r="BP70" s="109">
        <f t="shared" si="23"/>
        <v>445821.5175</v>
      </c>
      <c r="BQ70" s="109">
        <f t="shared" si="23"/>
        <v>446928.6217</v>
      </c>
      <c r="BR70" s="109">
        <f t="shared" si="23"/>
        <v>448046.7792</v>
      </c>
      <c r="BS70" s="109">
        <f t="shared" si="23"/>
        <v>449164.7708</v>
      </c>
      <c r="BT70" s="109">
        <f t="shared" si="23"/>
        <v>449796.64</v>
      </c>
      <c r="BU70" s="109">
        <f t="shared" si="23"/>
        <v>450932.3867</v>
      </c>
      <c r="BV70" s="109">
        <f t="shared" si="23"/>
        <v>452072.5392</v>
      </c>
      <c r="BW70" s="86">
        <f>SUM(C70:BV70)</f>
        <v>23298671.48</v>
      </c>
    </row>
    <row r="71">
      <c r="A71" s="10"/>
      <c r="B71" s="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  <c r="AQ71" s="107"/>
      <c r="AR71" s="107"/>
      <c r="AS71" s="107"/>
      <c r="AT71" s="107"/>
      <c r="AU71" s="107"/>
      <c r="AV71" s="107"/>
      <c r="AW71" s="107"/>
      <c r="AX71" s="107"/>
      <c r="AY71" s="107"/>
      <c r="AZ71" s="107"/>
      <c r="BA71" s="107"/>
      <c r="BB71" s="107"/>
      <c r="BC71" s="107"/>
      <c r="BD71" s="107"/>
      <c r="BE71" s="107"/>
      <c r="BF71" s="107"/>
      <c r="BG71" s="107"/>
      <c r="BH71" s="107"/>
      <c r="BI71" s="107"/>
      <c r="BJ71" s="107"/>
      <c r="BK71" s="107"/>
      <c r="BL71" s="107"/>
      <c r="BM71" s="107"/>
      <c r="BN71" s="107"/>
      <c r="BO71" s="107"/>
      <c r="BP71" s="107"/>
      <c r="BQ71" s="107"/>
      <c r="BR71" s="107"/>
      <c r="BS71" s="107"/>
      <c r="BT71" s="107"/>
      <c r="BU71" s="107"/>
      <c r="BV71" s="107"/>
      <c r="BW71" s="108"/>
    </row>
    <row r="72">
      <c r="A72" s="38" t="s">
        <v>259</v>
      </c>
      <c r="B72" s="39"/>
      <c r="C72" s="20" t="s">
        <v>231</v>
      </c>
      <c r="D72" s="20" t="s">
        <v>231</v>
      </c>
      <c r="E72" s="20" t="s">
        <v>231</v>
      </c>
      <c r="F72" s="20" t="s">
        <v>231</v>
      </c>
      <c r="G72" s="20" t="s">
        <v>231</v>
      </c>
      <c r="H72" s="20" t="s">
        <v>231</v>
      </c>
      <c r="I72" s="20" t="s">
        <v>231</v>
      </c>
      <c r="J72" s="20" t="s">
        <v>231</v>
      </c>
      <c r="K72" s="20" t="s">
        <v>231</v>
      </c>
      <c r="L72" s="20" t="s">
        <v>231</v>
      </c>
      <c r="M72" s="20" t="s">
        <v>231</v>
      </c>
      <c r="N72" s="20" t="s">
        <v>231</v>
      </c>
      <c r="O72" s="20" t="s">
        <v>231</v>
      </c>
      <c r="P72" s="20" t="s">
        <v>231</v>
      </c>
      <c r="Q72" s="20" t="s">
        <v>231</v>
      </c>
      <c r="R72" s="20" t="s">
        <v>231</v>
      </c>
      <c r="S72" s="20" t="s">
        <v>231</v>
      </c>
      <c r="T72" s="20" t="s">
        <v>231</v>
      </c>
      <c r="U72" s="20" t="s">
        <v>231</v>
      </c>
      <c r="V72" s="20" t="s">
        <v>231</v>
      </c>
      <c r="W72" s="20" t="s">
        <v>231</v>
      </c>
      <c r="X72" s="20" t="s">
        <v>231</v>
      </c>
      <c r="Y72" s="20" t="s">
        <v>231</v>
      </c>
      <c r="Z72" s="20" t="s">
        <v>231</v>
      </c>
      <c r="AA72" s="20" t="s">
        <v>231</v>
      </c>
      <c r="AB72" s="20" t="s">
        <v>231</v>
      </c>
      <c r="AC72" s="20" t="s">
        <v>231</v>
      </c>
      <c r="AD72" s="20" t="s">
        <v>231</v>
      </c>
      <c r="AE72" s="20" t="s">
        <v>231</v>
      </c>
      <c r="AF72" s="20" t="s">
        <v>231</v>
      </c>
      <c r="AG72" s="20" t="s">
        <v>231</v>
      </c>
      <c r="AH72" s="20" t="s">
        <v>231</v>
      </c>
      <c r="AI72" s="20" t="s">
        <v>231</v>
      </c>
      <c r="AJ72" s="20" t="s">
        <v>231</v>
      </c>
      <c r="AK72" s="20" t="s">
        <v>231</v>
      </c>
      <c r="AL72" s="20" t="s">
        <v>231</v>
      </c>
      <c r="AM72" s="20" t="s">
        <v>231</v>
      </c>
      <c r="AN72" s="20" t="s">
        <v>231</v>
      </c>
      <c r="AO72" s="20" t="s">
        <v>231</v>
      </c>
      <c r="AP72" s="20" t="s">
        <v>231</v>
      </c>
      <c r="AQ72" s="20" t="s">
        <v>231</v>
      </c>
      <c r="AR72" s="20" t="s">
        <v>231</v>
      </c>
      <c r="AS72" s="20" t="s">
        <v>231</v>
      </c>
      <c r="AT72" s="20" t="s">
        <v>231</v>
      </c>
      <c r="AU72" s="20" t="s">
        <v>231</v>
      </c>
      <c r="AV72" s="20" t="s">
        <v>231</v>
      </c>
      <c r="AW72" s="20" t="s">
        <v>231</v>
      </c>
      <c r="AX72" s="20" t="s">
        <v>231</v>
      </c>
      <c r="AY72" s="20" t="s">
        <v>231</v>
      </c>
      <c r="AZ72" s="20" t="s">
        <v>231</v>
      </c>
      <c r="BA72" s="20" t="s">
        <v>231</v>
      </c>
      <c r="BB72" s="20" t="s">
        <v>231</v>
      </c>
      <c r="BC72" s="20" t="s">
        <v>231</v>
      </c>
      <c r="BD72" s="20" t="s">
        <v>231</v>
      </c>
      <c r="BE72" s="20" t="s">
        <v>231</v>
      </c>
      <c r="BF72" s="20" t="s">
        <v>231</v>
      </c>
      <c r="BG72" s="20" t="s">
        <v>231</v>
      </c>
      <c r="BH72" s="20" t="s">
        <v>231</v>
      </c>
      <c r="BI72" s="20" t="s">
        <v>231</v>
      </c>
      <c r="BJ72" s="20" t="s">
        <v>231</v>
      </c>
      <c r="BK72" s="20" t="s">
        <v>231</v>
      </c>
      <c r="BL72" s="20" t="s">
        <v>231</v>
      </c>
      <c r="BM72" s="20" t="s">
        <v>231</v>
      </c>
      <c r="BN72" s="20" t="s">
        <v>231</v>
      </c>
      <c r="BO72" s="20" t="s">
        <v>231</v>
      </c>
      <c r="BP72" s="20" t="s">
        <v>231</v>
      </c>
      <c r="BQ72" s="20" t="s">
        <v>231</v>
      </c>
      <c r="BR72" s="20" t="s">
        <v>231</v>
      </c>
      <c r="BS72" s="20" t="s">
        <v>231</v>
      </c>
      <c r="BT72" s="20" t="s">
        <v>231</v>
      </c>
      <c r="BU72" s="20" t="s">
        <v>231</v>
      </c>
      <c r="BV72" s="20" t="s">
        <v>231</v>
      </c>
      <c r="BW72" s="40"/>
    </row>
    <row r="73">
      <c r="A73" s="77" t="s">
        <v>260</v>
      </c>
      <c r="B73" s="110">
        <v>0.01</v>
      </c>
      <c r="C73" s="77">
        <f t="shared" ref="C73:H73" si="24">C$53*$B73</f>
        <v>0</v>
      </c>
      <c r="D73" s="77">
        <f t="shared" si="24"/>
        <v>0</v>
      </c>
      <c r="E73" s="77">
        <f t="shared" si="24"/>
        <v>0</v>
      </c>
      <c r="F73" s="77">
        <f t="shared" si="24"/>
        <v>0</v>
      </c>
      <c r="G73" s="77">
        <f t="shared" si="24"/>
        <v>0</v>
      </c>
      <c r="H73" s="77">
        <f t="shared" si="24"/>
        <v>0</v>
      </c>
      <c r="I73" s="77">
        <v>0.0</v>
      </c>
      <c r="J73" s="77">
        <v>0.0</v>
      </c>
      <c r="K73" s="77">
        <f t="shared" ref="K73:P73" si="25">K$53*$B73</f>
        <v>2062.37715</v>
      </c>
      <c r="L73" s="77">
        <f t="shared" si="25"/>
        <v>2101.89235</v>
      </c>
      <c r="M73" s="77">
        <f t="shared" si="25"/>
        <v>2110.86485</v>
      </c>
      <c r="N73" s="77">
        <f t="shared" si="25"/>
        <v>2292.2247</v>
      </c>
      <c r="O73" s="77">
        <f t="shared" si="25"/>
        <v>2419.81305</v>
      </c>
      <c r="P73" s="77">
        <f t="shared" si="25"/>
        <v>4094.0003</v>
      </c>
      <c r="Q73" s="77">
        <f t="shared" ref="Q73:AE73" si="26">Q53*$B73</f>
        <v>5313.6806</v>
      </c>
      <c r="R73" s="77">
        <f t="shared" si="26"/>
        <v>6780.3047</v>
      </c>
      <c r="S73" s="77">
        <f t="shared" si="26"/>
        <v>6800.30825</v>
      </c>
      <c r="T73" s="77">
        <f t="shared" si="26"/>
        <v>16223.77745</v>
      </c>
      <c r="U73" s="77">
        <f t="shared" si="26"/>
        <v>16253.9278</v>
      </c>
      <c r="V73" s="77">
        <f t="shared" si="26"/>
        <v>20567.39635</v>
      </c>
      <c r="W73" s="77">
        <f t="shared" si="26"/>
        <v>20611.4563</v>
      </c>
      <c r="X73" s="77">
        <f t="shared" si="26"/>
        <v>20655.78125</v>
      </c>
      <c r="Y73" s="77">
        <f t="shared" si="26"/>
        <v>20700.31065</v>
      </c>
      <c r="Z73" s="77">
        <f t="shared" si="26"/>
        <v>20745.06495</v>
      </c>
      <c r="AA73" s="77">
        <f t="shared" si="26"/>
        <v>24009.5239</v>
      </c>
      <c r="AB73" s="77">
        <f t="shared" si="26"/>
        <v>24057.6808</v>
      </c>
      <c r="AC73" s="77">
        <f t="shared" si="26"/>
        <v>24983.60215</v>
      </c>
      <c r="AD73" s="77">
        <f t="shared" si="26"/>
        <v>25039.9892</v>
      </c>
      <c r="AE73" s="77">
        <f t="shared" si="26"/>
        <v>25096.73855</v>
      </c>
      <c r="AF73" s="77">
        <f t="shared" ref="AF73:BV73" si="27">AE73</f>
        <v>25096.73855</v>
      </c>
      <c r="AG73" s="77">
        <f t="shared" si="27"/>
        <v>25096.73855</v>
      </c>
      <c r="AH73" s="77">
        <f t="shared" si="27"/>
        <v>25096.73855</v>
      </c>
      <c r="AI73" s="77">
        <f t="shared" si="27"/>
        <v>25096.73855</v>
      </c>
      <c r="AJ73" s="77">
        <f t="shared" si="27"/>
        <v>25096.73855</v>
      </c>
      <c r="AK73" s="77">
        <f t="shared" si="27"/>
        <v>25096.73855</v>
      </c>
      <c r="AL73" s="77">
        <f t="shared" si="27"/>
        <v>25096.73855</v>
      </c>
      <c r="AM73" s="77">
        <f t="shared" si="27"/>
        <v>25096.73855</v>
      </c>
      <c r="AN73" s="77">
        <f t="shared" si="27"/>
        <v>25096.73855</v>
      </c>
      <c r="AO73" s="77">
        <f t="shared" si="27"/>
        <v>25096.73855</v>
      </c>
      <c r="AP73" s="77">
        <f t="shared" si="27"/>
        <v>25096.73855</v>
      </c>
      <c r="AQ73" s="77">
        <f t="shared" si="27"/>
        <v>25096.73855</v>
      </c>
      <c r="AR73" s="77">
        <f t="shared" si="27"/>
        <v>25096.73855</v>
      </c>
      <c r="AS73" s="77">
        <f t="shared" si="27"/>
        <v>25096.73855</v>
      </c>
      <c r="AT73" s="77">
        <f t="shared" si="27"/>
        <v>25096.73855</v>
      </c>
      <c r="AU73" s="77">
        <f t="shared" si="27"/>
        <v>25096.73855</v>
      </c>
      <c r="AV73" s="77">
        <f t="shared" si="27"/>
        <v>25096.73855</v>
      </c>
      <c r="AW73" s="77">
        <f t="shared" si="27"/>
        <v>25096.73855</v>
      </c>
      <c r="AX73" s="77">
        <f t="shared" si="27"/>
        <v>25096.73855</v>
      </c>
      <c r="AY73" s="77">
        <f t="shared" si="27"/>
        <v>25096.73855</v>
      </c>
      <c r="AZ73" s="77">
        <f t="shared" si="27"/>
        <v>25096.73855</v>
      </c>
      <c r="BA73" s="77">
        <f t="shared" si="27"/>
        <v>25096.73855</v>
      </c>
      <c r="BB73" s="77">
        <f t="shared" si="27"/>
        <v>25096.73855</v>
      </c>
      <c r="BC73" s="77">
        <f t="shared" si="27"/>
        <v>25096.73855</v>
      </c>
      <c r="BD73" s="77">
        <f t="shared" si="27"/>
        <v>25096.73855</v>
      </c>
      <c r="BE73" s="77">
        <f t="shared" si="27"/>
        <v>25096.73855</v>
      </c>
      <c r="BF73" s="77">
        <f t="shared" si="27"/>
        <v>25096.73855</v>
      </c>
      <c r="BG73" s="77">
        <f t="shared" si="27"/>
        <v>25096.73855</v>
      </c>
      <c r="BH73" s="77">
        <f t="shared" si="27"/>
        <v>25096.73855</v>
      </c>
      <c r="BI73" s="77">
        <f t="shared" si="27"/>
        <v>25096.73855</v>
      </c>
      <c r="BJ73" s="77">
        <f t="shared" si="27"/>
        <v>25096.73855</v>
      </c>
      <c r="BK73" s="77">
        <f t="shared" si="27"/>
        <v>25096.73855</v>
      </c>
      <c r="BL73" s="77">
        <f t="shared" si="27"/>
        <v>25096.73855</v>
      </c>
      <c r="BM73" s="77">
        <f t="shared" si="27"/>
        <v>25096.73855</v>
      </c>
      <c r="BN73" s="77">
        <f t="shared" si="27"/>
        <v>25096.73855</v>
      </c>
      <c r="BO73" s="77">
        <f t="shared" si="27"/>
        <v>25096.73855</v>
      </c>
      <c r="BP73" s="77">
        <f t="shared" si="27"/>
        <v>25096.73855</v>
      </c>
      <c r="BQ73" s="77">
        <f t="shared" si="27"/>
        <v>25096.73855</v>
      </c>
      <c r="BR73" s="77">
        <f t="shared" si="27"/>
        <v>25096.73855</v>
      </c>
      <c r="BS73" s="77">
        <f t="shared" si="27"/>
        <v>25096.73855</v>
      </c>
      <c r="BT73" s="77">
        <f t="shared" si="27"/>
        <v>25096.73855</v>
      </c>
      <c r="BU73" s="77">
        <f t="shared" si="27"/>
        <v>25096.73855</v>
      </c>
      <c r="BV73" s="77">
        <f t="shared" si="27"/>
        <v>25096.73855</v>
      </c>
      <c r="BW73" s="79"/>
    </row>
    <row r="74">
      <c r="A74" s="41" t="s">
        <v>261</v>
      </c>
      <c r="B74" s="110">
        <v>0.001</v>
      </c>
      <c r="C74" s="77">
        <f t="shared" ref="C74:H74" si="28">C$53*$B74</f>
        <v>0</v>
      </c>
      <c r="D74" s="77">
        <f t="shared" si="28"/>
        <v>0</v>
      </c>
      <c r="E74" s="77">
        <f t="shared" si="28"/>
        <v>0</v>
      </c>
      <c r="F74" s="77">
        <f t="shared" si="28"/>
        <v>0</v>
      </c>
      <c r="G74" s="77">
        <f t="shared" si="28"/>
        <v>0</v>
      </c>
      <c r="H74" s="77">
        <f t="shared" si="28"/>
        <v>0</v>
      </c>
      <c r="I74" s="77">
        <v>0.0</v>
      </c>
      <c r="J74" s="77">
        <v>0.0</v>
      </c>
      <c r="K74" s="77">
        <f t="shared" ref="K74:V74" si="29">K$53*$B74</f>
        <v>206.237715</v>
      </c>
      <c r="L74" s="77">
        <f t="shared" si="29"/>
        <v>210.189235</v>
      </c>
      <c r="M74" s="77">
        <f t="shared" si="29"/>
        <v>211.086485</v>
      </c>
      <c r="N74" s="77">
        <f t="shared" si="29"/>
        <v>229.22247</v>
      </c>
      <c r="O74" s="77">
        <f t="shared" si="29"/>
        <v>241.981305</v>
      </c>
      <c r="P74" s="77">
        <f t="shared" si="29"/>
        <v>409.40003</v>
      </c>
      <c r="Q74" s="77">
        <f t="shared" si="29"/>
        <v>531.36806</v>
      </c>
      <c r="R74" s="77">
        <f t="shared" si="29"/>
        <v>678.03047</v>
      </c>
      <c r="S74" s="77">
        <f t="shared" si="29"/>
        <v>680.030825</v>
      </c>
      <c r="T74" s="77">
        <f t="shared" si="29"/>
        <v>1622.377745</v>
      </c>
      <c r="U74" s="77">
        <f t="shared" si="29"/>
        <v>1625.39278</v>
      </c>
      <c r="V74" s="77">
        <f t="shared" si="29"/>
        <v>2056.739635</v>
      </c>
      <c r="W74" s="41">
        <f t="shared" ref="W74:BV74" si="30">V74</f>
        <v>2056.739635</v>
      </c>
      <c r="X74" s="41">
        <f t="shared" si="30"/>
        <v>2056.739635</v>
      </c>
      <c r="Y74" s="41">
        <f t="shared" si="30"/>
        <v>2056.739635</v>
      </c>
      <c r="Z74" s="41">
        <f t="shared" si="30"/>
        <v>2056.739635</v>
      </c>
      <c r="AA74" s="41">
        <f t="shared" si="30"/>
        <v>2056.739635</v>
      </c>
      <c r="AB74" s="41">
        <f t="shared" si="30"/>
        <v>2056.739635</v>
      </c>
      <c r="AC74" s="41">
        <f t="shared" si="30"/>
        <v>2056.739635</v>
      </c>
      <c r="AD74" s="41">
        <f t="shared" si="30"/>
        <v>2056.739635</v>
      </c>
      <c r="AE74" s="41">
        <f t="shared" si="30"/>
        <v>2056.739635</v>
      </c>
      <c r="AF74" s="41">
        <f t="shared" si="30"/>
        <v>2056.739635</v>
      </c>
      <c r="AG74" s="41">
        <f t="shared" si="30"/>
        <v>2056.739635</v>
      </c>
      <c r="AH74" s="41">
        <f t="shared" si="30"/>
        <v>2056.739635</v>
      </c>
      <c r="AI74" s="41">
        <f t="shared" si="30"/>
        <v>2056.739635</v>
      </c>
      <c r="AJ74" s="41">
        <f t="shared" si="30"/>
        <v>2056.739635</v>
      </c>
      <c r="AK74" s="41">
        <f t="shared" si="30"/>
        <v>2056.739635</v>
      </c>
      <c r="AL74" s="41">
        <f t="shared" si="30"/>
        <v>2056.739635</v>
      </c>
      <c r="AM74" s="41">
        <f t="shared" si="30"/>
        <v>2056.739635</v>
      </c>
      <c r="AN74" s="41">
        <f t="shared" si="30"/>
        <v>2056.739635</v>
      </c>
      <c r="AO74" s="41">
        <f t="shared" si="30"/>
        <v>2056.739635</v>
      </c>
      <c r="AP74" s="41">
        <f t="shared" si="30"/>
        <v>2056.739635</v>
      </c>
      <c r="AQ74" s="41">
        <f t="shared" si="30"/>
        <v>2056.739635</v>
      </c>
      <c r="AR74" s="41">
        <f t="shared" si="30"/>
        <v>2056.739635</v>
      </c>
      <c r="AS74" s="41">
        <f t="shared" si="30"/>
        <v>2056.739635</v>
      </c>
      <c r="AT74" s="41">
        <f t="shared" si="30"/>
        <v>2056.739635</v>
      </c>
      <c r="AU74" s="41">
        <f t="shared" si="30"/>
        <v>2056.739635</v>
      </c>
      <c r="AV74" s="41">
        <f t="shared" si="30"/>
        <v>2056.739635</v>
      </c>
      <c r="AW74" s="41">
        <f t="shared" si="30"/>
        <v>2056.739635</v>
      </c>
      <c r="AX74" s="41">
        <f t="shared" si="30"/>
        <v>2056.739635</v>
      </c>
      <c r="AY74" s="41">
        <f t="shared" si="30"/>
        <v>2056.739635</v>
      </c>
      <c r="AZ74" s="41">
        <f t="shared" si="30"/>
        <v>2056.739635</v>
      </c>
      <c r="BA74" s="41">
        <f t="shared" si="30"/>
        <v>2056.739635</v>
      </c>
      <c r="BB74" s="41">
        <f t="shared" si="30"/>
        <v>2056.739635</v>
      </c>
      <c r="BC74" s="41">
        <f t="shared" si="30"/>
        <v>2056.739635</v>
      </c>
      <c r="BD74" s="41">
        <f t="shared" si="30"/>
        <v>2056.739635</v>
      </c>
      <c r="BE74" s="41">
        <f t="shared" si="30"/>
        <v>2056.739635</v>
      </c>
      <c r="BF74" s="41">
        <f t="shared" si="30"/>
        <v>2056.739635</v>
      </c>
      <c r="BG74" s="41">
        <f t="shared" si="30"/>
        <v>2056.739635</v>
      </c>
      <c r="BH74" s="41">
        <f t="shared" si="30"/>
        <v>2056.739635</v>
      </c>
      <c r="BI74" s="41">
        <f t="shared" si="30"/>
        <v>2056.739635</v>
      </c>
      <c r="BJ74" s="41">
        <f t="shared" si="30"/>
        <v>2056.739635</v>
      </c>
      <c r="BK74" s="41">
        <f t="shared" si="30"/>
        <v>2056.739635</v>
      </c>
      <c r="BL74" s="41">
        <f t="shared" si="30"/>
        <v>2056.739635</v>
      </c>
      <c r="BM74" s="41">
        <f t="shared" si="30"/>
        <v>2056.739635</v>
      </c>
      <c r="BN74" s="41">
        <f t="shared" si="30"/>
        <v>2056.739635</v>
      </c>
      <c r="BO74" s="41">
        <f t="shared" si="30"/>
        <v>2056.739635</v>
      </c>
      <c r="BP74" s="41">
        <f t="shared" si="30"/>
        <v>2056.739635</v>
      </c>
      <c r="BQ74" s="41">
        <f t="shared" si="30"/>
        <v>2056.739635</v>
      </c>
      <c r="BR74" s="41">
        <f t="shared" si="30"/>
        <v>2056.739635</v>
      </c>
      <c r="BS74" s="41">
        <f t="shared" si="30"/>
        <v>2056.739635</v>
      </c>
      <c r="BT74" s="41">
        <f t="shared" si="30"/>
        <v>2056.739635</v>
      </c>
      <c r="BU74" s="41">
        <f t="shared" si="30"/>
        <v>2056.739635</v>
      </c>
      <c r="BV74" s="41">
        <f t="shared" si="30"/>
        <v>2056.739635</v>
      </c>
      <c r="BW74" s="67"/>
    </row>
    <row r="75">
      <c r="A75" s="77" t="s">
        <v>262</v>
      </c>
      <c r="B75" s="110">
        <v>0.005</v>
      </c>
      <c r="C75" s="77">
        <f t="shared" ref="C75:H75" si="31">C$53*$B75</f>
        <v>0</v>
      </c>
      <c r="D75" s="77">
        <f t="shared" si="31"/>
        <v>0</v>
      </c>
      <c r="E75" s="77">
        <f t="shared" si="31"/>
        <v>0</v>
      </c>
      <c r="F75" s="77">
        <f t="shared" si="31"/>
        <v>0</v>
      </c>
      <c r="G75" s="77">
        <f t="shared" si="31"/>
        <v>0</v>
      </c>
      <c r="H75" s="77">
        <f t="shared" si="31"/>
        <v>0</v>
      </c>
      <c r="I75" s="77">
        <v>0.0</v>
      </c>
      <c r="J75" s="77">
        <f t="shared" ref="J75:T75" si="32">J$53*$B75</f>
        <v>148.663425</v>
      </c>
      <c r="K75" s="77">
        <f t="shared" si="32"/>
        <v>1031.188575</v>
      </c>
      <c r="L75" s="77">
        <f t="shared" si="32"/>
        <v>1050.946175</v>
      </c>
      <c r="M75" s="77">
        <f t="shared" si="32"/>
        <v>1055.432425</v>
      </c>
      <c r="N75" s="77">
        <f t="shared" si="32"/>
        <v>1146.11235</v>
      </c>
      <c r="O75" s="77">
        <f t="shared" si="32"/>
        <v>1209.906525</v>
      </c>
      <c r="P75" s="77">
        <f t="shared" si="32"/>
        <v>2047.00015</v>
      </c>
      <c r="Q75" s="77">
        <f t="shared" si="32"/>
        <v>2656.8403</v>
      </c>
      <c r="R75" s="77">
        <f t="shared" si="32"/>
        <v>3390.15235</v>
      </c>
      <c r="S75" s="77">
        <f t="shared" si="32"/>
        <v>3400.154125</v>
      </c>
      <c r="T75" s="77">
        <f t="shared" si="32"/>
        <v>8111.888725</v>
      </c>
      <c r="U75" s="41">
        <f t="shared" ref="U75:BV75" si="33">T75</f>
        <v>8111.888725</v>
      </c>
      <c r="V75" s="41">
        <f t="shared" si="33"/>
        <v>8111.888725</v>
      </c>
      <c r="W75" s="41">
        <f t="shared" si="33"/>
        <v>8111.888725</v>
      </c>
      <c r="X75" s="41">
        <f t="shared" si="33"/>
        <v>8111.888725</v>
      </c>
      <c r="Y75" s="41">
        <f t="shared" si="33"/>
        <v>8111.888725</v>
      </c>
      <c r="Z75" s="41">
        <f t="shared" si="33"/>
        <v>8111.888725</v>
      </c>
      <c r="AA75" s="41">
        <f t="shared" si="33"/>
        <v>8111.888725</v>
      </c>
      <c r="AB75" s="41">
        <f t="shared" si="33"/>
        <v>8111.888725</v>
      </c>
      <c r="AC75" s="41">
        <f t="shared" si="33"/>
        <v>8111.888725</v>
      </c>
      <c r="AD75" s="41">
        <f t="shared" si="33"/>
        <v>8111.888725</v>
      </c>
      <c r="AE75" s="41">
        <f t="shared" si="33"/>
        <v>8111.888725</v>
      </c>
      <c r="AF75" s="41">
        <f t="shared" si="33"/>
        <v>8111.888725</v>
      </c>
      <c r="AG75" s="41">
        <f t="shared" si="33"/>
        <v>8111.888725</v>
      </c>
      <c r="AH75" s="41">
        <f t="shared" si="33"/>
        <v>8111.888725</v>
      </c>
      <c r="AI75" s="41">
        <f t="shared" si="33"/>
        <v>8111.888725</v>
      </c>
      <c r="AJ75" s="41">
        <f t="shared" si="33"/>
        <v>8111.888725</v>
      </c>
      <c r="AK75" s="41">
        <f t="shared" si="33"/>
        <v>8111.888725</v>
      </c>
      <c r="AL75" s="41">
        <f t="shared" si="33"/>
        <v>8111.888725</v>
      </c>
      <c r="AM75" s="41">
        <f t="shared" si="33"/>
        <v>8111.888725</v>
      </c>
      <c r="AN75" s="41">
        <f t="shared" si="33"/>
        <v>8111.888725</v>
      </c>
      <c r="AO75" s="41">
        <f t="shared" si="33"/>
        <v>8111.888725</v>
      </c>
      <c r="AP75" s="41">
        <f t="shared" si="33"/>
        <v>8111.888725</v>
      </c>
      <c r="AQ75" s="41">
        <f t="shared" si="33"/>
        <v>8111.888725</v>
      </c>
      <c r="AR75" s="41">
        <f t="shared" si="33"/>
        <v>8111.888725</v>
      </c>
      <c r="AS75" s="41">
        <f t="shared" si="33"/>
        <v>8111.888725</v>
      </c>
      <c r="AT75" s="41">
        <f t="shared" si="33"/>
        <v>8111.888725</v>
      </c>
      <c r="AU75" s="41">
        <f t="shared" si="33"/>
        <v>8111.888725</v>
      </c>
      <c r="AV75" s="41">
        <f t="shared" si="33"/>
        <v>8111.888725</v>
      </c>
      <c r="AW75" s="41">
        <f t="shared" si="33"/>
        <v>8111.888725</v>
      </c>
      <c r="AX75" s="41">
        <f t="shared" si="33"/>
        <v>8111.888725</v>
      </c>
      <c r="AY75" s="41">
        <f t="shared" si="33"/>
        <v>8111.888725</v>
      </c>
      <c r="AZ75" s="41">
        <f t="shared" si="33"/>
        <v>8111.888725</v>
      </c>
      <c r="BA75" s="41">
        <f t="shared" si="33"/>
        <v>8111.888725</v>
      </c>
      <c r="BB75" s="41">
        <f t="shared" si="33"/>
        <v>8111.888725</v>
      </c>
      <c r="BC75" s="41">
        <f t="shared" si="33"/>
        <v>8111.888725</v>
      </c>
      <c r="BD75" s="41">
        <f t="shared" si="33"/>
        <v>8111.888725</v>
      </c>
      <c r="BE75" s="41">
        <f t="shared" si="33"/>
        <v>8111.888725</v>
      </c>
      <c r="BF75" s="41">
        <f t="shared" si="33"/>
        <v>8111.888725</v>
      </c>
      <c r="BG75" s="41">
        <f t="shared" si="33"/>
        <v>8111.888725</v>
      </c>
      <c r="BH75" s="41">
        <f t="shared" si="33"/>
        <v>8111.888725</v>
      </c>
      <c r="BI75" s="41">
        <f t="shared" si="33"/>
        <v>8111.888725</v>
      </c>
      <c r="BJ75" s="41">
        <f t="shared" si="33"/>
        <v>8111.888725</v>
      </c>
      <c r="BK75" s="41">
        <f t="shared" si="33"/>
        <v>8111.888725</v>
      </c>
      <c r="BL75" s="41">
        <f t="shared" si="33"/>
        <v>8111.888725</v>
      </c>
      <c r="BM75" s="41">
        <f t="shared" si="33"/>
        <v>8111.888725</v>
      </c>
      <c r="BN75" s="41">
        <f t="shared" si="33"/>
        <v>8111.888725</v>
      </c>
      <c r="BO75" s="41">
        <f t="shared" si="33"/>
        <v>8111.888725</v>
      </c>
      <c r="BP75" s="41">
        <f t="shared" si="33"/>
        <v>8111.888725</v>
      </c>
      <c r="BQ75" s="41">
        <f t="shared" si="33"/>
        <v>8111.888725</v>
      </c>
      <c r="BR75" s="41">
        <f t="shared" si="33"/>
        <v>8111.888725</v>
      </c>
      <c r="BS75" s="41">
        <f t="shared" si="33"/>
        <v>8111.888725</v>
      </c>
      <c r="BT75" s="41">
        <f t="shared" si="33"/>
        <v>8111.888725</v>
      </c>
      <c r="BU75" s="41">
        <f t="shared" si="33"/>
        <v>8111.888725</v>
      </c>
      <c r="BV75" s="41">
        <f t="shared" si="33"/>
        <v>8111.888725</v>
      </c>
      <c r="BW75" s="67"/>
    </row>
    <row r="76">
      <c r="A76" s="77" t="s">
        <v>265</v>
      </c>
      <c r="B76" s="110">
        <v>0.005</v>
      </c>
      <c r="C76" s="77">
        <f t="shared" ref="C76:H76" si="34">C$53*$B76</f>
        <v>0</v>
      </c>
      <c r="D76" s="77">
        <f t="shared" si="34"/>
        <v>0</v>
      </c>
      <c r="E76" s="77">
        <f t="shared" si="34"/>
        <v>0</v>
      </c>
      <c r="F76" s="77">
        <f t="shared" si="34"/>
        <v>0</v>
      </c>
      <c r="G76" s="77">
        <f t="shared" si="34"/>
        <v>0</v>
      </c>
      <c r="H76" s="77">
        <f t="shared" si="34"/>
        <v>0</v>
      </c>
      <c r="I76" s="77">
        <v>0.0</v>
      </c>
      <c r="J76" s="77">
        <f t="shared" ref="J76:P76" si="35">J$53*$B76</f>
        <v>148.663425</v>
      </c>
      <c r="K76" s="77">
        <f t="shared" si="35"/>
        <v>1031.188575</v>
      </c>
      <c r="L76" s="77">
        <f t="shared" si="35"/>
        <v>1050.946175</v>
      </c>
      <c r="M76" s="77">
        <f t="shared" si="35"/>
        <v>1055.432425</v>
      </c>
      <c r="N76" s="77">
        <f t="shared" si="35"/>
        <v>1146.11235</v>
      </c>
      <c r="O76" s="77">
        <f t="shared" si="35"/>
        <v>1209.906525</v>
      </c>
      <c r="P76" s="77">
        <f t="shared" si="35"/>
        <v>2047.00015</v>
      </c>
      <c r="Q76" s="77">
        <f t="shared" ref="Q76:BV76" si="36">P76</f>
        <v>2047.00015</v>
      </c>
      <c r="R76" s="77">
        <f t="shared" si="36"/>
        <v>2047.00015</v>
      </c>
      <c r="S76" s="77">
        <f t="shared" si="36"/>
        <v>2047.00015</v>
      </c>
      <c r="T76" s="77">
        <f t="shared" si="36"/>
        <v>2047.00015</v>
      </c>
      <c r="U76" s="41">
        <f t="shared" si="36"/>
        <v>2047.00015</v>
      </c>
      <c r="V76" s="41">
        <f t="shared" si="36"/>
        <v>2047.00015</v>
      </c>
      <c r="W76" s="41">
        <f t="shared" si="36"/>
        <v>2047.00015</v>
      </c>
      <c r="X76" s="41">
        <f t="shared" si="36"/>
        <v>2047.00015</v>
      </c>
      <c r="Y76" s="41">
        <f t="shared" si="36"/>
        <v>2047.00015</v>
      </c>
      <c r="Z76" s="41">
        <f t="shared" si="36"/>
        <v>2047.00015</v>
      </c>
      <c r="AA76" s="41">
        <f t="shared" si="36"/>
        <v>2047.00015</v>
      </c>
      <c r="AB76" s="41">
        <f t="shared" si="36"/>
        <v>2047.00015</v>
      </c>
      <c r="AC76" s="41">
        <f t="shared" si="36"/>
        <v>2047.00015</v>
      </c>
      <c r="AD76" s="41">
        <f t="shared" si="36"/>
        <v>2047.00015</v>
      </c>
      <c r="AE76" s="41">
        <f t="shared" si="36"/>
        <v>2047.00015</v>
      </c>
      <c r="AF76" s="41">
        <f t="shared" si="36"/>
        <v>2047.00015</v>
      </c>
      <c r="AG76" s="41">
        <f t="shared" si="36"/>
        <v>2047.00015</v>
      </c>
      <c r="AH76" s="41">
        <f t="shared" si="36"/>
        <v>2047.00015</v>
      </c>
      <c r="AI76" s="41">
        <f t="shared" si="36"/>
        <v>2047.00015</v>
      </c>
      <c r="AJ76" s="41">
        <f t="shared" si="36"/>
        <v>2047.00015</v>
      </c>
      <c r="AK76" s="41">
        <f t="shared" si="36"/>
        <v>2047.00015</v>
      </c>
      <c r="AL76" s="41">
        <f t="shared" si="36"/>
        <v>2047.00015</v>
      </c>
      <c r="AM76" s="41">
        <f t="shared" si="36"/>
        <v>2047.00015</v>
      </c>
      <c r="AN76" s="41">
        <f t="shared" si="36"/>
        <v>2047.00015</v>
      </c>
      <c r="AO76" s="41">
        <f t="shared" si="36"/>
        <v>2047.00015</v>
      </c>
      <c r="AP76" s="41">
        <f t="shared" si="36"/>
        <v>2047.00015</v>
      </c>
      <c r="AQ76" s="41">
        <f t="shared" si="36"/>
        <v>2047.00015</v>
      </c>
      <c r="AR76" s="41">
        <f t="shared" si="36"/>
        <v>2047.00015</v>
      </c>
      <c r="AS76" s="41">
        <f t="shared" si="36"/>
        <v>2047.00015</v>
      </c>
      <c r="AT76" s="41">
        <f t="shared" si="36"/>
        <v>2047.00015</v>
      </c>
      <c r="AU76" s="41">
        <f t="shared" si="36"/>
        <v>2047.00015</v>
      </c>
      <c r="AV76" s="41">
        <f t="shared" si="36"/>
        <v>2047.00015</v>
      </c>
      <c r="AW76" s="41">
        <f t="shared" si="36"/>
        <v>2047.00015</v>
      </c>
      <c r="AX76" s="41">
        <f t="shared" si="36"/>
        <v>2047.00015</v>
      </c>
      <c r="AY76" s="41">
        <f t="shared" si="36"/>
        <v>2047.00015</v>
      </c>
      <c r="AZ76" s="41">
        <f t="shared" si="36"/>
        <v>2047.00015</v>
      </c>
      <c r="BA76" s="41">
        <f t="shared" si="36"/>
        <v>2047.00015</v>
      </c>
      <c r="BB76" s="41">
        <f t="shared" si="36"/>
        <v>2047.00015</v>
      </c>
      <c r="BC76" s="41">
        <f t="shared" si="36"/>
        <v>2047.00015</v>
      </c>
      <c r="BD76" s="41">
        <f t="shared" si="36"/>
        <v>2047.00015</v>
      </c>
      <c r="BE76" s="41">
        <f t="shared" si="36"/>
        <v>2047.00015</v>
      </c>
      <c r="BF76" s="41">
        <f t="shared" si="36"/>
        <v>2047.00015</v>
      </c>
      <c r="BG76" s="41">
        <f t="shared" si="36"/>
        <v>2047.00015</v>
      </c>
      <c r="BH76" s="41">
        <f t="shared" si="36"/>
        <v>2047.00015</v>
      </c>
      <c r="BI76" s="41">
        <f t="shared" si="36"/>
        <v>2047.00015</v>
      </c>
      <c r="BJ76" s="41">
        <f t="shared" si="36"/>
        <v>2047.00015</v>
      </c>
      <c r="BK76" s="41">
        <f t="shared" si="36"/>
        <v>2047.00015</v>
      </c>
      <c r="BL76" s="41">
        <f t="shared" si="36"/>
        <v>2047.00015</v>
      </c>
      <c r="BM76" s="41">
        <f t="shared" si="36"/>
        <v>2047.00015</v>
      </c>
      <c r="BN76" s="41">
        <f t="shared" si="36"/>
        <v>2047.00015</v>
      </c>
      <c r="BO76" s="41">
        <f t="shared" si="36"/>
        <v>2047.00015</v>
      </c>
      <c r="BP76" s="41">
        <f t="shared" si="36"/>
        <v>2047.00015</v>
      </c>
      <c r="BQ76" s="41">
        <f t="shared" si="36"/>
        <v>2047.00015</v>
      </c>
      <c r="BR76" s="41">
        <f t="shared" si="36"/>
        <v>2047.00015</v>
      </c>
      <c r="BS76" s="41">
        <f t="shared" si="36"/>
        <v>2047.00015</v>
      </c>
      <c r="BT76" s="41">
        <f t="shared" si="36"/>
        <v>2047.00015</v>
      </c>
      <c r="BU76" s="41">
        <f t="shared" si="36"/>
        <v>2047.00015</v>
      </c>
      <c r="BV76" s="41">
        <f t="shared" si="36"/>
        <v>2047.00015</v>
      </c>
      <c r="BW76" s="67"/>
    </row>
    <row r="77">
      <c r="A77" s="77" t="s">
        <v>266</v>
      </c>
      <c r="B77" s="110">
        <v>0.005</v>
      </c>
      <c r="C77" s="77">
        <f t="shared" ref="C77:H77" si="37">C$53*$B77</f>
        <v>0</v>
      </c>
      <c r="D77" s="77">
        <f t="shared" si="37"/>
        <v>0</v>
      </c>
      <c r="E77" s="77">
        <f t="shared" si="37"/>
        <v>0</v>
      </c>
      <c r="F77" s="77">
        <f t="shared" si="37"/>
        <v>0</v>
      </c>
      <c r="G77" s="77">
        <f t="shared" si="37"/>
        <v>0</v>
      </c>
      <c r="H77" s="77">
        <f t="shared" si="37"/>
        <v>0</v>
      </c>
      <c r="I77" s="77">
        <v>0.0</v>
      </c>
      <c r="J77" s="77">
        <f t="shared" ref="J77:P77" si="38">J$53*$B77</f>
        <v>148.663425</v>
      </c>
      <c r="K77" s="77">
        <f t="shared" si="38"/>
        <v>1031.188575</v>
      </c>
      <c r="L77" s="77">
        <f t="shared" si="38"/>
        <v>1050.946175</v>
      </c>
      <c r="M77" s="77">
        <f t="shared" si="38"/>
        <v>1055.432425</v>
      </c>
      <c r="N77" s="77">
        <f t="shared" si="38"/>
        <v>1146.11235</v>
      </c>
      <c r="O77" s="77">
        <f t="shared" si="38"/>
        <v>1209.906525</v>
      </c>
      <c r="P77" s="77">
        <f t="shared" si="38"/>
        <v>2047.00015</v>
      </c>
      <c r="Q77" s="41">
        <f t="shared" ref="Q77:BV77" si="39">P77</f>
        <v>2047.00015</v>
      </c>
      <c r="R77" s="41">
        <f t="shared" si="39"/>
        <v>2047.00015</v>
      </c>
      <c r="S77" s="41">
        <f t="shared" si="39"/>
        <v>2047.00015</v>
      </c>
      <c r="T77" s="77">
        <f t="shared" si="39"/>
        <v>2047.00015</v>
      </c>
      <c r="U77" s="41">
        <f t="shared" si="39"/>
        <v>2047.00015</v>
      </c>
      <c r="V77" s="41">
        <f t="shared" si="39"/>
        <v>2047.00015</v>
      </c>
      <c r="W77" s="41">
        <f t="shared" si="39"/>
        <v>2047.00015</v>
      </c>
      <c r="X77" s="41">
        <f t="shared" si="39"/>
        <v>2047.00015</v>
      </c>
      <c r="Y77" s="41">
        <f t="shared" si="39"/>
        <v>2047.00015</v>
      </c>
      <c r="Z77" s="41">
        <f t="shared" si="39"/>
        <v>2047.00015</v>
      </c>
      <c r="AA77" s="41">
        <f t="shared" si="39"/>
        <v>2047.00015</v>
      </c>
      <c r="AB77" s="41">
        <f t="shared" si="39"/>
        <v>2047.00015</v>
      </c>
      <c r="AC77" s="41">
        <f t="shared" si="39"/>
        <v>2047.00015</v>
      </c>
      <c r="AD77" s="41">
        <f t="shared" si="39"/>
        <v>2047.00015</v>
      </c>
      <c r="AE77" s="41">
        <f t="shared" si="39"/>
        <v>2047.00015</v>
      </c>
      <c r="AF77" s="41">
        <f t="shared" si="39"/>
        <v>2047.00015</v>
      </c>
      <c r="AG77" s="41">
        <f t="shared" si="39"/>
        <v>2047.00015</v>
      </c>
      <c r="AH77" s="41">
        <f t="shared" si="39"/>
        <v>2047.00015</v>
      </c>
      <c r="AI77" s="41">
        <f t="shared" si="39"/>
        <v>2047.00015</v>
      </c>
      <c r="AJ77" s="41">
        <f t="shared" si="39"/>
        <v>2047.00015</v>
      </c>
      <c r="AK77" s="41">
        <f t="shared" si="39"/>
        <v>2047.00015</v>
      </c>
      <c r="AL77" s="41">
        <f t="shared" si="39"/>
        <v>2047.00015</v>
      </c>
      <c r="AM77" s="41">
        <f t="shared" si="39"/>
        <v>2047.00015</v>
      </c>
      <c r="AN77" s="41">
        <f t="shared" si="39"/>
        <v>2047.00015</v>
      </c>
      <c r="AO77" s="41">
        <f t="shared" si="39"/>
        <v>2047.00015</v>
      </c>
      <c r="AP77" s="41">
        <f t="shared" si="39"/>
        <v>2047.00015</v>
      </c>
      <c r="AQ77" s="41">
        <f t="shared" si="39"/>
        <v>2047.00015</v>
      </c>
      <c r="AR77" s="41">
        <f t="shared" si="39"/>
        <v>2047.00015</v>
      </c>
      <c r="AS77" s="41">
        <f t="shared" si="39"/>
        <v>2047.00015</v>
      </c>
      <c r="AT77" s="41">
        <f t="shared" si="39"/>
        <v>2047.00015</v>
      </c>
      <c r="AU77" s="41">
        <f t="shared" si="39"/>
        <v>2047.00015</v>
      </c>
      <c r="AV77" s="41">
        <f t="shared" si="39"/>
        <v>2047.00015</v>
      </c>
      <c r="AW77" s="41">
        <f t="shared" si="39"/>
        <v>2047.00015</v>
      </c>
      <c r="AX77" s="41">
        <f t="shared" si="39"/>
        <v>2047.00015</v>
      </c>
      <c r="AY77" s="41">
        <f t="shared" si="39"/>
        <v>2047.00015</v>
      </c>
      <c r="AZ77" s="41">
        <f t="shared" si="39"/>
        <v>2047.00015</v>
      </c>
      <c r="BA77" s="41">
        <f t="shared" si="39"/>
        <v>2047.00015</v>
      </c>
      <c r="BB77" s="41">
        <f t="shared" si="39"/>
        <v>2047.00015</v>
      </c>
      <c r="BC77" s="41">
        <f t="shared" si="39"/>
        <v>2047.00015</v>
      </c>
      <c r="BD77" s="41">
        <f t="shared" si="39"/>
        <v>2047.00015</v>
      </c>
      <c r="BE77" s="41">
        <f t="shared" si="39"/>
        <v>2047.00015</v>
      </c>
      <c r="BF77" s="41">
        <f t="shared" si="39"/>
        <v>2047.00015</v>
      </c>
      <c r="BG77" s="41">
        <f t="shared" si="39"/>
        <v>2047.00015</v>
      </c>
      <c r="BH77" s="41">
        <f t="shared" si="39"/>
        <v>2047.00015</v>
      </c>
      <c r="BI77" s="41">
        <f t="shared" si="39"/>
        <v>2047.00015</v>
      </c>
      <c r="BJ77" s="41">
        <f t="shared" si="39"/>
        <v>2047.00015</v>
      </c>
      <c r="BK77" s="41">
        <f t="shared" si="39"/>
        <v>2047.00015</v>
      </c>
      <c r="BL77" s="41">
        <f t="shared" si="39"/>
        <v>2047.00015</v>
      </c>
      <c r="BM77" s="41">
        <f t="shared" si="39"/>
        <v>2047.00015</v>
      </c>
      <c r="BN77" s="41">
        <f t="shared" si="39"/>
        <v>2047.00015</v>
      </c>
      <c r="BO77" s="41">
        <f t="shared" si="39"/>
        <v>2047.00015</v>
      </c>
      <c r="BP77" s="41">
        <f t="shared" si="39"/>
        <v>2047.00015</v>
      </c>
      <c r="BQ77" s="41">
        <f t="shared" si="39"/>
        <v>2047.00015</v>
      </c>
      <c r="BR77" s="41">
        <f t="shared" si="39"/>
        <v>2047.00015</v>
      </c>
      <c r="BS77" s="41">
        <f t="shared" si="39"/>
        <v>2047.00015</v>
      </c>
      <c r="BT77" s="41">
        <f t="shared" si="39"/>
        <v>2047.00015</v>
      </c>
      <c r="BU77" s="41">
        <f t="shared" si="39"/>
        <v>2047.00015</v>
      </c>
      <c r="BV77" s="41">
        <f t="shared" si="39"/>
        <v>2047.00015</v>
      </c>
      <c r="BW77" s="67"/>
    </row>
    <row r="78">
      <c r="A78" s="77" t="s">
        <v>267</v>
      </c>
      <c r="B78" s="110">
        <v>0.007</v>
      </c>
      <c r="C78" s="77">
        <f t="shared" ref="C78:H78" si="40">C$53*$B78</f>
        <v>0</v>
      </c>
      <c r="D78" s="77">
        <f t="shared" si="40"/>
        <v>0</v>
      </c>
      <c r="E78" s="77">
        <f t="shared" si="40"/>
        <v>0</v>
      </c>
      <c r="F78" s="77">
        <f t="shared" si="40"/>
        <v>0</v>
      </c>
      <c r="G78" s="77">
        <f t="shared" si="40"/>
        <v>0</v>
      </c>
      <c r="H78" s="77">
        <f t="shared" si="40"/>
        <v>0</v>
      </c>
      <c r="I78" s="77">
        <v>0.0</v>
      </c>
      <c r="J78" s="77">
        <f t="shared" ref="J78:U78" si="41">J$53*$B78</f>
        <v>208.128795</v>
      </c>
      <c r="K78" s="77">
        <f t="shared" si="41"/>
        <v>1443.664005</v>
      </c>
      <c r="L78" s="77">
        <f t="shared" si="41"/>
        <v>1471.324645</v>
      </c>
      <c r="M78" s="77">
        <f t="shared" si="41"/>
        <v>1477.605395</v>
      </c>
      <c r="N78" s="77">
        <f t="shared" si="41"/>
        <v>1604.55729</v>
      </c>
      <c r="O78" s="77">
        <f t="shared" si="41"/>
        <v>1693.869135</v>
      </c>
      <c r="P78" s="77">
        <f t="shared" si="41"/>
        <v>2865.80021</v>
      </c>
      <c r="Q78" s="77">
        <f t="shared" si="41"/>
        <v>3719.57642</v>
      </c>
      <c r="R78" s="77">
        <f t="shared" si="41"/>
        <v>4746.21329</v>
      </c>
      <c r="S78" s="77">
        <f t="shared" si="41"/>
        <v>4760.215775</v>
      </c>
      <c r="T78" s="77">
        <f t="shared" si="41"/>
        <v>11356.64422</v>
      </c>
      <c r="U78" s="77">
        <f t="shared" si="41"/>
        <v>11377.74946</v>
      </c>
      <c r="V78" s="41">
        <f t="shared" ref="V78:BV78" si="42">U78</f>
        <v>11377.74946</v>
      </c>
      <c r="W78" s="41">
        <f t="shared" si="42"/>
        <v>11377.74946</v>
      </c>
      <c r="X78" s="41">
        <f t="shared" si="42"/>
        <v>11377.74946</v>
      </c>
      <c r="Y78" s="41">
        <f t="shared" si="42"/>
        <v>11377.74946</v>
      </c>
      <c r="Z78" s="41">
        <f t="shared" si="42"/>
        <v>11377.74946</v>
      </c>
      <c r="AA78" s="41">
        <f t="shared" si="42"/>
        <v>11377.74946</v>
      </c>
      <c r="AB78" s="41">
        <f t="shared" si="42"/>
        <v>11377.74946</v>
      </c>
      <c r="AC78" s="41">
        <f t="shared" si="42"/>
        <v>11377.74946</v>
      </c>
      <c r="AD78" s="41">
        <f t="shared" si="42"/>
        <v>11377.74946</v>
      </c>
      <c r="AE78" s="41">
        <f t="shared" si="42"/>
        <v>11377.74946</v>
      </c>
      <c r="AF78" s="41">
        <f t="shared" si="42"/>
        <v>11377.74946</v>
      </c>
      <c r="AG78" s="41">
        <f t="shared" si="42"/>
        <v>11377.74946</v>
      </c>
      <c r="AH78" s="41">
        <f t="shared" si="42"/>
        <v>11377.74946</v>
      </c>
      <c r="AI78" s="41">
        <f t="shared" si="42"/>
        <v>11377.74946</v>
      </c>
      <c r="AJ78" s="41">
        <f t="shared" si="42"/>
        <v>11377.74946</v>
      </c>
      <c r="AK78" s="41">
        <f t="shared" si="42"/>
        <v>11377.74946</v>
      </c>
      <c r="AL78" s="41">
        <f t="shared" si="42"/>
        <v>11377.74946</v>
      </c>
      <c r="AM78" s="41">
        <f t="shared" si="42"/>
        <v>11377.74946</v>
      </c>
      <c r="AN78" s="41">
        <f t="shared" si="42"/>
        <v>11377.74946</v>
      </c>
      <c r="AO78" s="41">
        <f t="shared" si="42"/>
        <v>11377.74946</v>
      </c>
      <c r="AP78" s="41">
        <f t="shared" si="42"/>
        <v>11377.74946</v>
      </c>
      <c r="AQ78" s="41">
        <f t="shared" si="42"/>
        <v>11377.74946</v>
      </c>
      <c r="AR78" s="41">
        <f t="shared" si="42"/>
        <v>11377.74946</v>
      </c>
      <c r="AS78" s="41">
        <f t="shared" si="42"/>
        <v>11377.74946</v>
      </c>
      <c r="AT78" s="41">
        <f t="shared" si="42"/>
        <v>11377.74946</v>
      </c>
      <c r="AU78" s="41">
        <f t="shared" si="42"/>
        <v>11377.74946</v>
      </c>
      <c r="AV78" s="41">
        <f t="shared" si="42"/>
        <v>11377.74946</v>
      </c>
      <c r="AW78" s="41">
        <f t="shared" si="42"/>
        <v>11377.74946</v>
      </c>
      <c r="AX78" s="41">
        <f t="shared" si="42"/>
        <v>11377.74946</v>
      </c>
      <c r="AY78" s="41">
        <f t="shared" si="42"/>
        <v>11377.74946</v>
      </c>
      <c r="AZ78" s="41">
        <f t="shared" si="42"/>
        <v>11377.74946</v>
      </c>
      <c r="BA78" s="41">
        <f t="shared" si="42"/>
        <v>11377.74946</v>
      </c>
      <c r="BB78" s="41">
        <f t="shared" si="42"/>
        <v>11377.74946</v>
      </c>
      <c r="BC78" s="41">
        <f t="shared" si="42"/>
        <v>11377.74946</v>
      </c>
      <c r="BD78" s="41">
        <f t="shared" si="42"/>
        <v>11377.74946</v>
      </c>
      <c r="BE78" s="41">
        <f t="shared" si="42"/>
        <v>11377.74946</v>
      </c>
      <c r="BF78" s="41">
        <f t="shared" si="42"/>
        <v>11377.74946</v>
      </c>
      <c r="BG78" s="41">
        <f t="shared" si="42"/>
        <v>11377.74946</v>
      </c>
      <c r="BH78" s="41">
        <f t="shared" si="42"/>
        <v>11377.74946</v>
      </c>
      <c r="BI78" s="41">
        <f t="shared" si="42"/>
        <v>11377.74946</v>
      </c>
      <c r="BJ78" s="41">
        <f t="shared" si="42"/>
        <v>11377.74946</v>
      </c>
      <c r="BK78" s="41">
        <f t="shared" si="42"/>
        <v>11377.74946</v>
      </c>
      <c r="BL78" s="41">
        <f t="shared" si="42"/>
        <v>11377.74946</v>
      </c>
      <c r="BM78" s="41">
        <f t="shared" si="42"/>
        <v>11377.74946</v>
      </c>
      <c r="BN78" s="41">
        <f t="shared" si="42"/>
        <v>11377.74946</v>
      </c>
      <c r="BO78" s="41">
        <f t="shared" si="42"/>
        <v>11377.74946</v>
      </c>
      <c r="BP78" s="41">
        <f t="shared" si="42"/>
        <v>11377.74946</v>
      </c>
      <c r="BQ78" s="41">
        <f t="shared" si="42"/>
        <v>11377.74946</v>
      </c>
      <c r="BR78" s="41">
        <f t="shared" si="42"/>
        <v>11377.74946</v>
      </c>
      <c r="BS78" s="41">
        <f t="shared" si="42"/>
        <v>11377.74946</v>
      </c>
      <c r="BT78" s="41">
        <f t="shared" si="42"/>
        <v>11377.74946</v>
      </c>
      <c r="BU78" s="41">
        <f t="shared" si="42"/>
        <v>11377.74946</v>
      </c>
      <c r="BV78" s="41">
        <f t="shared" si="42"/>
        <v>11377.74946</v>
      </c>
      <c r="BW78" s="67"/>
    </row>
    <row r="79">
      <c r="A79" s="77" t="s">
        <v>268</v>
      </c>
      <c r="B79" s="110">
        <v>0.003</v>
      </c>
      <c r="C79" s="77">
        <f t="shared" ref="C79:H79" si="43">C$53*$B79</f>
        <v>0</v>
      </c>
      <c r="D79" s="77">
        <f t="shared" si="43"/>
        <v>0</v>
      </c>
      <c r="E79" s="77">
        <f t="shared" si="43"/>
        <v>0</v>
      </c>
      <c r="F79" s="77">
        <f t="shared" si="43"/>
        <v>0</v>
      </c>
      <c r="G79" s="77">
        <f t="shared" si="43"/>
        <v>0</v>
      </c>
      <c r="H79" s="77">
        <f t="shared" si="43"/>
        <v>0</v>
      </c>
      <c r="I79" s="77">
        <v>0.0</v>
      </c>
      <c r="J79" s="77">
        <f t="shared" ref="J79:AA79" si="44">J$53*$B79</f>
        <v>89.198055</v>
      </c>
      <c r="K79" s="77">
        <f t="shared" si="44"/>
        <v>618.713145</v>
      </c>
      <c r="L79" s="77">
        <f t="shared" si="44"/>
        <v>630.567705</v>
      </c>
      <c r="M79" s="77">
        <f t="shared" si="44"/>
        <v>633.259455</v>
      </c>
      <c r="N79" s="77">
        <f t="shared" si="44"/>
        <v>687.66741</v>
      </c>
      <c r="O79" s="77">
        <f t="shared" si="44"/>
        <v>725.943915</v>
      </c>
      <c r="P79" s="77">
        <f t="shared" si="44"/>
        <v>1228.20009</v>
      </c>
      <c r="Q79" s="77">
        <f t="shared" si="44"/>
        <v>1594.10418</v>
      </c>
      <c r="R79" s="77">
        <f t="shared" si="44"/>
        <v>2034.09141</v>
      </c>
      <c r="S79" s="77">
        <f t="shared" si="44"/>
        <v>2040.092475</v>
      </c>
      <c r="T79" s="77">
        <f t="shared" si="44"/>
        <v>4867.133235</v>
      </c>
      <c r="U79" s="77">
        <f t="shared" si="44"/>
        <v>4876.17834</v>
      </c>
      <c r="V79" s="77">
        <f t="shared" si="44"/>
        <v>6170.218905</v>
      </c>
      <c r="W79" s="77">
        <f t="shared" si="44"/>
        <v>6183.43689</v>
      </c>
      <c r="X79" s="77">
        <f t="shared" si="44"/>
        <v>6196.734375</v>
      </c>
      <c r="Y79" s="77">
        <f t="shared" si="44"/>
        <v>6210.093195</v>
      </c>
      <c r="Z79" s="77">
        <f t="shared" si="44"/>
        <v>6223.519485</v>
      </c>
      <c r="AA79" s="77">
        <f t="shared" si="44"/>
        <v>7202.85717</v>
      </c>
      <c r="AB79" s="41">
        <f t="shared" ref="AB79:BV79" si="45">AA79</f>
        <v>7202.85717</v>
      </c>
      <c r="AC79" s="41">
        <f t="shared" si="45"/>
        <v>7202.85717</v>
      </c>
      <c r="AD79" s="41">
        <f t="shared" si="45"/>
        <v>7202.85717</v>
      </c>
      <c r="AE79" s="41">
        <f t="shared" si="45"/>
        <v>7202.85717</v>
      </c>
      <c r="AF79" s="41">
        <f t="shared" si="45"/>
        <v>7202.85717</v>
      </c>
      <c r="AG79" s="41">
        <f t="shared" si="45"/>
        <v>7202.85717</v>
      </c>
      <c r="AH79" s="41">
        <f t="shared" si="45"/>
        <v>7202.85717</v>
      </c>
      <c r="AI79" s="41">
        <f t="shared" si="45"/>
        <v>7202.85717</v>
      </c>
      <c r="AJ79" s="41">
        <f t="shared" si="45"/>
        <v>7202.85717</v>
      </c>
      <c r="AK79" s="41">
        <f t="shared" si="45"/>
        <v>7202.85717</v>
      </c>
      <c r="AL79" s="41">
        <f t="shared" si="45"/>
        <v>7202.85717</v>
      </c>
      <c r="AM79" s="41">
        <f t="shared" si="45"/>
        <v>7202.85717</v>
      </c>
      <c r="AN79" s="41">
        <f t="shared" si="45"/>
        <v>7202.85717</v>
      </c>
      <c r="AO79" s="41">
        <f t="shared" si="45"/>
        <v>7202.85717</v>
      </c>
      <c r="AP79" s="41">
        <f t="shared" si="45"/>
        <v>7202.85717</v>
      </c>
      <c r="AQ79" s="41">
        <f t="shared" si="45"/>
        <v>7202.85717</v>
      </c>
      <c r="AR79" s="41">
        <f t="shared" si="45"/>
        <v>7202.85717</v>
      </c>
      <c r="AS79" s="41">
        <f t="shared" si="45"/>
        <v>7202.85717</v>
      </c>
      <c r="AT79" s="41">
        <f t="shared" si="45"/>
        <v>7202.85717</v>
      </c>
      <c r="AU79" s="41">
        <f t="shared" si="45"/>
        <v>7202.85717</v>
      </c>
      <c r="AV79" s="41">
        <f t="shared" si="45"/>
        <v>7202.85717</v>
      </c>
      <c r="AW79" s="41">
        <f t="shared" si="45"/>
        <v>7202.85717</v>
      </c>
      <c r="AX79" s="41">
        <f t="shared" si="45"/>
        <v>7202.85717</v>
      </c>
      <c r="AY79" s="41">
        <f t="shared" si="45"/>
        <v>7202.85717</v>
      </c>
      <c r="AZ79" s="41">
        <f t="shared" si="45"/>
        <v>7202.85717</v>
      </c>
      <c r="BA79" s="41">
        <f t="shared" si="45"/>
        <v>7202.85717</v>
      </c>
      <c r="BB79" s="41">
        <f t="shared" si="45"/>
        <v>7202.85717</v>
      </c>
      <c r="BC79" s="41">
        <f t="shared" si="45"/>
        <v>7202.85717</v>
      </c>
      <c r="BD79" s="41">
        <f t="shared" si="45"/>
        <v>7202.85717</v>
      </c>
      <c r="BE79" s="41">
        <f t="shared" si="45"/>
        <v>7202.85717</v>
      </c>
      <c r="BF79" s="41">
        <f t="shared" si="45"/>
        <v>7202.85717</v>
      </c>
      <c r="BG79" s="41">
        <f t="shared" si="45"/>
        <v>7202.85717</v>
      </c>
      <c r="BH79" s="41">
        <f t="shared" si="45"/>
        <v>7202.85717</v>
      </c>
      <c r="BI79" s="41">
        <f t="shared" si="45"/>
        <v>7202.85717</v>
      </c>
      <c r="BJ79" s="41">
        <f t="shared" si="45"/>
        <v>7202.85717</v>
      </c>
      <c r="BK79" s="41">
        <f t="shared" si="45"/>
        <v>7202.85717</v>
      </c>
      <c r="BL79" s="41">
        <f t="shared" si="45"/>
        <v>7202.85717</v>
      </c>
      <c r="BM79" s="41">
        <f t="shared" si="45"/>
        <v>7202.85717</v>
      </c>
      <c r="BN79" s="41">
        <f t="shared" si="45"/>
        <v>7202.85717</v>
      </c>
      <c r="BO79" s="41">
        <f t="shared" si="45"/>
        <v>7202.85717</v>
      </c>
      <c r="BP79" s="41">
        <f t="shared" si="45"/>
        <v>7202.85717</v>
      </c>
      <c r="BQ79" s="41">
        <f t="shared" si="45"/>
        <v>7202.85717</v>
      </c>
      <c r="BR79" s="41">
        <f t="shared" si="45"/>
        <v>7202.85717</v>
      </c>
      <c r="BS79" s="41">
        <f t="shared" si="45"/>
        <v>7202.85717</v>
      </c>
      <c r="BT79" s="41">
        <f t="shared" si="45"/>
        <v>7202.85717</v>
      </c>
      <c r="BU79" s="41">
        <f t="shared" si="45"/>
        <v>7202.85717</v>
      </c>
      <c r="BV79" s="41">
        <f t="shared" si="45"/>
        <v>7202.85717</v>
      </c>
      <c r="BW79" s="67"/>
    </row>
    <row r="80">
      <c r="A80" s="77" t="s">
        <v>269</v>
      </c>
      <c r="B80" s="110">
        <v>0.002</v>
      </c>
      <c r="C80" s="77">
        <f t="shared" ref="C80:H80" si="46">C$53*$B80</f>
        <v>0</v>
      </c>
      <c r="D80" s="77">
        <f t="shared" si="46"/>
        <v>0</v>
      </c>
      <c r="E80" s="77">
        <f t="shared" si="46"/>
        <v>0</v>
      </c>
      <c r="F80" s="77">
        <f t="shared" si="46"/>
        <v>0</v>
      </c>
      <c r="G80" s="77">
        <f t="shared" si="46"/>
        <v>0</v>
      </c>
      <c r="H80" s="77">
        <f t="shared" si="46"/>
        <v>0</v>
      </c>
      <c r="I80" s="77">
        <v>0.0</v>
      </c>
      <c r="J80" s="77">
        <f t="shared" ref="J80:T80" si="47">J$53*$B80</f>
        <v>59.46537</v>
      </c>
      <c r="K80" s="77">
        <f t="shared" si="47"/>
        <v>412.47543</v>
      </c>
      <c r="L80" s="77">
        <f t="shared" si="47"/>
        <v>420.37847</v>
      </c>
      <c r="M80" s="77">
        <f t="shared" si="47"/>
        <v>422.17297</v>
      </c>
      <c r="N80" s="77">
        <f t="shared" si="47"/>
        <v>458.44494</v>
      </c>
      <c r="O80" s="77">
        <f t="shared" si="47"/>
        <v>483.96261</v>
      </c>
      <c r="P80" s="77">
        <f t="shared" si="47"/>
        <v>818.80006</v>
      </c>
      <c r="Q80" s="77">
        <f t="shared" si="47"/>
        <v>1062.73612</v>
      </c>
      <c r="R80" s="77">
        <f t="shared" si="47"/>
        <v>1356.06094</v>
      </c>
      <c r="S80" s="77">
        <f t="shared" si="47"/>
        <v>1360.06165</v>
      </c>
      <c r="T80" s="77">
        <f t="shared" si="47"/>
        <v>3244.75549</v>
      </c>
      <c r="U80" s="41">
        <f t="shared" ref="U80:BV80" si="48">T80</f>
        <v>3244.75549</v>
      </c>
      <c r="V80" s="41">
        <f t="shared" si="48"/>
        <v>3244.75549</v>
      </c>
      <c r="W80" s="41">
        <f t="shared" si="48"/>
        <v>3244.75549</v>
      </c>
      <c r="X80" s="41">
        <f t="shared" si="48"/>
        <v>3244.75549</v>
      </c>
      <c r="Y80" s="41">
        <f t="shared" si="48"/>
        <v>3244.75549</v>
      </c>
      <c r="Z80" s="41">
        <f t="shared" si="48"/>
        <v>3244.75549</v>
      </c>
      <c r="AA80" s="41">
        <f t="shared" si="48"/>
        <v>3244.75549</v>
      </c>
      <c r="AB80" s="41">
        <f t="shared" si="48"/>
        <v>3244.75549</v>
      </c>
      <c r="AC80" s="41">
        <f t="shared" si="48"/>
        <v>3244.75549</v>
      </c>
      <c r="AD80" s="41">
        <f t="shared" si="48"/>
        <v>3244.75549</v>
      </c>
      <c r="AE80" s="41">
        <f t="shared" si="48"/>
        <v>3244.75549</v>
      </c>
      <c r="AF80" s="41">
        <f t="shared" si="48"/>
        <v>3244.75549</v>
      </c>
      <c r="AG80" s="41">
        <f t="shared" si="48"/>
        <v>3244.75549</v>
      </c>
      <c r="AH80" s="41">
        <f t="shared" si="48"/>
        <v>3244.75549</v>
      </c>
      <c r="AI80" s="41">
        <f t="shared" si="48"/>
        <v>3244.75549</v>
      </c>
      <c r="AJ80" s="41">
        <f t="shared" si="48"/>
        <v>3244.75549</v>
      </c>
      <c r="AK80" s="41">
        <f t="shared" si="48"/>
        <v>3244.75549</v>
      </c>
      <c r="AL80" s="41">
        <f t="shared" si="48"/>
        <v>3244.75549</v>
      </c>
      <c r="AM80" s="41">
        <f t="shared" si="48"/>
        <v>3244.75549</v>
      </c>
      <c r="AN80" s="41">
        <f t="shared" si="48"/>
        <v>3244.75549</v>
      </c>
      <c r="AO80" s="41">
        <f t="shared" si="48"/>
        <v>3244.75549</v>
      </c>
      <c r="AP80" s="41">
        <f t="shared" si="48"/>
        <v>3244.75549</v>
      </c>
      <c r="AQ80" s="41">
        <f t="shared" si="48"/>
        <v>3244.75549</v>
      </c>
      <c r="AR80" s="41">
        <f t="shared" si="48"/>
        <v>3244.75549</v>
      </c>
      <c r="AS80" s="41">
        <f t="shared" si="48"/>
        <v>3244.75549</v>
      </c>
      <c r="AT80" s="41">
        <f t="shared" si="48"/>
        <v>3244.75549</v>
      </c>
      <c r="AU80" s="41">
        <f t="shared" si="48"/>
        <v>3244.75549</v>
      </c>
      <c r="AV80" s="41">
        <f t="shared" si="48"/>
        <v>3244.75549</v>
      </c>
      <c r="AW80" s="41">
        <f t="shared" si="48"/>
        <v>3244.75549</v>
      </c>
      <c r="AX80" s="41">
        <f t="shared" si="48"/>
        <v>3244.75549</v>
      </c>
      <c r="AY80" s="41">
        <f t="shared" si="48"/>
        <v>3244.75549</v>
      </c>
      <c r="AZ80" s="41">
        <f t="shared" si="48"/>
        <v>3244.75549</v>
      </c>
      <c r="BA80" s="41">
        <f t="shared" si="48"/>
        <v>3244.75549</v>
      </c>
      <c r="BB80" s="41">
        <f t="shared" si="48"/>
        <v>3244.75549</v>
      </c>
      <c r="BC80" s="41">
        <f t="shared" si="48"/>
        <v>3244.75549</v>
      </c>
      <c r="BD80" s="41">
        <f t="shared" si="48"/>
        <v>3244.75549</v>
      </c>
      <c r="BE80" s="41">
        <f t="shared" si="48"/>
        <v>3244.75549</v>
      </c>
      <c r="BF80" s="41">
        <f t="shared" si="48"/>
        <v>3244.75549</v>
      </c>
      <c r="BG80" s="41">
        <f t="shared" si="48"/>
        <v>3244.75549</v>
      </c>
      <c r="BH80" s="41">
        <f t="shared" si="48"/>
        <v>3244.75549</v>
      </c>
      <c r="BI80" s="41">
        <f t="shared" si="48"/>
        <v>3244.75549</v>
      </c>
      <c r="BJ80" s="41">
        <f t="shared" si="48"/>
        <v>3244.75549</v>
      </c>
      <c r="BK80" s="41">
        <f t="shared" si="48"/>
        <v>3244.75549</v>
      </c>
      <c r="BL80" s="41">
        <f t="shared" si="48"/>
        <v>3244.75549</v>
      </c>
      <c r="BM80" s="41">
        <f t="shared" si="48"/>
        <v>3244.75549</v>
      </c>
      <c r="BN80" s="41">
        <f t="shared" si="48"/>
        <v>3244.75549</v>
      </c>
      <c r="BO80" s="41">
        <f t="shared" si="48"/>
        <v>3244.75549</v>
      </c>
      <c r="BP80" s="41">
        <f t="shared" si="48"/>
        <v>3244.75549</v>
      </c>
      <c r="BQ80" s="41">
        <f t="shared" si="48"/>
        <v>3244.75549</v>
      </c>
      <c r="BR80" s="41">
        <f t="shared" si="48"/>
        <v>3244.75549</v>
      </c>
      <c r="BS80" s="41">
        <f t="shared" si="48"/>
        <v>3244.75549</v>
      </c>
      <c r="BT80" s="41">
        <f t="shared" si="48"/>
        <v>3244.75549</v>
      </c>
      <c r="BU80" s="41">
        <f t="shared" si="48"/>
        <v>3244.75549</v>
      </c>
      <c r="BV80" s="41">
        <f t="shared" si="48"/>
        <v>3244.75549</v>
      </c>
      <c r="BW80" s="67"/>
    </row>
    <row r="81">
      <c r="A81" s="77" t="s">
        <v>270</v>
      </c>
      <c r="B81" s="110">
        <v>0.002</v>
      </c>
      <c r="C81" s="77">
        <f t="shared" ref="C81:H81" si="49">C$53*$B81</f>
        <v>0</v>
      </c>
      <c r="D81" s="77">
        <f t="shared" si="49"/>
        <v>0</v>
      </c>
      <c r="E81" s="77">
        <f t="shared" si="49"/>
        <v>0</v>
      </c>
      <c r="F81" s="77">
        <f t="shared" si="49"/>
        <v>0</v>
      </c>
      <c r="G81" s="77">
        <f t="shared" si="49"/>
        <v>0</v>
      </c>
      <c r="H81" s="77">
        <f t="shared" si="49"/>
        <v>0</v>
      </c>
      <c r="I81" s="77">
        <v>0.0</v>
      </c>
      <c r="J81" s="77">
        <f t="shared" ref="J81:T81" si="50">J$53*$B81</f>
        <v>59.46537</v>
      </c>
      <c r="K81" s="77">
        <f t="shared" si="50"/>
        <v>412.47543</v>
      </c>
      <c r="L81" s="77">
        <f t="shared" si="50"/>
        <v>420.37847</v>
      </c>
      <c r="M81" s="77">
        <f t="shared" si="50"/>
        <v>422.17297</v>
      </c>
      <c r="N81" s="77">
        <f t="shared" si="50"/>
        <v>458.44494</v>
      </c>
      <c r="O81" s="77">
        <f t="shared" si="50"/>
        <v>483.96261</v>
      </c>
      <c r="P81" s="77">
        <f t="shared" si="50"/>
        <v>818.80006</v>
      </c>
      <c r="Q81" s="77">
        <f t="shared" si="50"/>
        <v>1062.73612</v>
      </c>
      <c r="R81" s="77">
        <f t="shared" si="50"/>
        <v>1356.06094</v>
      </c>
      <c r="S81" s="77">
        <f t="shared" si="50"/>
        <v>1360.06165</v>
      </c>
      <c r="T81" s="77">
        <f t="shared" si="50"/>
        <v>3244.75549</v>
      </c>
      <c r="U81" s="41">
        <f t="shared" ref="U81:BV81" si="51">T81</f>
        <v>3244.75549</v>
      </c>
      <c r="V81" s="41">
        <f t="shared" si="51"/>
        <v>3244.75549</v>
      </c>
      <c r="W81" s="41">
        <f t="shared" si="51"/>
        <v>3244.75549</v>
      </c>
      <c r="X81" s="41">
        <f t="shared" si="51"/>
        <v>3244.75549</v>
      </c>
      <c r="Y81" s="41">
        <f t="shared" si="51"/>
        <v>3244.75549</v>
      </c>
      <c r="Z81" s="41">
        <f t="shared" si="51"/>
        <v>3244.75549</v>
      </c>
      <c r="AA81" s="41">
        <f t="shared" si="51"/>
        <v>3244.75549</v>
      </c>
      <c r="AB81" s="41">
        <f t="shared" si="51"/>
        <v>3244.75549</v>
      </c>
      <c r="AC81" s="41">
        <f t="shared" si="51"/>
        <v>3244.75549</v>
      </c>
      <c r="AD81" s="41">
        <f t="shared" si="51"/>
        <v>3244.75549</v>
      </c>
      <c r="AE81" s="41">
        <f t="shared" si="51"/>
        <v>3244.75549</v>
      </c>
      <c r="AF81" s="41">
        <f t="shared" si="51"/>
        <v>3244.75549</v>
      </c>
      <c r="AG81" s="41">
        <f t="shared" si="51"/>
        <v>3244.75549</v>
      </c>
      <c r="AH81" s="41">
        <f t="shared" si="51"/>
        <v>3244.75549</v>
      </c>
      <c r="AI81" s="41">
        <f t="shared" si="51"/>
        <v>3244.75549</v>
      </c>
      <c r="AJ81" s="41">
        <f t="shared" si="51"/>
        <v>3244.75549</v>
      </c>
      <c r="AK81" s="41">
        <f t="shared" si="51"/>
        <v>3244.75549</v>
      </c>
      <c r="AL81" s="41">
        <f t="shared" si="51"/>
        <v>3244.75549</v>
      </c>
      <c r="AM81" s="41">
        <f t="shared" si="51"/>
        <v>3244.75549</v>
      </c>
      <c r="AN81" s="41">
        <f t="shared" si="51"/>
        <v>3244.75549</v>
      </c>
      <c r="AO81" s="41">
        <f t="shared" si="51"/>
        <v>3244.75549</v>
      </c>
      <c r="AP81" s="41">
        <f t="shared" si="51"/>
        <v>3244.75549</v>
      </c>
      <c r="AQ81" s="41">
        <f t="shared" si="51"/>
        <v>3244.75549</v>
      </c>
      <c r="AR81" s="41">
        <f t="shared" si="51"/>
        <v>3244.75549</v>
      </c>
      <c r="AS81" s="41">
        <f t="shared" si="51"/>
        <v>3244.75549</v>
      </c>
      <c r="AT81" s="41">
        <f t="shared" si="51"/>
        <v>3244.75549</v>
      </c>
      <c r="AU81" s="41">
        <f t="shared" si="51"/>
        <v>3244.75549</v>
      </c>
      <c r="AV81" s="41">
        <f t="shared" si="51"/>
        <v>3244.75549</v>
      </c>
      <c r="AW81" s="41">
        <f t="shared" si="51"/>
        <v>3244.75549</v>
      </c>
      <c r="AX81" s="41">
        <f t="shared" si="51"/>
        <v>3244.75549</v>
      </c>
      <c r="AY81" s="41">
        <f t="shared" si="51"/>
        <v>3244.75549</v>
      </c>
      <c r="AZ81" s="41">
        <f t="shared" si="51"/>
        <v>3244.75549</v>
      </c>
      <c r="BA81" s="41">
        <f t="shared" si="51"/>
        <v>3244.75549</v>
      </c>
      <c r="BB81" s="41">
        <f t="shared" si="51"/>
        <v>3244.75549</v>
      </c>
      <c r="BC81" s="41">
        <f t="shared" si="51"/>
        <v>3244.75549</v>
      </c>
      <c r="BD81" s="41">
        <f t="shared" si="51"/>
        <v>3244.75549</v>
      </c>
      <c r="BE81" s="41">
        <f t="shared" si="51"/>
        <v>3244.75549</v>
      </c>
      <c r="BF81" s="41">
        <f t="shared" si="51"/>
        <v>3244.75549</v>
      </c>
      <c r="BG81" s="41">
        <f t="shared" si="51"/>
        <v>3244.75549</v>
      </c>
      <c r="BH81" s="41">
        <f t="shared" si="51"/>
        <v>3244.75549</v>
      </c>
      <c r="BI81" s="41">
        <f t="shared" si="51"/>
        <v>3244.75549</v>
      </c>
      <c r="BJ81" s="41">
        <f t="shared" si="51"/>
        <v>3244.75549</v>
      </c>
      <c r="BK81" s="41">
        <f t="shared" si="51"/>
        <v>3244.75549</v>
      </c>
      <c r="BL81" s="41">
        <f t="shared" si="51"/>
        <v>3244.75549</v>
      </c>
      <c r="BM81" s="41">
        <f t="shared" si="51"/>
        <v>3244.75549</v>
      </c>
      <c r="BN81" s="41">
        <f t="shared" si="51"/>
        <v>3244.75549</v>
      </c>
      <c r="BO81" s="41">
        <f t="shared" si="51"/>
        <v>3244.75549</v>
      </c>
      <c r="BP81" s="41">
        <f t="shared" si="51"/>
        <v>3244.75549</v>
      </c>
      <c r="BQ81" s="41">
        <f t="shared" si="51"/>
        <v>3244.75549</v>
      </c>
      <c r="BR81" s="41">
        <f t="shared" si="51"/>
        <v>3244.75549</v>
      </c>
      <c r="BS81" s="41">
        <f t="shared" si="51"/>
        <v>3244.75549</v>
      </c>
      <c r="BT81" s="41">
        <f t="shared" si="51"/>
        <v>3244.75549</v>
      </c>
      <c r="BU81" s="41">
        <f t="shared" si="51"/>
        <v>3244.75549</v>
      </c>
      <c r="BV81" s="41">
        <f t="shared" si="51"/>
        <v>3244.75549</v>
      </c>
      <c r="BW81" s="67"/>
    </row>
    <row r="82">
      <c r="A82" s="77" t="s">
        <v>271</v>
      </c>
      <c r="B82" s="110">
        <v>0.007</v>
      </c>
      <c r="C82" s="77">
        <f t="shared" ref="C82:T82" si="52">C$53*$B82</f>
        <v>0</v>
      </c>
      <c r="D82" s="77">
        <f t="shared" si="52"/>
        <v>0</v>
      </c>
      <c r="E82" s="77">
        <f t="shared" si="52"/>
        <v>0</v>
      </c>
      <c r="F82" s="77">
        <f t="shared" si="52"/>
        <v>0</v>
      </c>
      <c r="G82" s="77">
        <f t="shared" si="52"/>
        <v>0</v>
      </c>
      <c r="H82" s="77">
        <f t="shared" si="52"/>
        <v>0</v>
      </c>
      <c r="I82" s="77">
        <f t="shared" si="52"/>
        <v>27.86875</v>
      </c>
      <c r="J82" s="77">
        <f t="shared" si="52"/>
        <v>208.128795</v>
      </c>
      <c r="K82" s="77">
        <f t="shared" si="52"/>
        <v>1443.664005</v>
      </c>
      <c r="L82" s="77">
        <f t="shared" si="52"/>
        <v>1471.324645</v>
      </c>
      <c r="M82" s="77">
        <f t="shared" si="52"/>
        <v>1477.605395</v>
      </c>
      <c r="N82" s="77">
        <f t="shared" si="52"/>
        <v>1604.55729</v>
      </c>
      <c r="O82" s="77">
        <f t="shared" si="52"/>
        <v>1693.869135</v>
      </c>
      <c r="P82" s="77">
        <f t="shared" si="52"/>
        <v>2865.80021</v>
      </c>
      <c r="Q82" s="77">
        <f t="shared" si="52"/>
        <v>3719.57642</v>
      </c>
      <c r="R82" s="77">
        <f t="shared" si="52"/>
        <v>4746.21329</v>
      </c>
      <c r="S82" s="77">
        <f t="shared" si="52"/>
        <v>4760.215775</v>
      </c>
      <c r="T82" s="77">
        <f t="shared" si="52"/>
        <v>11356.64422</v>
      </c>
      <c r="U82" s="41">
        <f t="shared" ref="U82:BV82" si="53">T82</f>
        <v>11356.64422</v>
      </c>
      <c r="V82" s="41">
        <f t="shared" si="53"/>
        <v>11356.64422</v>
      </c>
      <c r="W82" s="41">
        <f t="shared" si="53"/>
        <v>11356.64422</v>
      </c>
      <c r="X82" s="41">
        <f t="shared" si="53"/>
        <v>11356.64422</v>
      </c>
      <c r="Y82" s="41">
        <f t="shared" si="53"/>
        <v>11356.64422</v>
      </c>
      <c r="Z82" s="41">
        <f t="shared" si="53"/>
        <v>11356.64422</v>
      </c>
      <c r="AA82" s="41">
        <f t="shared" si="53"/>
        <v>11356.64422</v>
      </c>
      <c r="AB82" s="41">
        <f t="shared" si="53"/>
        <v>11356.64422</v>
      </c>
      <c r="AC82" s="41">
        <f t="shared" si="53"/>
        <v>11356.64422</v>
      </c>
      <c r="AD82" s="41">
        <f t="shared" si="53"/>
        <v>11356.64422</v>
      </c>
      <c r="AE82" s="41">
        <f t="shared" si="53"/>
        <v>11356.64422</v>
      </c>
      <c r="AF82" s="41">
        <f t="shared" si="53"/>
        <v>11356.64422</v>
      </c>
      <c r="AG82" s="41">
        <f t="shared" si="53"/>
        <v>11356.64422</v>
      </c>
      <c r="AH82" s="41">
        <f t="shared" si="53"/>
        <v>11356.64422</v>
      </c>
      <c r="AI82" s="41">
        <f t="shared" si="53"/>
        <v>11356.64422</v>
      </c>
      <c r="AJ82" s="41">
        <f t="shared" si="53"/>
        <v>11356.64422</v>
      </c>
      <c r="AK82" s="41">
        <f t="shared" si="53"/>
        <v>11356.64422</v>
      </c>
      <c r="AL82" s="41">
        <f t="shared" si="53"/>
        <v>11356.64422</v>
      </c>
      <c r="AM82" s="41">
        <f t="shared" si="53"/>
        <v>11356.64422</v>
      </c>
      <c r="AN82" s="41">
        <f t="shared" si="53"/>
        <v>11356.64422</v>
      </c>
      <c r="AO82" s="41">
        <f t="shared" si="53"/>
        <v>11356.64422</v>
      </c>
      <c r="AP82" s="41">
        <f t="shared" si="53"/>
        <v>11356.64422</v>
      </c>
      <c r="AQ82" s="41">
        <f t="shared" si="53"/>
        <v>11356.64422</v>
      </c>
      <c r="AR82" s="41">
        <f t="shared" si="53"/>
        <v>11356.64422</v>
      </c>
      <c r="AS82" s="41">
        <f t="shared" si="53"/>
        <v>11356.64422</v>
      </c>
      <c r="AT82" s="41">
        <f t="shared" si="53"/>
        <v>11356.64422</v>
      </c>
      <c r="AU82" s="41">
        <f t="shared" si="53"/>
        <v>11356.64422</v>
      </c>
      <c r="AV82" s="41">
        <f t="shared" si="53"/>
        <v>11356.64422</v>
      </c>
      <c r="AW82" s="41">
        <f t="shared" si="53"/>
        <v>11356.64422</v>
      </c>
      <c r="AX82" s="41">
        <f t="shared" si="53"/>
        <v>11356.64422</v>
      </c>
      <c r="AY82" s="41">
        <f t="shared" si="53"/>
        <v>11356.64422</v>
      </c>
      <c r="AZ82" s="41">
        <f t="shared" si="53"/>
        <v>11356.64422</v>
      </c>
      <c r="BA82" s="41">
        <f t="shared" si="53"/>
        <v>11356.64422</v>
      </c>
      <c r="BB82" s="41">
        <f t="shared" si="53"/>
        <v>11356.64422</v>
      </c>
      <c r="BC82" s="41">
        <f t="shared" si="53"/>
        <v>11356.64422</v>
      </c>
      <c r="BD82" s="41">
        <f t="shared" si="53"/>
        <v>11356.64422</v>
      </c>
      <c r="BE82" s="41">
        <f t="shared" si="53"/>
        <v>11356.64422</v>
      </c>
      <c r="BF82" s="41">
        <f t="shared" si="53"/>
        <v>11356.64422</v>
      </c>
      <c r="BG82" s="41">
        <f t="shared" si="53"/>
        <v>11356.64422</v>
      </c>
      <c r="BH82" s="41">
        <f t="shared" si="53"/>
        <v>11356.64422</v>
      </c>
      <c r="BI82" s="41">
        <f t="shared" si="53"/>
        <v>11356.64422</v>
      </c>
      <c r="BJ82" s="41">
        <f t="shared" si="53"/>
        <v>11356.64422</v>
      </c>
      <c r="BK82" s="41">
        <f t="shared" si="53"/>
        <v>11356.64422</v>
      </c>
      <c r="BL82" s="41">
        <f t="shared" si="53"/>
        <v>11356.64422</v>
      </c>
      <c r="BM82" s="41">
        <f t="shared" si="53"/>
        <v>11356.64422</v>
      </c>
      <c r="BN82" s="41">
        <f t="shared" si="53"/>
        <v>11356.64422</v>
      </c>
      <c r="BO82" s="41">
        <f t="shared" si="53"/>
        <v>11356.64422</v>
      </c>
      <c r="BP82" s="41">
        <f t="shared" si="53"/>
        <v>11356.64422</v>
      </c>
      <c r="BQ82" s="41">
        <f t="shared" si="53"/>
        <v>11356.64422</v>
      </c>
      <c r="BR82" s="41">
        <f t="shared" si="53"/>
        <v>11356.64422</v>
      </c>
      <c r="BS82" s="41">
        <f t="shared" si="53"/>
        <v>11356.64422</v>
      </c>
      <c r="BT82" s="41">
        <f t="shared" si="53"/>
        <v>11356.64422</v>
      </c>
      <c r="BU82" s="41">
        <f t="shared" si="53"/>
        <v>11356.64422</v>
      </c>
      <c r="BV82" s="41">
        <f t="shared" si="53"/>
        <v>11356.64422</v>
      </c>
      <c r="BW82" s="67"/>
    </row>
    <row r="83">
      <c r="A83" s="41" t="s">
        <v>273</v>
      </c>
      <c r="B83" s="111">
        <v>5.0E-4</v>
      </c>
      <c r="C83" s="77">
        <f t="shared" ref="C83:H83" si="54">C$53*$B83</f>
        <v>0</v>
      </c>
      <c r="D83" s="77">
        <f t="shared" si="54"/>
        <v>0</v>
      </c>
      <c r="E83" s="77">
        <f t="shared" si="54"/>
        <v>0</v>
      </c>
      <c r="F83" s="77">
        <f t="shared" si="54"/>
        <v>0</v>
      </c>
      <c r="G83" s="77">
        <f t="shared" si="54"/>
        <v>0</v>
      </c>
      <c r="H83" s="77">
        <f t="shared" si="54"/>
        <v>0</v>
      </c>
      <c r="I83" s="77">
        <v>0.0</v>
      </c>
      <c r="J83" s="77">
        <f t="shared" ref="J83:V83" si="55">J$53*$B83</f>
        <v>14.8663425</v>
      </c>
      <c r="K83" s="77">
        <f t="shared" si="55"/>
        <v>103.1188575</v>
      </c>
      <c r="L83" s="77">
        <f t="shared" si="55"/>
        <v>105.0946175</v>
      </c>
      <c r="M83" s="77">
        <f t="shared" si="55"/>
        <v>105.5432425</v>
      </c>
      <c r="N83" s="77">
        <f t="shared" si="55"/>
        <v>114.611235</v>
      </c>
      <c r="O83" s="77">
        <f t="shared" si="55"/>
        <v>120.9906525</v>
      </c>
      <c r="P83" s="77">
        <f t="shared" si="55"/>
        <v>204.700015</v>
      </c>
      <c r="Q83" s="77">
        <f t="shared" si="55"/>
        <v>265.68403</v>
      </c>
      <c r="R83" s="77">
        <f t="shared" si="55"/>
        <v>339.015235</v>
      </c>
      <c r="S83" s="77">
        <f t="shared" si="55"/>
        <v>340.0154125</v>
      </c>
      <c r="T83" s="77">
        <f t="shared" si="55"/>
        <v>811.1888725</v>
      </c>
      <c r="U83" s="77">
        <f t="shared" si="55"/>
        <v>812.69639</v>
      </c>
      <c r="V83" s="77">
        <f t="shared" si="55"/>
        <v>1028.369818</v>
      </c>
      <c r="W83" s="41">
        <f t="shared" ref="W83:BV83" si="56">V83</f>
        <v>1028.369818</v>
      </c>
      <c r="X83" s="41">
        <f t="shared" si="56"/>
        <v>1028.369818</v>
      </c>
      <c r="Y83" s="41">
        <f t="shared" si="56"/>
        <v>1028.369818</v>
      </c>
      <c r="Z83" s="41">
        <f t="shared" si="56"/>
        <v>1028.369818</v>
      </c>
      <c r="AA83" s="41">
        <f t="shared" si="56"/>
        <v>1028.369818</v>
      </c>
      <c r="AB83" s="41">
        <f t="shared" si="56"/>
        <v>1028.369818</v>
      </c>
      <c r="AC83" s="41">
        <f t="shared" si="56"/>
        <v>1028.369818</v>
      </c>
      <c r="AD83" s="41">
        <f t="shared" si="56"/>
        <v>1028.369818</v>
      </c>
      <c r="AE83" s="41">
        <f t="shared" si="56"/>
        <v>1028.369818</v>
      </c>
      <c r="AF83" s="41">
        <f t="shared" si="56"/>
        <v>1028.369818</v>
      </c>
      <c r="AG83" s="41">
        <f t="shared" si="56"/>
        <v>1028.369818</v>
      </c>
      <c r="AH83" s="41">
        <f t="shared" si="56"/>
        <v>1028.369818</v>
      </c>
      <c r="AI83" s="41">
        <f t="shared" si="56"/>
        <v>1028.369818</v>
      </c>
      <c r="AJ83" s="41">
        <f t="shared" si="56"/>
        <v>1028.369818</v>
      </c>
      <c r="AK83" s="41">
        <f t="shared" si="56"/>
        <v>1028.369818</v>
      </c>
      <c r="AL83" s="41">
        <f t="shared" si="56"/>
        <v>1028.369818</v>
      </c>
      <c r="AM83" s="41">
        <f t="shared" si="56"/>
        <v>1028.369818</v>
      </c>
      <c r="AN83" s="41">
        <f t="shared" si="56"/>
        <v>1028.369818</v>
      </c>
      <c r="AO83" s="41">
        <f t="shared" si="56"/>
        <v>1028.369818</v>
      </c>
      <c r="AP83" s="41">
        <f t="shared" si="56"/>
        <v>1028.369818</v>
      </c>
      <c r="AQ83" s="41">
        <f t="shared" si="56"/>
        <v>1028.369818</v>
      </c>
      <c r="AR83" s="41">
        <f t="shared" si="56"/>
        <v>1028.369818</v>
      </c>
      <c r="AS83" s="41">
        <f t="shared" si="56"/>
        <v>1028.369818</v>
      </c>
      <c r="AT83" s="41">
        <f t="shared" si="56"/>
        <v>1028.369818</v>
      </c>
      <c r="AU83" s="41">
        <f t="shared" si="56"/>
        <v>1028.369818</v>
      </c>
      <c r="AV83" s="41">
        <f t="shared" si="56"/>
        <v>1028.369818</v>
      </c>
      <c r="AW83" s="41">
        <f t="shared" si="56"/>
        <v>1028.369818</v>
      </c>
      <c r="AX83" s="41">
        <f t="shared" si="56"/>
        <v>1028.369818</v>
      </c>
      <c r="AY83" s="41">
        <f t="shared" si="56"/>
        <v>1028.369818</v>
      </c>
      <c r="AZ83" s="41">
        <f t="shared" si="56"/>
        <v>1028.369818</v>
      </c>
      <c r="BA83" s="41">
        <f t="shared" si="56"/>
        <v>1028.369818</v>
      </c>
      <c r="BB83" s="41">
        <f t="shared" si="56"/>
        <v>1028.369818</v>
      </c>
      <c r="BC83" s="41">
        <f t="shared" si="56"/>
        <v>1028.369818</v>
      </c>
      <c r="BD83" s="41">
        <f t="shared" si="56"/>
        <v>1028.369818</v>
      </c>
      <c r="BE83" s="41">
        <f t="shared" si="56"/>
        <v>1028.369818</v>
      </c>
      <c r="BF83" s="41">
        <f t="shared" si="56"/>
        <v>1028.369818</v>
      </c>
      <c r="BG83" s="41">
        <f t="shared" si="56"/>
        <v>1028.369818</v>
      </c>
      <c r="BH83" s="41">
        <f t="shared" si="56"/>
        <v>1028.369818</v>
      </c>
      <c r="BI83" s="41">
        <f t="shared" si="56"/>
        <v>1028.369818</v>
      </c>
      <c r="BJ83" s="41">
        <f t="shared" si="56"/>
        <v>1028.369818</v>
      </c>
      <c r="BK83" s="41">
        <f t="shared" si="56"/>
        <v>1028.369818</v>
      </c>
      <c r="BL83" s="41">
        <f t="shared" si="56"/>
        <v>1028.369818</v>
      </c>
      <c r="BM83" s="41">
        <f t="shared" si="56"/>
        <v>1028.369818</v>
      </c>
      <c r="BN83" s="41">
        <f t="shared" si="56"/>
        <v>1028.369818</v>
      </c>
      <c r="BO83" s="41">
        <f t="shared" si="56"/>
        <v>1028.369818</v>
      </c>
      <c r="BP83" s="41">
        <f t="shared" si="56"/>
        <v>1028.369818</v>
      </c>
      <c r="BQ83" s="41">
        <f t="shared" si="56"/>
        <v>1028.369818</v>
      </c>
      <c r="BR83" s="41">
        <f t="shared" si="56"/>
        <v>1028.369818</v>
      </c>
      <c r="BS83" s="41">
        <f t="shared" si="56"/>
        <v>1028.369818</v>
      </c>
      <c r="BT83" s="41">
        <f t="shared" si="56"/>
        <v>1028.369818</v>
      </c>
      <c r="BU83" s="41">
        <f t="shared" si="56"/>
        <v>1028.369818</v>
      </c>
      <c r="BV83" s="41">
        <f t="shared" si="56"/>
        <v>1028.369818</v>
      </c>
      <c r="BW83" s="67"/>
    </row>
    <row r="84">
      <c r="A84" s="41" t="s">
        <v>274</v>
      </c>
      <c r="B84" s="111">
        <v>5.0E-4</v>
      </c>
      <c r="C84" s="77">
        <f t="shared" ref="C84:H84" si="57">C$53*$B84</f>
        <v>0</v>
      </c>
      <c r="D84" s="77">
        <f t="shared" si="57"/>
        <v>0</v>
      </c>
      <c r="E84" s="77">
        <f t="shared" si="57"/>
        <v>0</v>
      </c>
      <c r="F84" s="77">
        <f t="shared" si="57"/>
        <v>0</v>
      </c>
      <c r="G84" s="77">
        <f t="shared" si="57"/>
        <v>0</v>
      </c>
      <c r="H84" s="77">
        <f t="shared" si="57"/>
        <v>0</v>
      </c>
      <c r="I84" s="77">
        <v>0.0</v>
      </c>
      <c r="J84" s="77">
        <f t="shared" ref="J84:V84" si="58">J$53*$B84</f>
        <v>14.8663425</v>
      </c>
      <c r="K84" s="77">
        <f t="shared" si="58"/>
        <v>103.1188575</v>
      </c>
      <c r="L84" s="77">
        <f t="shared" si="58"/>
        <v>105.0946175</v>
      </c>
      <c r="M84" s="77">
        <f t="shared" si="58"/>
        <v>105.5432425</v>
      </c>
      <c r="N84" s="77">
        <f t="shared" si="58"/>
        <v>114.611235</v>
      </c>
      <c r="O84" s="77">
        <f t="shared" si="58"/>
        <v>120.9906525</v>
      </c>
      <c r="P84" s="77">
        <f t="shared" si="58"/>
        <v>204.700015</v>
      </c>
      <c r="Q84" s="77">
        <f t="shared" si="58"/>
        <v>265.68403</v>
      </c>
      <c r="R84" s="77">
        <f t="shared" si="58"/>
        <v>339.015235</v>
      </c>
      <c r="S84" s="77">
        <f t="shared" si="58"/>
        <v>340.0154125</v>
      </c>
      <c r="T84" s="77">
        <f t="shared" si="58"/>
        <v>811.1888725</v>
      </c>
      <c r="U84" s="77">
        <f t="shared" si="58"/>
        <v>812.69639</v>
      </c>
      <c r="V84" s="77">
        <f t="shared" si="58"/>
        <v>1028.369818</v>
      </c>
      <c r="W84" s="41">
        <f t="shared" ref="W84:BV84" si="59">V84</f>
        <v>1028.369818</v>
      </c>
      <c r="X84" s="41">
        <f t="shared" si="59"/>
        <v>1028.369818</v>
      </c>
      <c r="Y84" s="41">
        <f t="shared" si="59"/>
        <v>1028.369818</v>
      </c>
      <c r="Z84" s="41">
        <f t="shared" si="59"/>
        <v>1028.369818</v>
      </c>
      <c r="AA84" s="41">
        <f t="shared" si="59"/>
        <v>1028.369818</v>
      </c>
      <c r="AB84" s="41">
        <f t="shared" si="59"/>
        <v>1028.369818</v>
      </c>
      <c r="AC84" s="41">
        <f t="shared" si="59"/>
        <v>1028.369818</v>
      </c>
      <c r="AD84" s="41">
        <f t="shared" si="59"/>
        <v>1028.369818</v>
      </c>
      <c r="AE84" s="41">
        <f t="shared" si="59"/>
        <v>1028.369818</v>
      </c>
      <c r="AF84" s="41">
        <f t="shared" si="59"/>
        <v>1028.369818</v>
      </c>
      <c r="AG84" s="41">
        <f t="shared" si="59"/>
        <v>1028.369818</v>
      </c>
      <c r="AH84" s="41">
        <f t="shared" si="59"/>
        <v>1028.369818</v>
      </c>
      <c r="AI84" s="41">
        <f t="shared" si="59"/>
        <v>1028.369818</v>
      </c>
      <c r="AJ84" s="41">
        <f t="shared" si="59"/>
        <v>1028.369818</v>
      </c>
      <c r="AK84" s="41">
        <f t="shared" si="59"/>
        <v>1028.369818</v>
      </c>
      <c r="AL84" s="41">
        <f t="shared" si="59"/>
        <v>1028.369818</v>
      </c>
      <c r="AM84" s="41">
        <f t="shared" si="59"/>
        <v>1028.369818</v>
      </c>
      <c r="AN84" s="41">
        <f t="shared" si="59"/>
        <v>1028.369818</v>
      </c>
      <c r="AO84" s="41">
        <f t="shared" si="59"/>
        <v>1028.369818</v>
      </c>
      <c r="AP84" s="41">
        <f t="shared" si="59"/>
        <v>1028.369818</v>
      </c>
      <c r="AQ84" s="41">
        <f t="shared" si="59"/>
        <v>1028.369818</v>
      </c>
      <c r="AR84" s="41">
        <f t="shared" si="59"/>
        <v>1028.369818</v>
      </c>
      <c r="AS84" s="41">
        <f t="shared" si="59"/>
        <v>1028.369818</v>
      </c>
      <c r="AT84" s="41">
        <f t="shared" si="59"/>
        <v>1028.369818</v>
      </c>
      <c r="AU84" s="41">
        <f t="shared" si="59"/>
        <v>1028.369818</v>
      </c>
      <c r="AV84" s="41">
        <f t="shared" si="59"/>
        <v>1028.369818</v>
      </c>
      <c r="AW84" s="41">
        <f t="shared" si="59"/>
        <v>1028.369818</v>
      </c>
      <c r="AX84" s="41">
        <f t="shared" si="59"/>
        <v>1028.369818</v>
      </c>
      <c r="AY84" s="41">
        <f t="shared" si="59"/>
        <v>1028.369818</v>
      </c>
      <c r="AZ84" s="41">
        <f t="shared" si="59"/>
        <v>1028.369818</v>
      </c>
      <c r="BA84" s="41">
        <f t="shared" si="59"/>
        <v>1028.369818</v>
      </c>
      <c r="BB84" s="41">
        <f t="shared" si="59"/>
        <v>1028.369818</v>
      </c>
      <c r="BC84" s="41">
        <f t="shared" si="59"/>
        <v>1028.369818</v>
      </c>
      <c r="BD84" s="41">
        <f t="shared" si="59"/>
        <v>1028.369818</v>
      </c>
      <c r="BE84" s="41">
        <f t="shared" si="59"/>
        <v>1028.369818</v>
      </c>
      <c r="BF84" s="41">
        <f t="shared" si="59"/>
        <v>1028.369818</v>
      </c>
      <c r="BG84" s="41">
        <f t="shared" si="59"/>
        <v>1028.369818</v>
      </c>
      <c r="BH84" s="41">
        <f t="shared" si="59"/>
        <v>1028.369818</v>
      </c>
      <c r="BI84" s="41">
        <f t="shared" si="59"/>
        <v>1028.369818</v>
      </c>
      <c r="BJ84" s="41">
        <f t="shared" si="59"/>
        <v>1028.369818</v>
      </c>
      <c r="BK84" s="41">
        <f t="shared" si="59"/>
        <v>1028.369818</v>
      </c>
      <c r="BL84" s="41">
        <f t="shared" si="59"/>
        <v>1028.369818</v>
      </c>
      <c r="BM84" s="41">
        <f t="shared" si="59"/>
        <v>1028.369818</v>
      </c>
      <c r="BN84" s="41">
        <f t="shared" si="59"/>
        <v>1028.369818</v>
      </c>
      <c r="BO84" s="41">
        <f t="shared" si="59"/>
        <v>1028.369818</v>
      </c>
      <c r="BP84" s="41">
        <f t="shared" si="59"/>
        <v>1028.369818</v>
      </c>
      <c r="BQ84" s="41">
        <f t="shared" si="59"/>
        <v>1028.369818</v>
      </c>
      <c r="BR84" s="41">
        <f t="shared" si="59"/>
        <v>1028.369818</v>
      </c>
      <c r="BS84" s="41">
        <f t="shared" si="59"/>
        <v>1028.369818</v>
      </c>
      <c r="BT84" s="41">
        <f t="shared" si="59"/>
        <v>1028.369818</v>
      </c>
      <c r="BU84" s="41">
        <f t="shared" si="59"/>
        <v>1028.369818</v>
      </c>
      <c r="BV84" s="41">
        <f t="shared" si="59"/>
        <v>1028.369818</v>
      </c>
      <c r="BW84" s="67"/>
    </row>
    <row r="85">
      <c r="A85" s="41" t="s">
        <v>275</v>
      </c>
      <c r="B85" s="111">
        <v>5.0E-4</v>
      </c>
      <c r="C85" s="77">
        <f t="shared" ref="C85:H85" si="60">C$53*$B85</f>
        <v>0</v>
      </c>
      <c r="D85" s="77">
        <f t="shared" si="60"/>
        <v>0</v>
      </c>
      <c r="E85" s="77">
        <f t="shared" si="60"/>
        <v>0</v>
      </c>
      <c r="F85" s="77">
        <f t="shared" si="60"/>
        <v>0</v>
      </c>
      <c r="G85" s="77">
        <f t="shared" si="60"/>
        <v>0</v>
      </c>
      <c r="H85" s="77">
        <f t="shared" si="60"/>
        <v>0</v>
      </c>
      <c r="I85" s="77">
        <v>0.0</v>
      </c>
      <c r="J85" s="77">
        <f t="shared" ref="J85:V85" si="61">J$53*$B85</f>
        <v>14.8663425</v>
      </c>
      <c r="K85" s="77">
        <f t="shared" si="61"/>
        <v>103.1188575</v>
      </c>
      <c r="L85" s="77">
        <f t="shared" si="61"/>
        <v>105.0946175</v>
      </c>
      <c r="M85" s="77">
        <f t="shared" si="61"/>
        <v>105.5432425</v>
      </c>
      <c r="N85" s="77">
        <f t="shared" si="61"/>
        <v>114.611235</v>
      </c>
      <c r="O85" s="77">
        <f t="shared" si="61"/>
        <v>120.9906525</v>
      </c>
      <c r="P85" s="77">
        <f t="shared" si="61"/>
        <v>204.700015</v>
      </c>
      <c r="Q85" s="77">
        <f t="shared" si="61"/>
        <v>265.68403</v>
      </c>
      <c r="R85" s="77">
        <f t="shared" si="61"/>
        <v>339.015235</v>
      </c>
      <c r="S85" s="77">
        <f t="shared" si="61"/>
        <v>340.0154125</v>
      </c>
      <c r="T85" s="77">
        <f t="shared" si="61"/>
        <v>811.1888725</v>
      </c>
      <c r="U85" s="77">
        <f t="shared" si="61"/>
        <v>812.69639</v>
      </c>
      <c r="V85" s="77">
        <f t="shared" si="61"/>
        <v>1028.369818</v>
      </c>
      <c r="W85" s="41">
        <f t="shared" ref="W85:BV85" si="62">V85</f>
        <v>1028.369818</v>
      </c>
      <c r="X85" s="41">
        <f t="shared" si="62"/>
        <v>1028.369818</v>
      </c>
      <c r="Y85" s="41">
        <f t="shared" si="62"/>
        <v>1028.369818</v>
      </c>
      <c r="Z85" s="41">
        <f t="shared" si="62"/>
        <v>1028.369818</v>
      </c>
      <c r="AA85" s="41">
        <f t="shared" si="62"/>
        <v>1028.369818</v>
      </c>
      <c r="AB85" s="41">
        <f t="shared" si="62"/>
        <v>1028.369818</v>
      </c>
      <c r="AC85" s="41">
        <f t="shared" si="62"/>
        <v>1028.369818</v>
      </c>
      <c r="AD85" s="41">
        <f t="shared" si="62"/>
        <v>1028.369818</v>
      </c>
      <c r="AE85" s="41">
        <f t="shared" si="62"/>
        <v>1028.369818</v>
      </c>
      <c r="AF85" s="41">
        <f t="shared" si="62"/>
        <v>1028.369818</v>
      </c>
      <c r="AG85" s="41">
        <f t="shared" si="62"/>
        <v>1028.369818</v>
      </c>
      <c r="AH85" s="41">
        <f t="shared" si="62"/>
        <v>1028.369818</v>
      </c>
      <c r="AI85" s="41">
        <f t="shared" si="62"/>
        <v>1028.369818</v>
      </c>
      <c r="AJ85" s="41">
        <f t="shared" si="62"/>
        <v>1028.369818</v>
      </c>
      <c r="AK85" s="41">
        <f t="shared" si="62"/>
        <v>1028.369818</v>
      </c>
      <c r="AL85" s="41">
        <f t="shared" si="62"/>
        <v>1028.369818</v>
      </c>
      <c r="AM85" s="41">
        <f t="shared" si="62"/>
        <v>1028.369818</v>
      </c>
      <c r="AN85" s="41">
        <f t="shared" si="62"/>
        <v>1028.369818</v>
      </c>
      <c r="AO85" s="41">
        <f t="shared" si="62"/>
        <v>1028.369818</v>
      </c>
      <c r="AP85" s="41">
        <f t="shared" si="62"/>
        <v>1028.369818</v>
      </c>
      <c r="AQ85" s="41">
        <f t="shared" si="62"/>
        <v>1028.369818</v>
      </c>
      <c r="AR85" s="41">
        <f t="shared" si="62"/>
        <v>1028.369818</v>
      </c>
      <c r="AS85" s="41">
        <f t="shared" si="62"/>
        <v>1028.369818</v>
      </c>
      <c r="AT85" s="41">
        <f t="shared" si="62"/>
        <v>1028.369818</v>
      </c>
      <c r="AU85" s="41">
        <f t="shared" si="62"/>
        <v>1028.369818</v>
      </c>
      <c r="AV85" s="41">
        <f t="shared" si="62"/>
        <v>1028.369818</v>
      </c>
      <c r="AW85" s="41">
        <f t="shared" si="62"/>
        <v>1028.369818</v>
      </c>
      <c r="AX85" s="41">
        <f t="shared" si="62"/>
        <v>1028.369818</v>
      </c>
      <c r="AY85" s="41">
        <f t="shared" si="62"/>
        <v>1028.369818</v>
      </c>
      <c r="AZ85" s="41">
        <f t="shared" si="62"/>
        <v>1028.369818</v>
      </c>
      <c r="BA85" s="41">
        <f t="shared" si="62"/>
        <v>1028.369818</v>
      </c>
      <c r="BB85" s="41">
        <f t="shared" si="62"/>
        <v>1028.369818</v>
      </c>
      <c r="BC85" s="41">
        <f t="shared" si="62"/>
        <v>1028.369818</v>
      </c>
      <c r="BD85" s="41">
        <f t="shared" si="62"/>
        <v>1028.369818</v>
      </c>
      <c r="BE85" s="41">
        <f t="shared" si="62"/>
        <v>1028.369818</v>
      </c>
      <c r="BF85" s="41">
        <f t="shared" si="62"/>
        <v>1028.369818</v>
      </c>
      <c r="BG85" s="41">
        <f t="shared" si="62"/>
        <v>1028.369818</v>
      </c>
      <c r="BH85" s="41">
        <f t="shared" si="62"/>
        <v>1028.369818</v>
      </c>
      <c r="BI85" s="41">
        <f t="shared" si="62"/>
        <v>1028.369818</v>
      </c>
      <c r="BJ85" s="41">
        <f t="shared" si="62"/>
        <v>1028.369818</v>
      </c>
      <c r="BK85" s="41">
        <f t="shared" si="62"/>
        <v>1028.369818</v>
      </c>
      <c r="BL85" s="41">
        <f t="shared" si="62"/>
        <v>1028.369818</v>
      </c>
      <c r="BM85" s="41">
        <f t="shared" si="62"/>
        <v>1028.369818</v>
      </c>
      <c r="BN85" s="41">
        <f t="shared" si="62"/>
        <v>1028.369818</v>
      </c>
      <c r="BO85" s="41">
        <f t="shared" si="62"/>
        <v>1028.369818</v>
      </c>
      <c r="BP85" s="41">
        <f t="shared" si="62"/>
        <v>1028.369818</v>
      </c>
      <c r="BQ85" s="41">
        <f t="shared" si="62"/>
        <v>1028.369818</v>
      </c>
      <c r="BR85" s="41">
        <f t="shared" si="62"/>
        <v>1028.369818</v>
      </c>
      <c r="BS85" s="41">
        <f t="shared" si="62"/>
        <v>1028.369818</v>
      </c>
      <c r="BT85" s="41">
        <f t="shared" si="62"/>
        <v>1028.369818</v>
      </c>
      <c r="BU85" s="41">
        <f t="shared" si="62"/>
        <v>1028.369818</v>
      </c>
      <c r="BV85" s="41">
        <f t="shared" si="62"/>
        <v>1028.369818</v>
      </c>
      <c r="BW85" s="67"/>
    </row>
    <row r="86">
      <c r="A86" s="41" t="s">
        <v>276</v>
      </c>
      <c r="B86" s="111">
        <v>5.0E-4</v>
      </c>
      <c r="C86" s="77">
        <f t="shared" ref="C86:H86" si="63">C$53*$B86</f>
        <v>0</v>
      </c>
      <c r="D86" s="77">
        <f t="shared" si="63"/>
        <v>0</v>
      </c>
      <c r="E86" s="77">
        <f t="shared" si="63"/>
        <v>0</v>
      </c>
      <c r="F86" s="77">
        <f t="shared" si="63"/>
        <v>0</v>
      </c>
      <c r="G86" s="77">
        <f t="shared" si="63"/>
        <v>0</v>
      </c>
      <c r="H86" s="77">
        <f t="shared" si="63"/>
        <v>0</v>
      </c>
      <c r="I86" s="77">
        <v>0.0</v>
      </c>
      <c r="J86" s="77">
        <f t="shared" ref="J86:V86" si="64">J$53*$B86</f>
        <v>14.8663425</v>
      </c>
      <c r="K86" s="77">
        <f t="shared" si="64"/>
        <v>103.1188575</v>
      </c>
      <c r="L86" s="77">
        <f t="shared" si="64"/>
        <v>105.0946175</v>
      </c>
      <c r="M86" s="77">
        <f t="shared" si="64"/>
        <v>105.5432425</v>
      </c>
      <c r="N86" s="77">
        <f t="shared" si="64"/>
        <v>114.611235</v>
      </c>
      <c r="O86" s="77">
        <f t="shared" si="64"/>
        <v>120.9906525</v>
      </c>
      <c r="P86" s="77">
        <f t="shared" si="64"/>
        <v>204.700015</v>
      </c>
      <c r="Q86" s="77">
        <f t="shared" si="64"/>
        <v>265.68403</v>
      </c>
      <c r="R86" s="77">
        <f t="shared" si="64"/>
        <v>339.015235</v>
      </c>
      <c r="S86" s="77">
        <f t="shared" si="64"/>
        <v>340.0154125</v>
      </c>
      <c r="T86" s="77">
        <f t="shared" si="64"/>
        <v>811.1888725</v>
      </c>
      <c r="U86" s="77">
        <f t="shared" si="64"/>
        <v>812.69639</v>
      </c>
      <c r="V86" s="77">
        <f t="shared" si="64"/>
        <v>1028.369818</v>
      </c>
      <c r="W86" s="41">
        <f t="shared" ref="W86:BV86" si="65">V86</f>
        <v>1028.369818</v>
      </c>
      <c r="X86" s="41">
        <f t="shared" si="65"/>
        <v>1028.369818</v>
      </c>
      <c r="Y86" s="41">
        <f t="shared" si="65"/>
        <v>1028.369818</v>
      </c>
      <c r="Z86" s="41">
        <f t="shared" si="65"/>
        <v>1028.369818</v>
      </c>
      <c r="AA86" s="41">
        <f t="shared" si="65"/>
        <v>1028.369818</v>
      </c>
      <c r="AB86" s="41">
        <f t="shared" si="65"/>
        <v>1028.369818</v>
      </c>
      <c r="AC86" s="41">
        <f t="shared" si="65"/>
        <v>1028.369818</v>
      </c>
      <c r="AD86" s="41">
        <f t="shared" si="65"/>
        <v>1028.369818</v>
      </c>
      <c r="AE86" s="41">
        <f t="shared" si="65"/>
        <v>1028.369818</v>
      </c>
      <c r="AF86" s="41">
        <f t="shared" si="65"/>
        <v>1028.369818</v>
      </c>
      <c r="AG86" s="41">
        <f t="shared" si="65"/>
        <v>1028.369818</v>
      </c>
      <c r="AH86" s="41">
        <f t="shared" si="65"/>
        <v>1028.369818</v>
      </c>
      <c r="AI86" s="41">
        <f t="shared" si="65"/>
        <v>1028.369818</v>
      </c>
      <c r="AJ86" s="41">
        <f t="shared" si="65"/>
        <v>1028.369818</v>
      </c>
      <c r="AK86" s="41">
        <f t="shared" si="65"/>
        <v>1028.369818</v>
      </c>
      <c r="AL86" s="41">
        <f t="shared" si="65"/>
        <v>1028.369818</v>
      </c>
      <c r="AM86" s="41">
        <f t="shared" si="65"/>
        <v>1028.369818</v>
      </c>
      <c r="AN86" s="41">
        <f t="shared" si="65"/>
        <v>1028.369818</v>
      </c>
      <c r="AO86" s="41">
        <f t="shared" si="65"/>
        <v>1028.369818</v>
      </c>
      <c r="AP86" s="41">
        <f t="shared" si="65"/>
        <v>1028.369818</v>
      </c>
      <c r="AQ86" s="41">
        <f t="shared" si="65"/>
        <v>1028.369818</v>
      </c>
      <c r="AR86" s="41">
        <f t="shared" si="65"/>
        <v>1028.369818</v>
      </c>
      <c r="AS86" s="41">
        <f t="shared" si="65"/>
        <v>1028.369818</v>
      </c>
      <c r="AT86" s="41">
        <f t="shared" si="65"/>
        <v>1028.369818</v>
      </c>
      <c r="AU86" s="41">
        <f t="shared" si="65"/>
        <v>1028.369818</v>
      </c>
      <c r="AV86" s="41">
        <f t="shared" si="65"/>
        <v>1028.369818</v>
      </c>
      <c r="AW86" s="41">
        <f t="shared" si="65"/>
        <v>1028.369818</v>
      </c>
      <c r="AX86" s="41">
        <f t="shared" si="65"/>
        <v>1028.369818</v>
      </c>
      <c r="AY86" s="41">
        <f t="shared" si="65"/>
        <v>1028.369818</v>
      </c>
      <c r="AZ86" s="41">
        <f t="shared" si="65"/>
        <v>1028.369818</v>
      </c>
      <c r="BA86" s="41">
        <f t="shared" si="65"/>
        <v>1028.369818</v>
      </c>
      <c r="BB86" s="41">
        <f t="shared" si="65"/>
        <v>1028.369818</v>
      </c>
      <c r="BC86" s="41">
        <f t="shared" si="65"/>
        <v>1028.369818</v>
      </c>
      <c r="BD86" s="41">
        <f t="shared" si="65"/>
        <v>1028.369818</v>
      </c>
      <c r="BE86" s="41">
        <f t="shared" si="65"/>
        <v>1028.369818</v>
      </c>
      <c r="BF86" s="41">
        <f t="shared" si="65"/>
        <v>1028.369818</v>
      </c>
      <c r="BG86" s="41">
        <f t="shared" si="65"/>
        <v>1028.369818</v>
      </c>
      <c r="BH86" s="41">
        <f t="shared" si="65"/>
        <v>1028.369818</v>
      </c>
      <c r="BI86" s="41">
        <f t="shared" si="65"/>
        <v>1028.369818</v>
      </c>
      <c r="BJ86" s="41">
        <f t="shared" si="65"/>
        <v>1028.369818</v>
      </c>
      <c r="BK86" s="41">
        <f t="shared" si="65"/>
        <v>1028.369818</v>
      </c>
      <c r="BL86" s="41">
        <f t="shared" si="65"/>
        <v>1028.369818</v>
      </c>
      <c r="BM86" s="41">
        <f t="shared" si="65"/>
        <v>1028.369818</v>
      </c>
      <c r="BN86" s="41">
        <f t="shared" si="65"/>
        <v>1028.369818</v>
      </c>
      <c r="BO86" s="41">
        <f t="shared" si="65"/>
        <v>1028.369818</v>
      </c>
      <c r="BP86" s="41">
        <f t="shared" si="65"/>
        <v>1028.369818</v>
      </c>
      <c r="BQ86" s="41">
        <f t="shared" si="65"/>
        <v>1028.369818</v>
      </c>
      <c r="BR86" s="41">
        <f t="shared" si="65"/>
        <v>1028.369818</v>
      </c>
      <c r="BS86" s="41">
        <f t="shared" si="65"/>
        <v>1028.369818</v>
      </c>
      <c r="BT86" s="41">
        <f t="shared" si="65"/>
        <v>1028.369818</v>
      </c>
      <c r="BU86" s="41">
        <f t="shared" si="65"/>
        <v>1028.369818</v>
      </c>
      <c r="BV86" s="41">
        <f t="shared" si="65"/>
        <v>1028.369818</v>
      </c>
      <c r="BW86" s="67"/>
    </row>
    <row r="87">
      <c r="A87" s="41" t="s">
        <v>277</v>
      </c>
      <c r="B87" s="111">
        <v>5.0E-4</v>
      </c>
      <c r="C87" s="77">
        <f t="shared" ref="C87:H87" si="66">C$53*$B87</f>
        <v>0</v>
      </c>
      <c r="D87" s="77">
        <f t="shared" si="66"/>
        <v>0</v>
      </c>
      <c r="E87" s="77">
        <f t="shared" si="66"/>
        <v>0</v>
      </c>
      <c r="F87" s="77">
        <f t="shared" si="66"/>
        <v>0</v>
      </c>
      <c r="G87" s="77">
        <f t="shared" si="66"/>
        <v>0</v>
      </c>
      <c r="H87" s="77">
        <f t="shared" si="66"/>
        <v>0</v>
      </c>
      <c r="I87" s="77">
        <v>0.0</v>
      </c>
      <c r="J87" s="77">
        <f t="shared" ref="J87:V87" si="67">J$53*$B87</f>
        <v>14.8663425</v>
      </c>
      <c r="K87" s="77">
        <f t="shared" si="67"/>
        <v>103.1188575</v>
      </c>
      <c r="L87" s="77">
        <f t="shared" si="67"/>
        <v>105.0946175</v>
      </c>
      <c r="M87" s="77">
        <f t="shared" si="67"/>
        <v>105.5432425</v>
      </c>
      <c r="N87" s="77">
        <f t="shared" si="67"/>
        <v>114.611235</v>
      </c>
      <c r="O87" s="77">
        <f t="shared" si="67"/>
        <v>120.9906525</v>
      </c>
      <c r="P87" s="77">
        <f t="shared" si="67"/>
        <v>204.700015</v>
      </c>
      <c r="Q87" s="77">
        <f t="shared" si="67"/>
        <v>265.68403</v>
      </c>
      <c r="R87" s="77">
        <f t="shared" si="67"/>
        <v>339.015235</v>
      </c>
      <c r="S87" s="77">
        <f t="shared" si="67"/>
        <v>340.0154125</v>
      </c>
      <c r="T87" s="77">
        <f t="shared" si="67"/>
        <v>811.1888725</v>
      </c>
      <c r="U87" s="77">
        <f t="shared" si="67"/>
        <v>812.69639</v>
      </c>
      <c r="V87" s="77">
        <f t="shared" si="67"/>
        <v>1028.369818</v>
      </c>
      <c r="W87" s="41">
        <f t="shared" ref="W87:BV87" si="68">V87</f>
        <v>1028.369818</v>
      </c>
      <c r="X87" s="41">
        <f t="shared" si="68"/>
        <v>1028.369818</v>
      </c>
      <c r="Y87" s="41">
        <f t="shared" si="68"/>
        <v>1028.369818</v>
      </c>
      <c r="Z87" s="41">
        <f t="shared" si="68"/>
        <v>1028.369818</v>
      </c>
      <c r="AA87" s="41">
        <f t="shared" si="68"/>
        <v>1028.369818</v>
      </c>
      <c r="AB87" s="41">
        <f t="shared" si="68"/>
        <v>1028.369818</v>
      </c>
      <c r="AC87" s="41">
        <f t="shared" si="68"/>
        <v>1028.369818</v>
      </c>
      <c r="AD87" s="41">
        <f t="shared" si="68"/>
        <v>1028.369818</v>
      </c>
      <c r="AE87" s="41">
        <f t="shared" si="68"/>
        <v>1028.369818</v>
      </c>
      <c r="AF87" s="41">
        <f t="shared" si="68"/>
        <v>1028.369818</v>
      </c>
      <c r="AG87" s="41">
        <f t="shared" si="68"/>
        <v>1028.369818</v>
      </c>
      <c r="AH87" s="41">
        <f t="shared" si="68"/>
        <v>1028.369818</v>
      </c>
      <c r="AI87" s="41">
        <f t="shared" si="68"/>
        <v>1028.369818</v>
      </c>
      <c r="AJ87" s="41">
        <f t="shared" si="68"/>
        <v>1028.369818</v>
      </c>
      <c r="AK87" s="41">
        <f t="shared" si="68"/>
        <v>1028.369818</v>
      </c>
      <c r="AL87" s="41">
        <f t="shared" si="68"/>
        <v>1028.369818</v>
      </c>
      <c r="AM87" s="41">
        <f t="shared" si="68"/>
        <v>1028.369818</v>
      </c>
      <c r="AN87" s="41">
        <f t="shared" si="68"/>
        <v>1028.369818</v>
      </c>
      <c r="AO87" s="41">
        <f t="shared" si="68"/>
        <v>1028.369818</v>
      </c>
      <c r="AP87" s="41">
        <f t="shared" si="68"/>
        <v>1028.369818</v>
      </c>
      <c r="AQ87" s="41">
        <f t="shared" si="68"/>
        <v>1028.369818</v>
      </c>
      <c r="AR87" s="41">
        <f t="shared" si="68"/>
        <v>1028.369818</v>
      </c>
      <c r="AS87" s="41">
        <f t="shared" si="68"/>
        <v>1028.369818</v>
      </c>
      <c r="AT87" s="41">
        <f t="shared" si="68"/>
        <v>1028.369818</v>
      </c>
      <c r="AU87" s="41">
        <f t="shared" si="68"/>
        <v>1028.369818</v>
      </c>
      <c r="AV87" s="41">
        <f t="shared" si="68"/>
        <v>1028.369818</v>
      </c>
      <c r="AW87" s="41">
        <f t="shared" si="68"/>
        <v>1028.369818</v>
      </c>
      <c r="AX87" s="41">
        <f t="shared" si="68"/>
        <v>1028.369818</v>
      </c>
      <c r="AY87" s="41">
        <f t="shared" si="68"/>
        <v>1028.369818</v>
      </c>
      <c r="AZ87" s="41">
        <f t="shared" si="68"/>
        <v>1028.369818</v>
      </c>
      <c r="BA87" s="41">
        <f t="shared" si="68"/>
        <v>1028.369818</v>
      </c>
      <c r="BB87" s="41">
        <f t="shared" si="68"/>
        <v>1028.369818</v>
      </c>
      <c r="BC87" s="41">
        <f t="shared" si="68"/>
        <v>1028.369818</v>
      </c>
      <c r="BD87" s="41">
        <f t="shared" si="68"/>
        <v>1028.369818</v>
      </c>
      <c r="BE87" s="41">
        <f t="shared" si="68"/>
        <v>1028.369818</v>
      </c>
      <c r="BF87" s="41">
        <f t="shared" si="68"/>
        <v>1028.369818</v>
      </c>
      <c r="BG87" s="41">
        <f t="shared" si="68"/>
        <v>1028.369818</v>
      </c>
      <c r="BH87" s="41">
        <f t="shared" si="68"/>
        <v>1028.369818</v>
      </c>
      <c r="BI87" s="41">
        <f t="shared" si="68"/>
        <v>1028.369818</v>
      </c>
      <c r="BJ87" s="41">
        <f t="shared" si="68"/>
        <v>1028.369818</v>
      </c>
      <c r="BK87" s="41">
        <f t="shared" si="68"/>
        <v>1028.369818</v>
      </c>
      <c r="BL87" s="41">
        <f t="shared" si="68"/>
        <v>1028.369818</v>
      </c>
      <c r="BM87" s="41">
        <f t="shared" si="68"/>
        <v>1028.369818</v>
      </c>
      <c r="BN87" s="41">
        <f t="shared" si="68"/>
        <v>1028.369818</v>
      </c>
      <c r="BO87" s="41">
        <f t="shared" si="68"/>
        <v>1028.369818</v>
      </c>
      <c r="BP87" s="41">
        <f t="shared" si="68"/>
        <v>1028.369818</v>
      </c>
      <c r="BQ87" s="41">
        <f t="shared" si="68"/>
        <v>1028.369818</v>
      </c>
      <c r="BR87" s="41">
        <f t="shared" si="68"/>
        <v>1028.369818</v>
      </c>
      <c r="BS87" s="41">
        <f t="shared" si="68"/>
        <v>1028.369818</v>
      </c>
      <c r="BT87" s="41">
        <f t="shared" si="68"/>
        <v>1028.369818</v>
      </c>
      <c r="BU87" s="41">
        <f t="shared" si="68"/>
        <v>1028.369818</v>
      </c>
      <c r="BV87" s="41">
        <f t="shared" si="68"/>
        <v>1028.369818</v>
      </c>
      <c r="BW87" s="67"/>
    </row>
    <row r="88">
      <c r="A88" s="112" t="s">
        <v>278</v>
      </c>
      <c r="B88" s="113"/>
      <c r="C88" s="114">
        <f>Formulas!E5</f>
        <v>0</v>
      </c>
      <c r="D88" s="114">
        <f>Formulas!F5</f>
        <v>0</v>
      </c>
      <c r="E88" s="114">
        <f>Formulas!G5</f>
        <v>0</v>
      </c>
      <c r="F88" s="114">
        <f>Formulas!H5</f>
        <v>0</v>
      </c>
      <c r="G88" s="114">
        <f>Formulas!I5</f>
        <v>0</v>
      </c>
      <c r="H88" s="114">
        <f>Formulas!J5</f>
        <v>0</v>
      </c>
      <c r="I88" s="114">
        <v>0.0</v>
      </c>
      <c r="J88" s="114">
        <f>Formulas!L5</f>
        <v>825</v>
      </c>
      <c r="K88" s="114">
        <f>Formulas!M5</f>
        <v>7249.5</v>
      </c>
      <c r="L88" s="114">
        <f>Formulas!N5</f>
        <v>7332</v>
      </c>
      <c r="M88" s="114">
        <f>Formulas!O5</f>
        <v>7365.75</v>
      </c>
      <c r="N88" s="114">
        <f>Formulas!P5</f>
        <v>8140.5</v>
      </c>
      <c r="O88" s="114">
        <f>Formulas!Q5</f>
        <v>8704.5</v>
      </c>
      <c r="P88" s="114">
        <f>Formulas!R5</f>
        <v>15311.25</v>
      </c>
      <c r="Q88" s="114">
        <f>Formulas!S5</f>
        <v>20472.75</v>
      </c>
      <c r="R88" s="114">
        <f>Formulas!T5</f>
        <v>29622</v>
      </c>
      <c r="S88" s="114">
        <f>Formulas!U5</f>
        <v>29710.5</v>
      </c>
      <c r="T88" s="114">
        <f>Formulas!V5</f>
        <v>65751</v>
      </c>
      <c r="U88" s="114">
        <f>Formulas!W5</f>
        <v>65879.25</v>
      </c>
      <c r="V88" s="114">
        <f>Formulas!X5</f>
        <v>78682.5</v>
      </c>
      <c r="W88" s="114">
        <f>Formulas!Y5</f>
        <v>78857.25</v>
      </c>
      <c r="X88" s="114">
        <f>Formulas!Z5</f>
        <v>79028.25</v>
      </c>
      <c r="Y88" s="114">
        <f>Formulas!AA5</f>
        <v>79207.5</v>
      </c>
      <c r="Z88" s="114">
        <f>Formulas!AB5</f>
        <v>79386.75</v>
      </c>
      <c r="AA88" s="114">
        <f>Formulas!AC5</f>
        <v>91563</v>
      </c>
      <c r="AB88" s="114">
        <f>Formulas!AD5</f>
        <v>91755</v>
      </c>
      <c r="AC88" s="114">
        <f>Formulas!AE5</f>
        <v>94194.75</v>
      </c>
      <c r="AD88" s="114">
        <f>Formulas!AF5</f>
        <v>94407</v>
      </c>
      <c r="AE88" s="114">
        <f>Formulas!AG5</f>
        <v>94623</v>
      </c>
      <c r="AF88" s="114">
        <f>Formulas!AH5</f>
        <v>94833.75</v>
      </c>
      <c r="AG88" s="114">
        <f>Formulas!AI5</f>
        <v>95049</v>
      </c>
      <c r="AH88" s="114">
        <f>Formulas!AJ5</f>
        <v>95266.5</v>
      </c>
      <c r="AI88" s="114">
        <f>Formulas!AK5</f>
        <v>95484.75</v>
      </c>
      <c r="AJ88" s="114">
        <f>Formulas!AL5</f>
        <v>95701.5</v>
      </c>
      <c r="AK88" s="114">
        <f>Formulas!AM5</f>
        <v>95920.5</v>
      </c>
      <c r="AL88" s="114">
        <f>Formulas!AN5</f>
        <v>96144</v>
      </c>
      <c r="AM88" s="114">
        <f>Formulas!AO5</f>
        <v>96362.25</v>
      </c>
      <c r="AN88" s="114">
        <f>Formulas!AP5</f>
        <v>96587.25</v>
      </c>
      <c r="AO88" s="114">
        <f>Formulas!AQ5</f>
        <v>96812.25</v>
      </c>
      <c r="AP88" s="114">
        <f>Formulas!AR5</f>
        <v>97035</v>
      </c>
      <c r="AQ88" s="114">
        <f>Formulas!AS5</f>
        <v>97263.75</v>
      </c>
      <c r="AR88" s="114">
        <f>Formulas!AT5</f>
        <v>97491</v>
      </c>
      <c r="AS88" s="114">
        <f>Formulas!AU5</f>
        <v>97718.25</v>
      </c>
      <c r="AT88" s="114">
        <f>Formulas!AV5</f>
        <v>97950</v>
      </c>
      <c r="AU88" s="114">
        <f>Formulas!AW5</f>
        <v>98178.75</v>
      </c>
      <c r="AV88" s="114">
        <f>Formulas!AX5</f>
        <v>98413.5</v>
      </c>
      <c r="AW88" s="114">
        <f>Formulas!AY5</f>
        <v>98647.5</v>
      </c>
      <c r="AX88" s="114">
        <f>Formulas!AZ5</f>
        <v>98879.25</v>
      </c>
      <c r="AY88" s="114">
        <f>Formulas!BA5</f>
        <v>99116.25</v>
      </c>
      <c r="AZ88" s="114">
        <f>Formulas!BB5</f>
        <v>99355.5</v>
      </c>
      <c r="BA88" s="114">
        <f>Formulas!BC5</f>
        <v>99591</v>
      </c>
      <c r="BB88" s="114">
        <f>Formulas!BD5</f>
        <v>99831</v>
      </c>
      <c r="BC88" s="114">
        <f>Formulas!BE5</f>
        <v>100072.5</v>
      </c>
      <c r="BD88" s="114">
        <f>Formulas!BF5</f>
        <v>100315.5</v>
      </c>
      <c r="BE88" s="114">
        <f>Formulas!BG5</f>
        <v>100560</v>
      </c>
      <c r="BF88" s="114">
        <f>Formulas!BH5</f>
        <v>100804.5</v>
      </c>
      <c r="BG88" s="114">
        <f>Formulas!BI5</f>
        <v>101050.5</v>
      </c>
      <c r="BH88" s="114">
        <f>Formulas!BJ5</f>
        <v>101299.5</v>
      </c>
      <c r="BI88" s="114">
        <f>Formulas!BK5</f>
        <v>101548.5</v>
      </c>
      <c r="BJ88" s="114">
        <f>Formulas!BL5</f>
        <v>101800.5</v>
      </c>
      <c r="BK88" s="114">
        <f>Formulas!BM5</f>
        <v>102049.5</v>
      </c>
      <c r="BL88" s="114">
        <f>Formulas!BN5</f>
        <v>102302.25</v>
      </c>
      <c r="BM88" s="114">
        <f>Formulas!BO5</f>
        <v>102557.25</v>
      </c>
      <c r="BN88" s="114">
        <f>Formulas!BP5</f>
        <v>102815.25</v>
      </c>
      <c r="BO88" s="114">
        <f>Formulas!BQ5</f>
        <v>103071.75</v>
      </c>
      <c r="BP88" s="114">
        <f>Formulas!BR5</f>
        <v>103331.25</v>
      </c>
      <c r="BQ88" s="114">
        <f>Formulas!BS5</f>
        <v>103591.5</v>
      </c>
      <c r="BR88" s="114">
        <f>Formulas!BT5</f>
        <v>103854.75</v>
      </c>
      <c r="BS88" s="114">
        <f>Formulas!BU5</f>
        <v>104117.25</v>
      </c>
      <c r="BT88" s="114">
        <f>Formulas!BV5</f>
        <v>104382</v>
      </c>
      <c r="BU88" s="114">
        <f>Formulas!BW5</f>
        <v>104649</v>
      </c>
      <c r="BV88" s="114">
        <f>Formulas!BX5</f>
        <v>104916.75</v>
      </c>
      <c r="BW88" s="115"/>
    </row>
    <row r="89">
      <c r="A89" s="77" t="s">
        <v>279</v>
      </c>
      <c r="B89" s="110">
        <v>0.004</v>
      </c>
      <c r="C89" s="77">
        <f t="shared" ref="C89:H89" si="69">C$53*$B89</f>
        <v>0</v>
      </c>
      <c r="D89" s="77">
        <f t="shared" si="69"/>
        <v>0</v>
      </c>
      <c r="E89" s="77">
        <f t="shared" si="69"/>
        <v>0</v>
      </c>
      <c r="F89" s="77">
        <f t="shared" si="69"/>
        <v>0</v>
      </c>
      <c r="G89" s="77">
        <f t="shared" si="69"/>
        <v>0</v>
      </c>
      <c r="H89" s="77">
        <f t="shared" si="69"/>
        <v>0</v>
      </c>
      <c r="I89" s="77">
        <v>0.0</v>
      </c>
      <c r="J89" s="77">
        <f t="shared" ref="J89:P89" si="70">J$53*$B89</f>
        <v>118.93074</v>
      </c>
      <c r="K89" s="77">
        <f t="shared" si="70"/>
        <v>824.95086</v>
      </c>
      <c r="L89" s="77">
        <f t="shared" si="70"/>
        <v>840.75694</v>
      </c>
      <c r="M89" s="77">
        <f t="shared" si="70"/>
        <v>844.34594</v>
      </c>
      <c r="N89" s="77">
        <f t="shared" si="70"/>
        <v>916.88988</v>
      </c>
      <c r="O89" s="77">
        <f t="shared" si="70"/>
        <v>967.92522</v>
      </c>
      <c r="P89" s="77">
        <f t="shared" si="70"/>
        <v>1637.60012</v>
      </c>
      <c r="Q89" s="41">
        <f t="shared" ref="Q89:BV89" si="71">P89</f>
        <v>1637.60012</v>
      </c>
      <c r="R89" s="41">
        <f t="shared" si="71"/>
        <v>1637.60012</v>
      </c>
      <c r="S89" s="41">
        <f t="shared" si="71"/>
        <v>1637.60012</v>
      </c>
      <c r="T89" s="41">
        <f t="shared" si="71"/>
        <v>1637.60012</v>
      </c>
      <c r="U89" s="41">
        <f t="shared" si="71"/>
        <v>1637.60012</v>
      </c>
      <c r="V89" s="41">
        <f t="shared" si="71"/>
        <v>1637.60012</v>
      </c>
      <c r="W89" s="41">
        <f t="shared" si="71"/>
        <v>1637.60012</v>
      </c>
      <c r="X89" s="41">
        <f t="shared" si="71"/>
        <v>1637.60012</v>
      </c>
      <c r="Y89" s="41">
        <f t="shared" si="71"/>
        <v>1637.60012</v>
      </c>
      <c r="Z89" s="41">
        <f t="shared" si="71"/>
        <v>1637.60012</v>
      </c>
      <c r="AA89" s="41">
        <f t="shared" si="71"/>
        <v>1637.60012</v>
      </c>
      <c r="AB89" s="41">
        <f t="shared" si="71"/>
        <v>1637.60012</v>
      </c>
      <c r="AC89" s="41">
        <f t="shared" si="71"/>
        <v>1637.60012</v>
      </c>
      <c r="AD89" s="41">
        <f t="shared" si="71"/>
        <v>1637.60012</v>
      </c>
      <c r="AE89" s="41">
        <f t="shared" si="71"/>
        <v>1637.60012</v>
      </c>
      <c r="AF89" s="41">
        <f t="shared" si="71"/>
        <v>1637.60012</v>
      </c>
      <c r="AG89" s="41">
        <f t="shared" si="71"/>
        <v>1637.60012</v>
      </c>
      <c r="AH89" s="41">
        <f t="shared" si="71"/>
        <v>1637.60012</v>
      </c>
      <c r="AI89" s="41">
        <f t="shared" si="71"/>
        <v>1637.60012</v>
      </c>
      <c r="AJ89" s="41">
        <f t="shared" si="71"/>
        <v>1637.60012</v>
      </c>
      <c r="AK89" s="41">
        <f t="shared" si="71"/>
        <v>1637.60012</v>
      </c>
      <c r="AL89" s="41">
        <f t="shared" si="71"/>
        <v>1637.60012</v>
      </c>
      <c r="AM89" s="41">
        <f t="shared" si="71"/>
        <v>1637.60012</v>
      </c>
      <c r="AN89" s="41">
        <f t="shared" si="71"/>
        <v>1637.60012</v>
      </c>
      <c r="AO89" s="41">
        <f t="shared" si="71"/>
        <v>1637.60012</v>
      </c>
      <c r="AP89" s="41">
        <f t="shared" si="71"/>
        <v>1637.60012</v>
      </c>
      <c r="AQ89" s="41">
        <f t="shared" si="71"/>
        <v>1637.60012</v>
      </c>
      <c r="AR89" s="41">
        <f t="shared" si="71"/>
        <v>1637.60012</v>
      </c>
      <c r="AS89" s="41">
        <f t="shared" si="71"/>
        <v>1637.60012</v>
      </c>
      <c r="AT89" s="41">
        <f t="shared" si="71"/>
        <v>1637.60012</v>
      </c>
      <c r="AU89" s="41">
        <f t="shared" si="71"/>
        <v>1637.60012</v>
      </c>
      <c r="AV89" s="41">
        <f t="shared" si="71"/>
        <v>1637.60012</v>
      </c>
      <c r="AW89" s="41">
        <f t="shared" si="71"/>
        <v>1637.60012</v>
      </c>
      <c r="AX89" s="41">
        <f t="shared" si="71"/>
        <v>1637.60012</v>
      </c>
      <c r="AY89" s="41">
        <f t="shared" si="71"/>
        <v>1637.60012</v>
      </c>
      <c r="AZ89" s="41">
        <f t="shared" si="71"/>
        <v>1637.60012</v>
      </c>
      <c r="BA89" s="41">
        <f t="shared" si="71"/>
        <v>1637.60012</v>
      </c>
      <c r="BB89" s="41">
        <f t="shared" si="71"/>
        <v>1637.60012</v>
      </c>
      <c r="BC89" s="41">
        <f t="shared" si="71"/>
        <v>1637.60012</v>
      </c>
      <c r="BD89" s="41">
        <f t="shared" si="71"/>
        <v>1637.60012</v>
      </c>
      <c r="BE89" s="41">
        <f t="shared" si="71"/>
        <v>1637.60012</v>
      </c>
      <c r="BF89" s="41">
        <f t="shared" si="71"/>
        <v>1637.60012</v>
      </c>
      <c r="BG89" s="41">
        <f t="shared" si="71"/>
        <v>1637.60012</v>
      </c>
      <c r="BH89" s="41">
        <f t="shared" si="71"/>
        <v>1637.60012</v>
      </c>
      <c r="BI89" s="41">
        <f t="shared" si="71"/>
        <v>1637.60012</v>
      </c>
      <c r="BJ89" s="41">
        <f t="shared" si="71"/>
        <v>1637.60012</v>
      </c>
      <c r="BK89" s="41">
        <f t="shared" si="71"/>
        <v>1637.60012</v>
      </c>
      <c r="BL89" s="41">
        <f t="shared" si="71"/>
        <v>1637.60012</v>
      </c>
      <c r="BM89" s="41">
        <f t="shared" si="71"/>
        <v>1637.60012</v>
      </c>
      <c r="BN89" s="41">
        <f t="shared" si="71"/>
        <v>1637.60012</v>
      </c>
      <c r="BO89" s="41">
        <f t="shared" si="71"/>
        <v>1637.60012</v>
      </c>
      <c r="BP89" s="41">
        <f t="shared" si="71"/>
        <v>1637.60012</v>
      </c>
      <c r="BQ89" s="41">
        <f t="shared" si="71"/>
        <v>1637.60012</v>
      </c>
      <c r="BR89" s="41">
        <f t="shared" si="71"/>
        <v>1637.60012</v>
      </c>
      <c r="BS89" s="41">
        <f t="shared" si="71"/>
        <v>1637.60012</v>
      </c>
      <c r="BT89" s="41">
        <f t="shared" si="71"/>
        <v>1637.60012</v>
      </c>
      <c r="BU89" s="41">
        <f t="shared" si="71"/>
        <v>1637.60012</v>
      </c>
      <c r="BV89" s="41">
        <f t="shared" si="71"/>
        <v>1637.60012</v>
      </c>
      <c r="BW89" s="67"/>
    </row>
    <row r="90">
      <c r="A90" s="77" t="s">
        <v>280</v>
      </c>
      <c r="B90" s="110">
        <v>0.002</v>
      </c>
      <c r="C90" s="77">
        <f t="shared" ref="C90:H90" si="72">C$53*$B90</f>
        <v>0</v>
      </c>
      <c r="D90" s="77">
        <f t="shared" si="72"/>
        <v>0</v>
      </c>
      <c r="E90" s="77">
        <f t="shared" si="72"/>
        <v>0</v>
      </c>
      <c r="F90" s="77">
        <f t="shared" si="72"/>
        <v>0</v>
      </c>
      <c r="G90" s="77">
        <f t="shared" si="72"/>
        <v>0</v>
      </c>
      <c r="H90" s="77">
        <f t="shared" si="72"/>
        <v>0</v>
      </c>
      <c r="I90" s="77">
        <v>0.0</v>
      </c>
      <c r="J90" s="77">
        <f t="shared" ref="J90:R90" si="73">J$53*$B90</f>
        <v>59.46537</v>
      </c>
      <c r="K90" s="77">
        <f t="shared" si="73"/>
        <v>412.47543</v>
      </c>
      <c r="L90" s="77">
        <f t="shared" si="73"/>
        <v>420.37847</v>
      </c>
      <c r="M90" s="77">
        <f t="shared" si="73"/>
        <v>422.17297</v>
      </c>
      <c r="N90" s="77">
        <f t="shared" si="73"/>
        <v>458.44494</v>
      </c>
      <c r="O90" s="77">
        <f t="shared" si="73"/>
        <v>483.96261</v>
      </c>
      <c r="P90" s="77">
        <f t="shared" si="73"/>
        <v>818.80006</v>
      </c>
      <c r="Q90" s="77">
        <f t="shared" si="73"/>
        <v>1062.73612</v>
      </c>
      <c r="R90" s="77">
        <f t="shared" si="73"/>
        <v>1356.06094</v>
      </c>
      <c r="S90" s="41">
        <f t="shared" ref="S90:BV90" si="74">R90</f>
        <v>1356.06094</v>
      </c>
      <c r="T90" s="41">
        <f t="shared" si="74"/>
        <v>1356.06094</v>
      </c>
      <c r="U90" s="41">
        <f t="shared" si="74"/>
        <v>1356.06094</v>
      </c>
      <c r="V90" s="41">
        <f t="shared" si="74"/>
        <v>1356.06094</v>
      </c>
      <c r="W90" s="41">
        <f t="shared" si="74"/>
        <v>1356.06094</v>
      </c>
      <c r="X90" s="41">
        <f t="shared" si="74"/>
        <v>1356.06094</v>
      </c>
      <c r="Y90" s="41">
        <f t="shared" si="74"/>
        <v>1356.06094</v>
      </c>
      <c r="Z90" s="41">
        <f t="shared" si="74"/>
        <v>1356.06094</v>
      </c>
      <c r="AA90" s="41">
        <f t="shared" si="74"/>
        <v>1356.06094</v>
      </c>
      <c r="AB90" s="41">
        <f t="shared" si="74"/>
        <v>1356.06094</v>
      </c>
      <c r="AC90" s="41">
        <f t="shared" si="74"/>
        <v>1356.06094</v>
      </c>
      <c r="AD90" s="41">
        <f t="shared" si="74"/>
        <v>1356.06094</v>
      </c>
      <c r="AE90" s="41">
        <f t="shared" si="74"/>
        <v>1356.06094</v>
      </c>
      <c r="AF90" s="41">
        <f t="shared" si="74"/>
        <v>1356.06094</v>
      </c>
      <c r="AG90" s="41">
        <f t="shared" si="74"/>
        <v>1356.06094</v>
      </c>
      <c r="AH90" s="41">
        <f t="shared" si="74"/>
        <v>1356.06094</v>
      </c>
      <c r="AI90" s="41">
        <f t="shared" si="74"/>
        <v>1356.06094</v>
      </c>
      <c r="AJ90" s="41">
        <f t="shared" si="74"/>
        <v>1356.06094</v>
      </c>
      <c r="AK90" s="41">
        <f t="shared" si="74"/>
        <v>1356.06094</v>
      </c>
      <c r="AL90" s="41">
        <f t="shared" si="74"/>
        <v>1356.06094</v>
      </c>
      <c r="AM90" s="41">
        <f t="shared" si="74"/>
        <v>1356.06094</v>
      </c>
      <c r="AN90" s="41">
        <f t="shared" si="74"/>
        <v>1356.06094</v>
      </c>
      <c r="AO90" s="41">
        <f t="shared" si="74"/>
        <v>1356.06094</v>
      </c>
      <c r="AP90" s="41">
        <f t="shared" si="74"/>
        <v>1356.06094</v>
      </c>
      <c r="AQ90" s="41">
        <f t="shared" si="74"/>
        <v>1356.06094</v>
      </c>
      <c r="AR90" s="41">
        <f t="shared" si="74"/>
        <v>1356.06094</v>
      </c>
      <c r="AS90" s="41">
        <f t="shared" si="74"/>
        <v>1356.06094</v>
      </c>
      <c r="AT90" s="41">
        <f t="shared" si="74"/>
        <v>1356.06094</v>
      </c>
      <c r="AU90" s="41">
        <f t="shared" si="74"/>
        <v>1356.06094</v>
      </c>
      <c r="AV90" s="41">
        <f t="shared" si="74"/>
        <v>1356.06094</v>
      </c>
      <c r="AW90" s="41">
        <f t="shared" si="74"/>
        <v>1356.06094</v>
      </c>
      <c r="AX90" s="41">
        <f t="shared" si="74"/>
        <v>1356.06094</v>
      </c>
      <c r="AY90" s="41">
        <f t="shared" si="74"/>
        <v>1356.06094</v>
      </c>
      <c r="AZ90" s="41">
        <f t="shared" si="74"/>
        <v>1356.06094</v>
      </c>
      <c r="BA90" s="41">
        <f t="shared" si="74"/>
        <v>1356.06094</v>
      </c>
      <c r="BB90" s="41">
        <f t="shared" si="74"/>
        <v>1356.06094</v>
      </c>
      <c r="BC90" s="41">
        <f t="shared" si="74"/>
        <v>1356.06094</v>
      </c>
      <c r="BD90" s="41">
        <f t="shared" si="74"/>
        <v>1356.06094</v>
      </c>
      <c r="BE90" s="41">
        <f t="shared" si="74"/>
        <v>1356.06094</v>
      </c>
      <c r="BF90" s="41">
        <f t="shared" si="74"/>
        <v>1356.06094</v>
      </c>
      <c r="BG90" s="41">
        <f t="shared" si="74"/>
        <v>1356.06094</v>
      </c>
      <c r="BH90" s="41">
        <f t="shared" si="74"/>
        <v>1356.06094</v>
      </c>
      <c r="BI90" s="41">
        <f t="shared" si="74"/>
        <v>1356.06094</v>
      </c>
      <c r="BJ90" s="41">
        <f t="shared" si="74"/>
        <v>1356.06094</v>
      </c>
      <c r="BK90" s="41">
        <f t="shared" si="74"/>
        <v>1356.06094</v>
      </c>
      <c r="BL90" s="41">
        <f t="shared" si="74"/>
        <v>1356.06094</v>
      </c>
      <c r="BM90" s="41">
        <f t="shared" si="74"/>
        <v>1356.06094</v>
      </c>
      <c r="BN90" s="41">
        <f t="shared" si="74"/>
        <v>1356.06094</v>
      </c>
      <c r="BO90" s="41">
        <f t="shared" si="74"/>
        <v>1356.06094</v>
      </c>
      <c r="BP90" s="41">
        <f t="shared" si="74"/>
        <v>1356.06094</v>
      </c>
      <c r="BQ90" s="41">
        <f t="shared" si="74"/>
        <v>1356.06094</v>
      </c>
      <c r="BR90" s="41">
        <f t="shared" si="74"/>
        <v>1356.06094</v>
      </c>
      <c r="BS90" s="41">
        <f t="shared" si="74"/>
        <v>1356.06094</v>
      </c>
      <c r="BT90" s="41">
        <f t="shared" si="74"/>
        <v>1356.06094</v>
      </c>
      <c r="BU90" s="41">
        <f t="shared" si="74"/>
        <v>1356.06094</v>
      </c>
      <c r="BV90" s="41">
        <f t="shared" si="74"/>
        <v>1356.06094</v>
      </c>
      <c r="BW90" s="67"/>
    </row>
    <row r="91">
      <c r="A91" s="77" t="s">
        <v>281</v>
      </c>
      <c r="B91" s="110">
        <v>0.002</v>
      </c>
      <c r="C91" s="77">
        <f t="shared" ref="C91:H91" si="75">C$53*$B91</f>
        <v>0</v>
      </c>
      <c r="D91" s="77">
        <f t="shared" si="75"/>
        <v>0</v>
      </c>
      <c r="E91" s="77">
        <f t="shared" si="75"/>
        <v>0</v>
      </c>
      <c r="F91" s="77">
        <f t="shared" si="75"/>
        <v>0</v>
      </c>
      <c r="G91" s="77">
        <f t="shared" si="75"/>
        <v>0</v>
      </c>
      <c r="H91" s="77">
        <f t="shared" si="75"/>
        <v>0</v>
      </c>
      <c r="I91" s="77">
        <v>0.0</v>
      </c>
      <c r="J91" s="77">
        <f t="shared" ref="J91:R91" si="76">J$53*$B91</f>
        <v>59.46537</v>
      </c>
      <c r="K91" s="77">
        <f t="shared" si="76"/>
        <v>412.47543</v>
      </c>
      <c r="L91" s="77">
        <f t="shared" si="76"/>
        <v>420.37847</v>
      </c>
      <c r="M91" s="77">
        <f t="shared" si="76"/>
        <v>422.17297</v>
      </c>
      <c r="N91" s="77">
        <f t="shared" si="76"/>
        <v>458.44494</v>
      </c>
      <c r="O91" s="77">
        <f t="shared" si="76"/>
        <v>483.96261</v>
      </c>
      <c r="P91" s="77">
        <f t="shared" si="76"/>
        <v>818.80006</v>
      </c>
      <c r="Q91" s="77">
        <f t="shared" si="76"/>
        <v>1062.73612</v>
      </c>
      <c r="R91" s="77">
        <f t="shared" si="76"/>
        <v>1356.06094</v>
      </c>
      <c r="S91" s="41">
        <f t="shared" ref="S91:BV91" si="77">R91</f>
        <v>1356.06094</v>
      </c>
      <c r="T91" s="41">
        <f t="shared" si="77"/>
        <v>1356.06094</v>
      </c>
      <c r="U91" s="41">
        <f t="shared" si="77"/>
        <v>1356.06094</v>
      </c>
      <c r="V91" s="41">
        <f t="shared" si="77"/>
        <v>1356.06094</v>
      </c>
      <c r="W91" s="41">
        <f t="shared" si="77"/>
        <v>1356.06094</v>
      </c>
      <c r="X91" s="41">
        <f t="shared" si="77"/>
        <v>1356.06094</v>
      </c>
      <c r="Y91" s="41">
        <f t="shared" si="77"/>
        <v>1356.06094</v>
      </c>
      <c r="Z91" s="41">
        <f t="shared" si="77"/>
        <v>1356.06094</v>
      </c>
      <c r="AA91" s="41">
        <f t="shared" si="77"/>
        <v>1356.06094</v>
      </c>
      <c r="AB91" s="41">
        <f t="shared" si="77"/>
        <v>1356.06094</v>
      </c>
      <c r="AC91" s="41">
        <f t="shared" si="77"/>
        <v>1356.06094</v>
      </c>
      <c r="AD91" s="41">
        <f t="shared" si="77"/>
        <v>1356.06094</v>
      </c>
      <c r="AE91" s="41">
        <f t="shared" si="77"/>
        <v>1356.06094</v>
      </c>
      <c r="AF91" s="41">
        <f t="shared" si="77"/>
        <v>1356.06094</v>
      </c>
      <c r="AG91" s="41">
        <f t="shared" si="77"/>
        <v>1356.06094</v>
      </c>
      <c r="AH91" s="41">
        <f t="shared" si="77"/>
        <v>1356.06094</v>
      </c>
      <c r="AI91" s="41">
        <f t="shared" si="77"/>
        <v>1356.06094</v>
      </c>
      <c r="AJ91" s="41">
        <f t="shared" si="77"/>
        <v>1356.06094</v>
      </c>
      <c r="AK91" s="41">
        <f t="shared" si="77"/>
        <v>1356.06094</v>
      </c>
      <c r="AL91" s="41">
        <f t="shared" si="77"/>
        <v>1356.06094</v>
      </c>
      <c r="AM91" s="41">
        <f t="shared" si="77"/>
        <v>1356.06094</v>
      </c>
      <c r="AN91" s="41">
        <f t="shared" si="77"/>
        <v>1356.06094</v>
      </c>
      <c r="AO91" s="41">
        <f t="shared" si="77"/>
        <v>1356.06094</v>
      </c>
      <c r="AP91" s="41">
        <f t="shared" si="77"/>
        <v>1356.06094</v>
      </c>
      <c r="AQ91" s="41">
        <f t="shared" si="77"/>
        <v>1356.06094</v>
      </c>
      <c r="AR91" s="41">
        <f t="shared" si="77"/>
        <v>1356.06094</v>
      </c>
      <c r="AS91" s="41">
        <f t="shared" si="77"/>
        <v>1356.06094</v>
      </c>
      <c r="AT91" s="41">
        <f t="shared" si="77"/>
        <v>1356.06094</v>
      </c>
      <c r="AU91" s="41">
        <f t="shared" si="77"/>
        <v>1356.06094</v>
      </c>
      <c r="AV91" s="41">
        <f t="shared" si="77"/>
        <v>1356.06094</v>
      </c>
      <c r="AW91" s="41">
        <f t="shared" si="77"/>
        <v>1356.06094</v>
      </c>
      <c r="AX91" s="41">
        <f t="shared" si="77"/>
        <v>1356.06094</v>
      </c>
      <c r="AY91" s="41">
        <f t="shared" si="77"/>
        <v>1356.06094</v>
      </c>
      <c r="AZ91" s="41">
        <f t="shared" si="77"/>
        <v>1356.06094</v>
      </c>
      <c r="BA91" s="41">
        <f t="shared" si="77"/>
        <v>1356.06094</v>
      </c>
      <c r="BB91" s="41">
        <f t="shared" si="77"/>
        <v>1356.06094</v>
      </c>
      <c r="BC91" s="41">
        <f t="shared" si="77"/>
        <v>1356.06094</v>
      </c>
      <c r="BD91" s="41">
        <f t="shared" si="77"/>
        <v>1356.06094</v>
      </c>
      <c r="BE91" s="41">
        <f t="shared" si="77"/>
        <v>1356.06094</v>
      </c>
      <c r="BF91" s="41">
        <f t="shared" si="77"/>
        <v>1356.06094</v>
      </c>
      <c r="BG91" s="41">
        <f t="shared" si="77"/>
        <v>1356.06094</v>
      </c>
      <c r="BH91" s="41">
        <f t="shared" si="77"/>
        <v>1356.06094</v>
      </c>
      <c r="BI91" s="41">
        <f t="shared" si="77"/>
        <v>1356.06094</v>
      </c>
      <c r="BJ91" s="41">
        <f t="shared" si="77"/>
        <v>1356.06094</v>
      </c>
      <c r="BK91" s="41">
        <f t="shared" si="77"/>
        <v>1356.06094</v>
      </c>
      <c r="BL91" s="41">
        <f t="shared" si="77"/>
        <v>1356.06094</v>
      </c>
      <c r="BM91" s="41">
        <f t="shared" si="77"/>
        <v>1356.06094</v>
      </c>
      <c r="BN91" s="41">
        <f t="shared" si="77"/>
        <v>1356.06094</v>
      </c>
      <c r="BO91" s="41">
        <f t="shared" si="77"/>
        <v>1356.06094</v>
      </c>
      <c r="BP91" s="41">
        <f t="shared" si="77"/>
        <v>1356.06094</v>
      </c>
      <c r="BQ91" s="41">
        <f t="shared" si="77"/>
        <v>1356.06094</v>
      </c>
      <c r="BR91" s="41">
        <f t="shared" si="77"/>
        <v>1356.06094</v>
      </c>
      <c r="BS91" s="41">
        <f t="shared" si="77"/>
        <v>1356.06094</v>
      </c>
      <c r="BT91" s="41">
        <f t="shared" si="77"/>
        <v>1356.06094</v>
      </c>
      <c r="BU91" s="41">
        <f t="shared" si="77"/>
        <v>1356.06094</v>
      </c>
      <c r="BV91" s="41">
        <f t="shared" si="77"/>
        <v>1356.06094</v>
      </c>
      <c r="BW91" s="67"/>
    </row>
    <row r="92">
      <c r="A92" s="77" t="s">
        <v>282</v>
      </c>
      <c r="B92" s="110">
        <v>0.002</v>
      </c>
      <c r="C92" s="77">
        <f t="shared" ref="C92:H92" si="78">C$53*$B92</f>
        <v>0</v>
      </c>
      <c r="D92" s="77">
        <f t="shared" si="78"/>
        <v>0</v>
      </c>
      <c r="E92" s="77">
        <f t="shared" si="78"/>
        <v>0</v>
      </c>
      <c r="F92" s="77">
        <f t="shared" si="78"/>
        <v>0</v>
      </c>
      <c r="G92" s="77">
        <f t="shared" si="78"/>
        <v>0</v>
      </c>
      <c r="H92" s="77">
        <f t="shared" si="78"/>
        <v>0</v>
      </c>
      <c r="I92" s="77">
        <v>0.0</v>
      </c>
      <c r="J92" s="77">
        <f t="shared" ref="J92:R92" si="79">J$53*$B92</f>
        <v>59.46537</v>
      </c>
      <c r="K92" s="77">
        <f t="shared" si="79"/>
        <v>412.47543</v>
      </c>
      <c r="L92" s="77">
        <f t="shared" si="79"/>
        <v>420.37847</v>
      </c>
      <c r="M92" s="77">
        <f t="shared" si="79"/>
        <v>422.17297</v>
      </c>
      <c r="N92" s="77">
        <f t="shared" si="79"/>
        <v>458.44494</v>
      </c>
      <c r="O92" s="77">
        <f t="shared" si="79"/>
        <v>483.96261</v>
      </c>
      <c r="P92" s="77">
        <f t="shared" si="79"/>
        <v>818.80006</v>
      </c>
      <c r="Q92" s="77">
        <f t="shared" si="79"/>
        <v>1062.73612</v>
      </c>
      <c r="R92" s="77">
        <f t="shared" si="79"/>
        <v>1356.06094</v>
      </c>
      <c r="S92" s="41">
        <f t="shared" ref="S92:BV92" si="80">R92</f>
        <v>1356.06094</v>
      </c>
      <c r="T92" s="41">
        <f t="shared" si="80"/>
        <v>1356.06094</v>
      </c>
      <c r="U92" s="41">
        <f t="shared" si="80"/>
        <v>1356.06094</v>
      </c>
      <c r="V92" s="41">
        <f t="shared" si="80"/>
        <v>1356.06094</v>
      </c>
      <c r="W92" s="41">
        <f t="shared" si="80"/>
        <v>1356.06094</v>
      </c>
      <c r="X92" s="41">
        <f t="shared" si="80"/>
        <v>1356.06094</v>
      </c>
      <c r="Y92" s="41">
        <f t="shared" si="80"/>
        <v>1356.06094</v>
      </c>
      <c r="Z92" s="41">
        <f t="shared" si="80"/>
        <v>1356.06094</v>
      </c>
      <c r="AA92" s="41">
        <f t="shared" si="80"/>
        <v>1356.06094</v>
      </c>
      <c r="AB92" s="41">
        <f t="shared" si="80"/>
        <v>1356.06094</v>
      </c>
      <c r="AC92" s="41">
        <f t="shared" si="80"/>
        <v>1356.06094</v>
      </c>
      <c r="AD92" s="41">
        <f t="shared" si="80"/>
        <v>1356.06094</v>
      </c>
      <c r="AE92" s="41">
        <f t="shared" si="80"/>
        <v>1356.06094</v>
      </c>
      <c r="AF92" s="41">
        <f t="shared" si="80"/>
        <v>1356.06094</v>
      </c>
      <c r="AG92" s="41">
        <f t="shared" si="80"/>
        <v>1356.06094</v>
      </c>
      <c r="AH92" s="41">
        <f t="shared" si="80"/>
        <v>1356.06094</v>
      </c>
      <c r="AI92" s="41">
        <f t="shared" si="80"/>
        <v>1356.06094</v>
      </c>
      <c r="AJ92" s="41">
        <f t="shared" si="80"/>
        <v>1356.06094</v>
      </c>
      <c r="AK92" s="41">
        <f t="shared" si="80"/>
        <v>1356.06094</v>
      </c>
      <c r="AL92" s="41">
        <f t="shared" si="80"/>
        <v>1356.06094</v>
      </c>
      <c r="AM92" s="41">
        <f t="shared" si="80"/>
        <v>1356.06094</v>
      </c>
      <c r="AN92" s="41">
        <f t="shared" si="80"/>
        <v>1356.06094</v>
      </c>
      <c r="AO92" s="41">
        <f t="shared" si="80"/>
        <v>1356.06094</v>
      </c>
      <c r="AP92" s="41">
        <f t="shared" si="80"/>
        <v>1356.06094</v>
      </c>
      <c r="AQ92" s="41">
        <f t="shared" si="80"/>
        <v>1356.06094</v>
      </c>
      <c r="AR92" s="41">
        <f t="shared" si="80"/>
        <v>1356.06094</v>
      </c>
      <c r="AS92" s="41">
        <f t="shared" si="80"/>
        <v>1356.06094</v>
      </c>
      <c r="AT92" s="41">
        <f t="shared" si="80"/>
        <v>1356.06094</v>
      </c>
      <c r="AU92" s="41">
        <f t="shared" si="80"/>
        <v>1356.06094</v>
      </c>
      <c r="AV92" s="41">
        <f t="shared" si="80"/>
        <v>1356.06094</v>
      </c>
      <c r="AW92" s="41">
        <f t="shared" si="80"/>
        <v>1356.06094</v>
      </c>
      <c r="AX92" s="41">
        <f t="shared" si="80"/>
        <v>1356.06094</v>
      </c>
      <c r="AY92" s="41">
        <f t="shared" si="80"/>
        <v>1356.06094</v>
      </c>
      <c r="AZ92" s="41">
        <f t="shared" si="80"/>
        <v>1356.06094</v>
      </c>
      <c r="BA92" s="41">
        <f t="shared" si="80"/>
        <v>1356.06094</v>
      </c>
      <c r="BB92" s="41">
        <f t="shared" si="80"/>
        <v>1356.06094</v>
      </c>
      <c r="BC92" s="41">
        <f t="shared" si="80"/>
        <v>1356.06094</v>
      </c>
      <c r="BD92" s="41">
        <f t="shared" si="80"/>
        <v>1356.06094</v>
      </c>
      <c r="BE92" s="41">
        <f t="shared" si="80"/>
        <v>1356.06094</v>
      </c>
      <c r="BF92" s="41">
        <f t="shared" si="80"/>
        <v>1356.06094</v>
      </c>
      <c r="BG92" s="41">
        <f t="shared" si="80"/>
        <v>1356.06094</v>
      </c>
      <c r="BH92" s="41">
        <f t="shared" si="80"/>
        <v>1356.06094</v>
      </c>
      <c r="BI92" s="41">
        <f t="shared" si="80"/>
        <v>1356.06094</v>
      </c>
      <c r="BJ92" s="41">
        <f t="shared" si="80"/>
        <v>1356.06094</v>
      </c>
      <c r="BK92" s="41">
        <f t="shared" si="80"/>
        <v>1356.06094</v>
      </c>
      <c r="BL92" s="41">
        <f t="shared" si="80"/>
        <v>1356.06094</v>
      </c>
      <c r="BM92" s="41">
        <f t="shared" si="80"/>
        <v>1356.06094</v>
      </c>
      <c r="BN92" s="41">
        <f t="shared" si="80"/>
        <v>1356.06094</v>
      </c>
      <c r="BO92" s="41">
        <f t="shared" si="80"/>
        <v>1356.06094</v>
      </c>
      <c r="BP92" s="41">
        <f t="shared" si="80"/>
        <v>1356.06094</v>
      </c>
      <c r="BQ92" s="41">
        <f t="shared" si="80"/>
        <v>1356.06094</v>
      </c>
      <c r="BR92" s="41">
        <f t="shared" si="80"/>
        <v>1356.06094</v>
      </c>
      <c r="BS92" s="41">
        <f t="shared" si="80"/>
        <v>1356.06094</v>
      </c>
      <c r="BT92" s="41">
        <f t="shared" si="80"/>
        <v>1356.06094</v>
      </c>
      <c r="BU92" s="41">
        <f t="shared" si="80"/>
        <v>1356.06094</v>
      </c>
      <c r="BV92" s="41">
        <f t="shared" si="80"/>
        <v>1356.06094</v>
      </c>
      <c r="BW92" s="67"/>
    </row>
    <row r="93">
      <c r="A93" s="77" t="s">
        <v>283</v>
      </c>
      <c r="B93" s="110">
        <v>0.002</v>
      </c>
      <c r="C93" s="77">
        <f t="shared" ref="C93:H93" si="81">C$53*$B93</f>
        <v>0</v>
      </c>
      <c r="D93" s="77">
        <f t="shared" si="81"/>
        <v>0</v>
      </c>
      <c r="E93" s="77">
        <f t="shared" si="81"/>
        <v>0</v>
      </c>
      <c r="F93" s="77">
        <f t="shared" si="81"/>
        <v>0</v>
      </c>
      <c r="G93" s="77">
        <f t="shared" si="81"/>
        <v>0</v>
      </c>
      <c r="H93" s="77">
        <f t="shared" si="81"/>
        <v>0</v>
      </c>
      <c r="I93" s="77">
        <v>0.0</v>
      </c>
      <c r="J93" s="77">
        <f t="shared" ref="J93:R93" si="82">J$53*$B93</f>
        <v>59.46537</v>
      </c>
      <c r="K93" s="77">
        <f t="shared" si="82"/>
        <v>412.47543</v>
      </c>
      <c r="L93" s="77">
        <f t="shared" si="82"/>
        <v>420.37847</v>
      </c>
      <c r="M93" s="77">
        <f t="shared" si="82"/>
        <v>422.17297</v>
      </c>
      <c r="N93" s="77">
        <f t="shared" si="82"/>
        <v>458.44494</v>
      </c>
      <c r="O93" s="77">
        <f t="shared" si="82"/>
        <v>483.96261</v>
      </c>
      <c r="P93" s="77">
        <f t="shared" si="82"/>
        <v>818.80006</v>
      </c>
      <c r="Q93" s="77">
        <f t="shared" si="82"/>
        <v>1062.73612</v>
      </c>
      <c r="R93" s="77">
        <f t="shared" si="82"/>
        <v>1356.06094</v>
      </c>
      <c r="S93" s="41">
        <f t="shared" ref="S93:BV93" si="83">R93</f>
        <v>1356.06094</v>
      </c>
      <c r="T93" s="41">
        <f t="shared" si="83"/>
        <v>1356.06094</v>
      </c>
      <c r="U93" s="41">
        <f t="shared" si="83"/>
        <v>1356.06094</v>
      </c>
      <c r="V93" s="41">
        <f t="shared" si="83"/>
        <v>1356.06094</v>
      </c>
      <c r="W93" s="41">
        <f t="shared" si="83"/>
        <v>1356.06094</v>
      </c>
      <c r="X93" s="41">
        <f t="shared" si="83"/>
        <v>1356.06094</v>
      </c>
      <c r="Y93" s="41">
        <f t="shared" si="83"/>
        <v>1356.06094</v>
      </c>
      <c r="Z93" s="41">
        <f t="shared" si="83"/>
        <v>1356.06094</v>
      </c>
      <c r="AA93" s="41">
        <f t="shared" si="83"/>
        <v>1356.06094</v>
      </c>
      <c r="AB93" s="41">
        <f t="shared" si="83"/>
        <v>1356.06094</v>
      </c>
      <c r="AC93" s="41">
        <f t="shared" si="83"/>
        <v>1356.06094</v>
      </c>
      <c r="AD93" s="41">
        <f t="shared" si="83"/>
        <v>1356.06094</v>
      </c>
      <c r="AE93" s="41">
        <f t="shared" si="83"/>
        <v>1356.06094</v>
      </c>
      <c r="AF93" s="41">
        <f t="shared" si="83"/>
        <v>1356.06094</v>
      </c>
      <c r="AG93" s="41">
        <f t="shared" si="83"/>
        <v>1356.06094</v>
      </c>
      <c r="AH93" s="41">
        <f t="shared" si="83"/>
        <v>1356.06094</v>
      </c>
      <c r="AI93" s="41">
        <f t="shared" si="83"/>
        <v>1356.06094</v>
      </c>
      <c r="AJ93" s="41">
        <f t="shared" si="83"/>
        <v>1356.06094</v>
      </c>
      <c r="AK93" s="41">
        <f t="shared" si="83"/>
        <v>1356.06094</v>
      </c>
      <c r="AL93" s="41">
        <f t="shared" si="83"/>
        <v>1356.06094</v>
      </c>
      <c r="AM93" s="41">
        <f t="shared" si="83"/>
        <v>1356.06094</v>
      </c>
      <c r="AN93" s="41">
        <f t="shared" si="83"/>
        <v>1356.06094</v>
      </c>
      <c r="AO93" s="41">
        <f t="shared" si="83"/>
        <v>1356.06094</v>
      </c>
      <c r="AP93" s="41">
        <f t="shared" si="83"/>
        <v>1356.06094</v>
      </c>
      <c r="AQ93" s="41">
        <f t="shared" si="83"/>
        <v>1356.06094</v>
      </c>
      <c r="AR93" s="41">
        <f t="shared" si="83"/>
        <v>1356.06094</v>
      </c>
      <c r="AS93" s="41">
        <f t="shared" si="83"/>
        <v>1356.06094</v>
      </c>
      <c r="AT93" s="41">
        <f t="shared" si="83"/>
        <v>1356.06094</v>
      </c>
      <c r="AU93" s="41">
        <f t="shared" si="83"/>
        <v>1356.06094</v>
      </c>
      <c r="AV93" s="41">
        <f t="shared" si="83"/>
        <v>1356.06094</v>
      </c>
      <c r="AW93" s="41">
        <f t="shared" si="83"/>
        <v>1356.06094</v>
      </c>
      <c r="AX93" s="41">
        <f t="shared" si="83"/>
        <v>1356.06094</v>
      </c>
      <c r="AY93" s="41">
        <f t="shared" si="83"/>
        <v>1356.06094</v>
      </c>
      <c r="AZ93" s="41">
        <f t="shared" si="83"/>
        <v>1356.06094</v>
      </c>
      <c r="BA93" s="41">
        <f t="shared" si="83"/>
        <v>1356.06094</v>
      </c>
      <c r="BB93" s="41">
        <f t="shared" si="83"/>
        <v>1356.06094</v>
      </c>
      <c r="BC93" s="41">
        <f t="shared" si="83"/>
        <v>1356.06094</v>
      </c>
      <c r="BD93" s="41">
        <f t="shared" si="83"/>
        <v>1356.06094</v>
      </c>
      <c r="BE93" s="41">
        <f t="shared" si="83"/>
        <v>1356.06094</v>
      </c>
      <c r="BF93" s="41">
        <f t="shared" si="83"/>
        <v>1356.06094</v>
      </c>
      <c r="BG93" s="41">
        <f t="shared" si="83"/>
        <v>1356.06094</v>
      </c>
      <c r="BH93" s="41">
        <f t="shared" si="83"/>
        <v>1356.06094</v>
      </c>
      <c r="BI93" s="41">
        <f t="shared" si="83"/>
        <v>1356.06094</v>
      </c>
      <c r="BJ93" s="41">
        <f t="shared" si="83"/>
        <v>1356.06094</v>
      </c>
      <c r="BK93" s="41">
        <f t="shared" si="83"/>
        <v>1356.06094</v>
      </c>
      <c r="BL93" s="41">
        <f t="shared" si="83"/>
        <v>1356.06094</v>
      </c>
      <c r="BM93" s="41">
        <f t="shared" si="83"/>
        <v>1356.06094</v>
      </c>
      <c r="BN93" s="41">
        <f t="shared" si="83"/>
        <v>1356.06094</v>
      </c>
      <c r="BO93" s="41">
        <f t="shared" si="83"/>
        <v>1356.06094</v>
      </c>
      <c r="BP93" s="41">
        <f t="shared" si="83"/>
        <v>1356.06094</v>
      </c>
      <c r="BQ93" s="41">
        <f t="shared" si="83"/>
        <v>1356.06094</v>
      </c>
      <c r="BR93" s="41">
        <f t="shared" si="83"/>
        <v>1356.06094</v>
      </c>
      <c r="BS93" s="41">
        <f t="shared" si="83"/>
        <v>1356.06094</v>
      </c>
      <c r="BT93" s="41">
        <f t="shared" si="83"/>
        <v>1356.06094</v>
      </c>
      <c r="BU93" s="41">
        <f t="shared" si="83"/>
        <v>1356.06094</v>
      </c>
      <c r="BV93" s="41">
        <f t="shared" si="83"/>
        <v>1356.06094</v>
      </c>
      <c r="BW93" s="67"/>
    </row>
    <row r="94">
      <c r="A94" s="77" t="s">
        <v>284</v>
      </c>
      <c r="B94" s="110">
        <v>0.003</v>
      </c>
      <c r="C94" s="77">
        <f t="shared" ref="C94:H94" si="84">C$53*$B94</f>
        <v>0</v>
      </c>
      <c r="D94" s="77">
        <f t="shared" si="84"/>
        <v>0</v>
      </c>
      <c r="E94" s="77">
        <f t="shared" si="84"/>
        <v>0</v>
      </c>
      <c r="F94" s="77">
        <f t="shared" si="84"/>
        <v>0</v>
      </c>
      <c r="G94" s="77">
        <f t="shared" si="84"/>
        <v>0</v>
      </c>
      <c r="H94" s="77">
        <f t="shared" si="84"/>
        <v>0</v>
      </c>
      <c r="I94" s="77">
        <v>0.0</v>
      </c>
      <c r="J94" s="77">
        <f t="shared" ref="J94:T94" si="85">J$53*$B94</f>
        <v>89.198055</v>
      </c>
      <c r="K94" s="77">
        <f t="shared" si="85"/>
        <v>618.713145</v>
      </c>
      <c r="L94" s="77">
        <f t="shared" si="85"/>
        <v>630.567705</v>
      </c>
      <c r="M94" s="77">
        <f t="shared" si="85"/>
        <v>633.259455</v>
      </c>
      <c r="N94" s="77">
        <f t="shared" si="85"/>
        <v>687.66741</v>
      </c>
      <c r="O94" s="77">
        <f t="shared" si="85"/>
        <v>725.943915</v>
      </c>
      <c r="P94" s="77">
        <f t="shared" si="85"/>
        <v>1228.20009</v>
      </c>
      <c r="Q94" s="77">
        <f t="shared" si="85"/>
        <v>1594.10418</v>
      </c>
      <c r="R94" s="77">
        <f t="shared" si="85"/>
        <v>2034.09141</v>
      </c>
      <c r="S94" s="77">
        <f t="shared" si="85"/>
        <v>2040.092475</v>
      </c>
      <c r="T94" s="77">
        <f t="shared" si="85"/>
        <v>4867.133235</v>
      </c>
      <c r="U94" s="41">
        <f t="shared" ref="U94:BV94" si="86">T94</f>
        <v>4867.133235</v>
      </c>
      <c r="V94" s="41">
        <f t="shared" si="86"/>
        <v>4867.133235</v>
      </c>
      <c r="W94" s="41">
        <f t="shared" si="86"/>
        <v>4867.133235</v>
      </c>
      <c r="X94" s="41">
        <f t="shared" si="86"/>
        <v>4867.133235</v>
      </c>
      <c r="Y94" s="41">
        <f t="shared" si="86"/>
        <v>4867.133235</v>
      </c>
      <c r="Z94" s="41">
        <f t="shared" si="86"/>
        <v>4867.133235</v>
      </c>
      <c r="AA94" s="41">
        <f t="shared" si="86"/>
        <v>4867.133235</v>
      </c>
      <c r="AB94" s="41">
        <f t="shared" si="86"/>
        <v>4867.133235</v>
      </c>
      <c r="AC94" s="41">
        <f t="shared" si="86"/>
        <v>4867.133235</v>
      </c>
      <c r="AD94" s="41">
        <f t="shared" si="86"/>
        <v>4867.133235</v>
      </c>
      <c r="AE94" s="41">
        <f t="shared" si="86"/>
        <v>4867.133235</v>
      </c>
      <c r="AF94" s="41">
        <f t="shared" si="86"/>
        <v>4867.133235</v>
      </c>
      <c r="AG94" s="41">
        <f t="shared" si="86"/>
        <v>4867.133235</v>
      </c>
      <c r="AH94" s="41">
        <f t="shared" si="86"/>
        <v>4867.133235</v>
      </c>
      <c r="AI94" s="41">
        <f t="shared" si="86"/>
        <v>4867.133235</v>
      </c>
      <c r="AJ94" s="41">
        <f t="shared" si="86"/>
        <v>4867.133235</v>
      </c>
      <c r="AK94" s="41">
        <f t="shared" si="86"/>
        <v>4867.133235</v>
      </c>
      <c r="AL94" s="41">
        <f t="shared" si="86"/>
        <v>4867.133235</v>
      </c>
      <c r="AM94" s="41">
        <f t="shared" si="86"/>
        <v>4867.133235</v>
      </c>
      <c r="AN94" s="41">
        <f t="shared" si="86"/>
        <v>4867.133235</v>
      </c>
      <c r="AO94" s="41">
        <f t="shared" si="86"/>
        <v>4867.133235</v>
      </c>
      <c r="AP94" s="41">
        <f t="shared" si="86"/>
        <v>4867.133235</v>
      </c>
      <c r="AQ94" s="41">
        <f t="shared" si="86"/>
        <v>4867.133235</v>
      </c>
      <c r="AR94" s="41">
        <f t="shared" si="86"/>
        <v>4867.133235</v>
      </c>
      <c r="AS94" s="41">
        <f t="shared" si="86"/>
        <v>4867.133235</v>
      </c>
      <c r="AT94" s="41">
        <f t="shared" si="86"/>
        <v>4867.133235</v>
      </c>
      <c r="AU94" s="41">
        <f t="shared" si="86"/>
        <v>4867.133235</v>
      </c>
      <c r="AV94" s="41">
        <f t="shared" si="86"/>
        <v>4867.133235</v>
      </c>
      <c r="AW94" s="41">
        <f t="shared" si="86"/>
        <v>4867.133235</v>
      </c>
      <c r="AX94" s="41">
        <f t="shared" si="86"/>
        <v>4867.133235</v>
      </c>
      <c r="AY94" s="41">
        <f t="shared" si="86"/>
        <v>4867.133235</v>
      </c>
      <c r="AZ94" s="41">
        <f t="shared" si="86"/>
        <v>4867.133235</v>
      </c>
      <c r="BA94" s="41">
        <f t="shared" si="86"/>
        <v>4867.133235</v>
      </c>
      <c r="BB94" s="41">
        <f t="shared" si="86"/>
        <v>4867.133235</v>
      </c>
      <c r="BC94" s="41">
        <f t="shared" si="86"/>
        <v>4867.133235</v>
      </c>
      <c r="BD94" s="41">
        <f t="shared" si="86"/>
        <v>4867.133235</v>
      </c>
      <c r="BE94" s="41">
        <f t="shared" si="86"/>
        <v>4867.133235</v>
      </c>
      <c r="BF94" s="41">
        <f t="shared" si="86"/>
        <v>4867.133235</v>
      </c>
      <c r="BG94" s="41">
        <f t="shared" si="86"/>
        <v>4867.133235</v>
      </c>
      <c r="BH94" s="41">
        <f t="shared" si="86"/>
        <v>4867.133235</v>
      </c>
      <c r="BI94" s="41">
        <f t="shared" si="86"/>
        <v>4867.133235</v>
      </c>
      <c r="BJ94" s="41">
        <f t="shared" si="86"/>
        <v>4867.133235</v>
      </c>
      <c r="BK94" s="41">
        <f t="shared" si="86"/>
        <v>4867.133235</v>
      </c>
      <c r="BL94" s="41">
        <f t="shared" si="86"/>
        <v>4867.133235</v>
      </c>
      <c r="BM94" s="41">
        <f t="shared" si="86"/>
        <v>4867.133235</v>
      </c>
      <c r="BN94" s="41">
        <f t="shared" si="86"/>
        <v>4867.133235</v>
      </c>
      <c r="BO94" s="41">
        <f t="shared" si="86"/>
        <v>4867.133235</v>
      </c>
      <c r="BP94" s="41">
        <f t="shared" si="86"/>
        <v>4867.133235</v>
      </c>
      <c r="BQ94" s="41">
        <f t="shared" si="86"/>
        <v>4867.133235</v>
      </c>
      <c r="BR94" s="41">
        <f t="shared" si="86"/>
        <v>4867.133235</v>
      </c>
      <c r="BS94" s="41">
        <f t="shared" si="86"/>
        <v>4867.133235</v>
      </c>
      <c r="BT94" s="41">
        <f t="shared" si="86"/>
        <v>4867.133235</v>
      </c>
      <c r="BU94" s="41">
        <f t="shared" si="86"/>
        <v>4867.133235</v>
      </c>
      <c r="BV94" s="41">
        <f t="shared" si="86"/>
        <v>4867.133235</v>
      </c>
      <c r="BW94" s="67"/>
    </row>
    <row r="95">
      <c r="A95" s="41" t="s">
        <v>285</v>
      </c>
      <c r="B95" s="110">
        <v>0.002</v>
      </c>
      <c r="C95" s="77">
        <f t="shared" ref="C95:H95" si="87">C$53*$B95</f>
        <v>0</v>
      </c>
      <c r="D95" s="77">
        <f t="shared" si="87"/>
        <v>0</v>
      </c>
      <c r="E95" s="77">
        <f t="shared" si="87"/>
        <v>0</v>
      </c>
      <c r="F95" s="77">
        <f t="shared" si="87"/>
        <v>0</v>
      </c>
      <c r="G95" s="77">
        <f t="shared" si="87"/>
        <v>0</v>
      </c>
      <c r="H95" s="77">
        <f t="shared" si="87"/>
        <v>0</v>
      </c>
      <c r="I95" s="77">
        <v>0.0</v>
      </c>
      <c r="J95" s="77">
        <f t="shared" ref="J95:U95" si="88">J$53*$B95</f>
        <v>59.46537</v>
      </c>
      <c r="K95" s="77">
        <f t="shared" si="88"/>
        <v>412.47543</v>
      </c>
      <c r="L95" s="77">
        <f t="shared" si="88"/>
        <v>420.37847</v>
      </c>
      <c r="M95" s="77">
        <f t="shared" si="88"/>
        <v>422.17297</v>
      </c>
      <c r="N95" s="77">
        <f t="shared" si="88"/>
        <v>458.44494</v>
      </c>
      <c r="O95" s="77">
        <f t="shared" si="88"/>
        <v>483.96261</v>
      </c>
      <c r="P95" s="77">
        <f t="shared" si="88"/>
        <v>818.80006</v>
      </c>
      <c r="Q95" s="77">
        <f t="shared" si="88"/>
        <v>1062.73612</v>
      </c>
      <c r="R95" s="77">
        <f t="shared" si="88"/>
        <v>1356.06094</v>
      </c>
      <c r="S95" s="77">
        <f t="shared" si="88"/>
        <v>1360.06165</v>
      </c>
      <c r="T95" s="77">
        <f t="shared" si="88"/>
        <v>3244.75549</v>
      </c>
      <c r="U95" s="77">
        <f t="shared" si="88"/>
        <v>3250.78556</v>
      </c>
      <c r="V95" s="41">
        <f t="shared" ref="V95:BV95" si="89">U95</f>
        <v>3250.78556</v>
      </c>
      <c r="W95" s="41">
        <f t="shared" si="89"/>
        <v>3250.78556</v>
      </c>
      <c r="X95" s="41">
        <f t="shared" si="89"/>
        <v>3250.78556</v>
      </c>
      <c r="Y95" s="41">
        <f t="shared" si="89"/>
        <v>3250.78556</v>
      </c>
      <c r="Z95" s="41">
        <f t="shared" si="89"/>
        <v>3250.78556</v>
      </c>
      <c r="AA95" s="41">
        <f t="shared" si="89"/>
        <v>3250.78556</v>
      </c>
      <c r="AB95" s="41">
        <f t="shared" si="89"/>
        <v>3250.78556</v>
      </c>
      <c r="AC95" s="41">
        <f t="shared" si="89"/>
        <v>3250.78556</v>
      </c>
      <c r="AD95" s="41">
        <f t="shared" si="89"/>
        <v>3250.78556</v>
      </c>
      <c r="AE95" s="41">
        <f t="shared" si="89"/>
        <v>3250.78556</v>
      </c>
      <c r="AF95" s="41">
        <f t="shared" si="89"/>
        <v>3250.78556</v>
      </c>
      <c r="AG95" s="41">
        <f t="shared" si="89"/>
        <v>3250.78556</v>
      </c>
      <c r="AH95" s="41">
        <f t="shared" si="89"/>
        <v>3250.78556</v>
      </c>
      <c r="AI95" s="41">
        <f t="shared" si="89"/>
        <v>3250.78556</v>
      </c>
      <c r="AJ95" s="41">
        <f t="shared" si="89"/>
        <v>3250.78556</v>
      </c>
      <c r="AK95" s="41">
        <f t="shared" si="89"/>
        <v>3250.78556</v>
      </c>
      <c r="AL95" s="41">
        <f t="shared" si="89"/>
        <v>3250.78556</v>
      </c>
      <c r="AM95" s="41">
        <f t="shared" si="89"/>
        <v>3250.78556</v>
      </c>
      <c r="AN95" s="41">
        <f t="shared" si="89"/>
        <v>3250.78556</v>
      </c>
      <c r="AO95" s="41">
        <f t="shared" si="89"/>
        <v>3250.78556</v>
      </c>
      <c r="AP95" s="41">
        <f t="shared" si="89"/>
        <v>3250.78556</v>
      </c>
      <c r="AQ95" s="41">
        <f t="shared" si="89"/>
        <v>3250.78556</v>
      </c>
      <c r="AR95" s="41">
        <f t="shared" si="89"/>
        <v>3250.78556</v>
      </c>
      <c r="AS95" s="41">
        <f t="shared" si="89"/>
        <v>3250.78556</v>
      </c>
      <c r="AT95" s="41">
        <f t="shared" si="89"/>
        <v>3250.78556</v>
      </c>
      <c r="AU95" s="41">
        <f t="shared" si="89"/>
        <v>3250.78556</v>
      </c>
      <c r="AV95" s="41">
        <f t="shared" si="89"/>
        <v>3250.78556</v>
      </c>
      <c r="AW95" s="41">
        <f t="shared" si="89"/>
        <v>3250.78556</v>
      </c>
      <c r="AX95" s="41">
        <f t="shared" si="89"/>
        <v>3250.78556</v>
      </c>
      <c r="AY95" s="41">
        <f t="shared" si="89"/>
        <v>3250.78556</v>
      </c>
      <c r="AZ95" s="41">
        <f t="shared" si="89"/>
        <v>3250.78556</v>
      </c>
      <c r="BA95" s="41">
        <f t="shared" si="89"/>
        <v>3250.78556</v>
      </c>
      <c r="BB95" s="41">
        <f t="shared" si="89"/>
        <v>3250.78556</v>
      </c>
      <c r="BC95" s="41">
        <f t="shared" si="89"/>
        <v>3250.78556</v>
      </c>
      <c r="BD95" s="41">
        <f t="shared" si="89"/>
        <v>3250.78556</v>
      </c>
      <c r="BE95" s="41">
        <f t="shared" si="89"/>
        <v>3250.78556</v>
      </c>
      <c r="BF95" s="41">
        <f t="shared" si="89"/>
        <v>3250.78556</v>
      </c>
      <c r="BG95" s="41">
        <f t="shared" si="89"/>
        <v>3250.78556</v>
      </c>
      <c r="BH95" s="41">
        <f t="shared" si="89"/>
        <v>3250.78556</v>
      </c>
      <c r="BI95" s="41">
        <f t="shared" si="89"/>
        <v>3250.78556</v>
      </c>
      <c r="BJ95" s="41">
        <f t="shared" si="89"/>
        <v>3250.78556</v>
      </c>
      <c r="BK95" s="41">
        <f t="shared" si="89"/>
        <v>3250.78556</v>
      </c>
      <c r="BL95" s="41">
        <f t="shared" si="89"/>
        <v>3250.78556</v>
      </c>
      <c r="BM95" s="41">
        <f t="shared" si="89"/>
        <v>3250.78556</v>
      </c>
      <c r="BN95" s="41">
        <f t="shared" si="89"/>
        <v>3250.78556</v>
      </c>
      <c r="BO95" s="41">
        <f t="shared" si="89"/>
        <v>3250.78556</v>
      </c>
      <c r="BP95" s="41">
        <f t="shared" si="89"/>
        <v>3250.78556</v>
      </c>
      <c r="BQ95" s="41">
        <f t="shared" si="89"/>
        <v>3250.78556</v>
      </c>
      <c r="BR95" s="41">
        <f t="shared" si="89"/>
        <v>3250.78556</v>
      </c>
      <c r="BS95" s="41">
        <f t="shared" si="89"/>
        <v>3250.78556</v>
      </c>
      <c r="BT95" s="41">
        <f t="shared" si="89"/>
        <v>3250.78556</v>
      </c>
      <c r="BU95" s="41">
        <f t="shared" si="89"/>
        <v>3250.78556</v>
      </c>
      <c r="BV95" s="41">
        <f t="shared" si="89"/>
        <v>3250.78556</v>
      </c>
      <c r="BW95" s="67"/>
    </row>
    <row r="96">
      <c r="A96" s="41" t="s">
        <v>286</v>
      </c>
      <c r="B96" s="110">
        <v>0.002</v>
      </c>
      <c r="C96" s="77">
        <f t="shared" ref="C96:H96" si="90">C$53*$B96</f>
        <v>0</v>
      </c>
      <c r="D96" s="77">
        <f t="shared" si="90"/>
        <v>0</v>
      </c>
      <c r="E96" s="77">
        <f t="shared" si="90"/>
        <v>0</v>
      </c>
      <c r="F96" s="77">
        <f t="shared" si="90"/>
        <v>0</v>
      </c>
      <c r="G96" s="77">
        <f t="shared" si="90"/>
        <v>0</v>
      </c>
      <c r="H96" s="77">
        <f t="shared" si="90"/>
        <v>0</v>
      </c>
      <c r="I96" s="77">
        <v>0.0</v>
      </c>
      <c r="J96" s="77">
        <f t="shared" ref="J96:U96" si="91">J$53*$B96</f>
        <v>59.46537</v>
      </c>
      <c r="K96" s="77">
        <f t="shared" si="91"/>
        <v>412.47543</v>
      </c>
      <c r="L96" s="77">
        <f t="shared" si="91"/>
        <v>420.37847</v>
      </c>
      <c r="M96" s="77">
        <f t="shared" si="91"/>
        <v>422.17297</v>
      </c>
      <c r="N96" s="77">
        <f t="shared" si="91"/>
        <v>458.44494</v>
      </c>
      <c r="O96" s="77">
        <f t="shared" si="91"/>
        <v>483.96261</v>
      </c>
      <c r="P96" s="77">
        <f t="shared" si="91"/>
        <v>818.80006</v>
      </c>
      <c r="Q96" s="77">
        <f t="shared" si="91"/>
        <v>1062.73612</v>
      </c>
      <c r="R96" s="77">
        <f t="shared" si="91"/>
        <v>1356.06094</v>
      </c>
      <c r="S96" s="77">
        <f t="shared" si="91"/>
        <v>1360.06165</v>
      </c>
      <c r="T96" s="77">
        <f t="shared" si="91"/>
        <v>3244.75549</v>
      </c>
      <c r="U96" s="77">
        <f t="shared" si="91"/>
        <v>3250.78556</v>
      </c>
      <c r="V96" s="41">
        <f t="shared" ref="V96:BV96" si="92">U96</f>
        <v>3250.78556</v>
      </c>
      <c r="W96" s="41">
        <f t="shared" si="92"/>
        <v>3250.78556</v>
      </c>
      <c r="X96" s="41">
        <f t="shared" si="92"/>
        <v>3250.78556</v>
      </c>
      <c r="Y96" s="41">
        <f t="shared" si="92"/>
        <v>3250.78556</v>
      </c>
      <c r="Z96" s="41">
        <f t="shared" si="92"/>
        <v>3250.78556</v>
      </c>
      <c r="AA96" s="41">
        <f t="shared" si="92"/>
        <v>3250.78556</v>
      </c>
      <c r="AB96" s="41">
        <f t="shared" si="92"/>
        <v>3250.78556</v>
      </c>
      <c r="AC96" s="41">
        <f t="shared" si="92"/>
        <v>3250.78556</v>
      </c>
      <c r="AD96" s="41">
        <f t="shared" si="92"/>
        <v>3250.78556</v>
      </c>
      <c r="AE96" s="41">
        <f t="shared" si="92"/>
        <v>3250.78556</v>
      </c>
      <c r="AF96" s="41">
        <f t="shared" si="92"/>
        <v>3250.78556</v>
      </c>
      <c r="AG96" s="41">
        <f t="shared" si="92"/>
        <v>3250.78556</v>
      </c>
      <c r="AH96" s="41">
        <f t="shared" si="92"/>
        <v>3250.78556</v>
      </c>
      <c r="AI96" s="41">
        <f t="shared" si="92"/>
        <v>3250.78556</v>
      </c>
      <c r="AJ96" s="41">
        <f t="shared" si="92"/>
        <v>3250.78556</v>
      </c>
      <c r="AK96" s="41">
        <f t="shared" si="92"/>
        <v>3250.78556</v>
      </c>
      <c r="AL96" s="41">
        <f t="shared" si="92"/>
        <v>3250.78556</v>
      </c>
      <c r="AM96" s="41">
        <f t="shared" si="92"/>
        <v>3250.78556</v>
      </c>
      <c r="AN96" s="41">
        <f t="shared" si="92"/>
        <v>3250.78556</v>
      </c>
      <c r="AO96" s="41">
        <f t="shared" si="92"/>
        <v>3250.78556</v>
      </c>
      <c r="AP96" s="41">
        <f t="shared" si="92"/>
        <v>3250.78556</v>
      </c>
      <c r="AQ96" s="41">
        <f t="shared" si="92"/>
        <v>3250.78556</v>
      </c>
      <c r="AR96" s="41">
        <f t="shared" si="92"/>
        <v>3250.78556</v>
      </c>
      <c r="AS96" s="41">
        <f t="shared" si="92"/>
        <v>3250.78556</v>
      </c>
      <c r="AT96" s="41">
        <f t="shared" si="92"/>
        <v>3250.78556</v>
      </c>
      <c r="AU96" s="41">
        <f t="shared" si="92"/>
        <v>3250.78556</v>
      </c>
      <c r="AV96" s="41">
        <f t="shared" si="92"/>
        <v>3250.78556</v>
      </c>
      <c r="AW96" s="41">
        <f t="shared" si="92"/>
        <v>3250.78556</v>
      </c>
      <c r="AX96" s="41">
        <f t="shared" si="92"/>
        <v>3250.78556</v>
      </c>
      <c r="AY96" s="41">
        <f t="shared" si="92"/>
        <v>3250.78556</v>
      </c>
      <c r="AZ96" s="41">
        <f t="shared" si="92"/>
        <v>3250.78556</v>
      </c>
      <c r="BA96" s="41">
        <f t="shared" si="92"/>
        <v>3250.78556</v>
      </c>
      <c r="BB96" s="41">
        <f t="shared" si="92"/>
        <v>3250.78556</v>
      </c>
      <c r="BC96" s="41">
        <f t="shared" si="92"/>
        <v>3250.78556</v>
      </c>
      <c r="BD96" s="41">
        <f t="shared" si="92"/>
        <v>3250.78556</v>
      </c>
      <c r="BE96" s="41">
        <f t="shared" si="92"/>
        <v>3250.78556</v>
      </c>
      <c r="BF96" s="41">
        <f t="shared" si="92"/>
        <v>3250.78556</v>
      </c>
      <c r="BG96" s="41">
        <f t="shared" si="92"/>
        <v>3250.78556</v>
      </c>
      <c r="BH96" s="41">
        <f t="shared" si="92"/>
        <v>3250.78556</v>
      </c>
      <c r="BI96" s="41">
        <f t="shared" si="92"/>
        <v>3250.78556</v>
      </c>
      <c r="BJ96" s="41">
        <f t="shared" si="92"/>
        <v>3250.78556</v>
      </c>
      <c r="BK96" s="41">
        <f t="shared" si="92"/>
        <v>3250.78556</v>
      </c>
      <c r="BL96" s="41">
        <f t="shared" si="92"/>
        <v>3250.78556</v>
      </c>
      <c r="BM96" s="41">
        <f t="shared" si="92"/>
        <v>3250.78556</v>
      </c>
      <c r="BN96" s="41">
        <f t="shared" si="92"/>
        <v>3250.78556</v>
      </c>
      <c r="BO96" s="41">
        <f t="shared" si="92"/>
        <v>3250.78556</v>
      </c>
      <c r="BP96" s="41">
        <f t="shared" si="92"/>
        <v>3250.78556</v>
      </c>
      <c r="BQ96" s="41">
        <f t="shared" si="92"/>
        <v>3250.78556</v>
      </c>
      <c r="BR96" s="41">
        <f t="shared" si="92"/>
        <v>3250.78556</v>
      </c>
      <c r="BS96" s="41">
        <f t="shared" si="92"/>
        <v>3250.78556</v>
      </c>
      <c r="BT96" s="41">
        <f t="shared" si="92"/>
        <v>3250.78556</v>
      </c>
      <c r="BU96" s="41">
        <f t="shared" si="92"/>
        <v>3250.78556</v>
      </c>
      <c r="BV96" s="41">
        <f t="shared" si="92"/>
        <v>3250.78556</v>
      </c>
      <c r="BW96" s="67"/>
    </row>
    <row r="97">
      <c r="A97" s="41" t="s">
        <v>287</v>
      </c>
      <c r="B97" s="110">
        <v>0.002</v>
      </c>
      <c r="C97" s="77">
        <f t="shared" ref="C97:H97" si="93">C$53*$B97</f>
        <v>0</v>
      </c>
      <c r="D97" s="77">
        <f t="shared" si="93"/>
        <v>0</v>
      </c>
      <c r="E97" s="77">
        <f t="shared" si="93"/>
        <v>0</v>
      </c>
      <c r="F97" s="77">
        <f t="shared" si="93"/>
        <v>0</v>
      </c>
      <c r="G97" s="77">
        <f t="shared" si="93"/>
        <v>0</v>
      </c>
      <c r="H97" s="77">
        <f t="shared" si="93"/>
        <v>0</v>
      </c>
      <c r="I97" s="77">
        <v>0.0</v>
      </c>
      <c r="J97" s="77">
        <f t="shared" ref="J97:T97" si="94">J$53*$B97</f>
        <v>59.46537</v>
      </c>
      <c r="K97" s="77">
        <f t="shared" si="94"/>
        <v>412.47543</v>
      </c>
      <c r="L97" s="77">
        <f t="shared" si="94"/>
        <v>420.37847</v>
      </c>
      <c r="M97" s="77">
        <f t="shared" si="94"/>
        <v>422.17297</v>
      </c>
      <c r="N97" s="77">
        <f t="shared" si="94"/>
        <v>458.44494</v>
      </c>
      <c r="O97" s="77">
        <f t="shared" si="94"/>
        <v>483.96261</v>
      </c>
      <c r="P97" s="77">
        <f t="shared" si="94"/>
        <v>818.80006</v>
      </c>
      <c r="Q97" s="77">
        <f t="shared" si="94"/>
        <v>1062.73612</v>
      </c>
      <c r="R97" s="77">
        <f t="shared" si="94"/>
        <v>1356.06094</v>
      </c>
      <c r="S97" s="77">
        <f t="shared" si="94"/>
        <v>1360.06165</v>
      </c>
      <c r="T97" s="77">
        <f t="shared" si="94"/>
        <v>3244.75549</v>
      </c>
      <c r="U97" s="41">
        <f t="shared" ref="U97:BV97" si="95">T97</f>
        <v>3244.75549</v>
      </c>
      <c r="V97" s="41">
        <f t="shared" si="95"/>
        <v>3244.75549</v>
      </c>
      <c r="W97" s="41">
        <f t="shared" si="95"/>
        <v>3244.75549</v>
      </c>
      <c r="X97" s="41">
        <f t="shared" si="95"/>
        <v>3244.75549</v>
      </c>
      <c r="Y97" s="41">
        <f t="shared" si="95"/>
        <v>3244.75549</v>
      </c>
      <c r="Z97" s="41">
        <f t="shared" si="95"/>
        <v>3244.75549</v>
      </c>
      <c r="AA97" s="41">
        <f t="shared" si="95"/>
        <v>3244.75549</v>
      </c>
      <c r="AB97" s="41">
        <f t="shared" si="95"/>
        <v>3244.75549</v>
      </c>
      <c r="AC97" s="41">
        <f t="shared" si="95"/>
        <v>3244.75549</v>
      </c>
      <c r="AD97" s="41">
        <f t="shared" si="95"/>
        <v>3244.75549</v>
      </c>
      <c r="AE97" s="41">
        <f t="shared" si="95"/>
        <v>3244.75549</v>
      </c>
      <c r="AF97" s="41">
        <f t="shared" si="95"/>
        <v>3244.75549</v>
      </c>
      <c r="AG97" s="41">
        <f t="shared" si="95"/>
        <v>3244.75549</v>
      </c>
      <c r="AH97" s="41">
        <f t="shared" si="95"/>
        <v>3244.75549</v>
      </c>
      <c r="AI97" s="41">
        <f t="shared" si="95"/>
        <v>3244.75549</v>
      </c>
      <c r="AJ97" s="41">
        <f t="shared" si="95"/>
        <v>3244.75549</v>
      </c>
      <c r="AK97" s="41">
        <f t="shared" si="95"/>
        <v>3244.75549</v>
      </c>
      <c r="AL97" s="41">
        <f t="shared" si="95"/>
        <v>3244.75549</v>
      </c>
      <c r="AM97" s="41">
        <f t="shared" si="95"/>
        <v>3244.75549</v>
      </c>
      <c r="AN97" s="41">
        <f t="shared" si="95"/>
        <v>3244.75549</v>
      </c>
      <c r="AO97" s="41">
        <f t="shared" si="95"/>
        <v>3244.75549</v>
      </c>
      <c r="AP97" s="41">
        <f t="shared" si="95"/>
        <v>3244.75549</v>
      </c>
      <c r="AQ97" s="41">
        <f t="shared" si="95"/>
        <v>3244.75549</v>
      </c>
      <c r="AR97" s="41">
        <f t="shared" si="95"/>
        <v>3244.75549</v>
      </c>
      <c r="AS97" s="41">
        <f t="shared" si="95"/>
        <v>3244.75549</v>
      </c>
      <c r="AT97" s="41">
        <f t="shared" si="95"/>
        <v>3244.75549</v>
      </c>
      <c r="AU97" s="41">
        <f t="shared" si="95"/>
        <v>3244.75549</v>
      </c>
      <c r="AV97" s="41">
        <f t="shared" si="95"/>
        <v>3244.75549</v>
      </c>
      <c r="AW97" s="41">
        <f t="shared" si="95"/>
        <v>3244.75549</v>
      </c>
      <c r="AX97" s="41">
        <f t="shared" si="95"/>
        <v>3244.75549</v>
      </c>
      <c r="AY97" s="41">
        <f t="shared" si="95"/>
        <v>3244.75549</v>
      </c>
      <c r="AZ97" s="41">
        <f t="shared" si="95"/>
        <v>3244.75549</v>
      </c>
      <c r="BA97" s="41">
        <f t="shared" si="95"/>
        <v>3244.75549</v>
      </c>
      <c r="BB97" s="41">
        <f t="shared" si="95"/>
        <v>3244.75549</v>
      </c>
      <c r="BC97" s="41">
        <f t="shared" si="95"/>
        <v>3244.75549</v>
      </c>
      <c r="BD97" s="41">
        <f t="shared" si="95"/>
        <v>3244.75549</v>
      </c>
      <c r="BE97" s="41">
        <f t="shared" si="95"/>
        <v>3244.75549</v>
      </c>
      <c r="BF97" s="41">
        <f t="shared" si="95"/>
        <v>3244.75549</v>
      </c>
      <c r="BG97" s="41">
        <f t="shared" si="95"/>
        <v>3244.75549</v>
      </c>
      <c r="BH97" s="41">
        <f t="shared" si="95"/>
        <v>3244.75549</v>
      </c>
      <c r="BI97" s="41">
        <f t="shared" si="95"/>
        <v>3244.75549</v>
      </c>
      <c r="BJ97" s="41">
        <f t="shared" si="95"/>
        <v>3244.75549</v>
      </c>
      <c r="BK97" s="41">
        <f t="shared" si="95"/>
        <v>3244.75549</v>
      </c>
      <c r="BL97" s="41">
        <f t="shared" si="95"/>
        <v>3244.75549</v>
      </c>
      <c r="BM97" s="41">
        <f t="shared" si="95"/>
        <v>3244.75549</v>
      </c>
      <c r="BN97" s="41">
        <f t="shared" si="95"/>
        <v>3244.75549</v>
      </c>
      <c r="BO97" s="41">
        <f t="shared" si="95"/>
        <v>3244.75549</v>
      </c>
      <c r="BP97" s="41">
        <f t="shared" si="95"/>
        <v>3244.75549</v>
      </c>
      <c r="BQ97" s="41">
        <f t="shared" si="95"/>
        <v>3244.75549</v>
      </c>
      <c r="BR97" s="41">
        <f t="shared" si="95"/>
        <v>3244.75549</v>
      </c>
      <c r="BS97" s="41">
        <f t="shared" si="95"/>
        <v>3244.75549</v>
      </c>
      <c r="BT97" s="41">
        <f t="shared" si="95"/>
        <v>3244.75549</v>
      </c>
      <c r="BU97" s="41">
        <f t="shared" si="95"/>
        <v>3244.75549</v>
      </c>
      <c r="BV97" s="41">
        <f t="shared" si="95"/>
        <v>3244.75549</v>
      </c>
      <c r="BW97" s="67"/>
    </row>
    <row r="98">
      <c r="A98" s="41" t="s">
        <v>288</v>
      </c>
      <c r="B98" s="110">
        <v>0.002</v>
      </c>
      <c r="C98" s="77">
        <f t="shared" ref="C98:H98" si="96">C$53*$B98</f>
        <v>0</v>
      </c>
      <c r="D98" s="77">
        <f t="shared" si="96"/>
        <v>0</v>
      </c>
      <c r="E98" s="77">
        <f t="shared" si="96"/>
        <v>0</v>
      </c>
      <c r="F98" s="77">
        <f t="shared" si="96"/>
        <v>0</v>
      </c>
      <c r="G98" s="77">
        <f t="shared" si="96"/>
        <v>0</v>
      </c>
      <c r="H98" s="77">
        <f t="shared" si="96"/>
        <v>0</v>
      </c>
      <c r="I98" s="77">
        <v>0.0</v>
      </c>
      <c r="J98" s="77">
        <f t="shared" ref="J98:T98" si="97">J$53*$B98</f>
        <v>59.46537</v>
      </c>
      <c r="K98" s="77">
        <f t="shared" si="97"/>
        <v>412.47543</v>
      </c>
      <c r="L98" s="77">
        <f t="shared" si="97"/>
        <v>420.37847</v>
      </c>
      <c r="M98" s="77">
        <f t="shared" si="97"/>
        <v>422.17297</v>
      </c>
      <c r="N98" s="77">
        <f t="shared" si="97"/>
        <v>458.44494</v>
      </c>
      <c r="O98" s="77">
        <f t="shared" si="97"/>
        <v>483.96261</v>
      </c>
      <c r="P98" s="77">
        <f t="shared" si="97"/>
        <v>818.80006</v>
      </c>
      <c r="Q98" s="77">
        <f t="shared" si="97"/>
        <v>1062.73612</v>
      </c>
      <c r="R98" s="77">
        <f t="shared" si="97"/>
        <v>1356.06094</v>
      </c>
      <c r="S98" s="77">
        <f t="shared" si="97"/>
        <v>1360.06165</v>
      </c>
      <c r="T98" s="77">
        <f t="shared" si="97"/>
        <v>3244.75549</v>
      </c>
      <c r="U98" s="41">
        <f t="shared" ref="U98:BV98" si="98">T98</f>
        <v>3244.75549</v>
      </c>
      <c r="V98" s="41">
        <f t="shared" si="98"/>
        <v>3244.75549</v>
      </c>
      <c r="W98" s="41">
        <f t="shared" si="98"/>
        <v>3244.75549</v>
      </c>
      <c r="X98" s="41">
        <f t="shared" si="98"/>
        <v>3244.75549</v>
      </c>
      <c r="Y98" s="41">
        <f t="shared" si="98"/>
        <v>3244.75549</v>
      </c>
      <c r="Z98" s="41">
        <f t="shared" si="98"/>
        <v>3244.75549</v>
      </c>
      <c r="AA98" s="41">
        <f t="shared" si="98"/>
        <v>3244.75549</v>
      </c>
      <c r="AB98" s="41">
        <f t="shared" si="98"/>
        <v>3244.75549</v>
      </c>
      <c r="AC98" s="41">
        <f t="shared" si="98"/>
        <v>3244.75549</v>
      </c>
      <c r="AD98" s="41">
        <f t="shared" si="98"/>
        <v>3244.75549</v>
      </c>
      <c r="AE98" s="41">
        <f t="shared" si="98"/>
        <v>3244.75549</v>
      </c>
      <c r="AF98" s="41">
        <f t="shared" si="98"/>
        <v>3244.75549</v>
      </c>
      <c r="AG98" s="41">
        <f t="shared" si="98"/>
        <v>3244.75549</v>
      </c>
      <c r="AH98" s="41">
        <f t="shared" si="98"/>
        <v>3244.75549</v>
      </c>
      <c r="AI98" s="41">
        <f t="shared" si="98"/>
        <v>3244.75549</v>
      </c>
      <c r="AJ98" s="41">
        <f t="shared" si="98"/>
        <v>3244.75549</v>
      </c>
      <c r="AK98" s="41">
        <f t="shared" si="98"/>
        <v>3244.75549</v>
      </c>
      <c r="AL98" s="41">
        <f t="shared" si="98"/>
        <v>3244.75549</v>
      </c>
      <c r="AM98" s="41">
        <f t="shared" si="98"/>
        <v>3244.75549</v>
      </c>
      <c r="AN98" s="41">
        <f t="shared" si="98"/>
        <v>3244.75549</v>
      </c>
      <c r="AO98" s="41">
        <f t="shared" si="98"/>
        <v>3244.75549</v>
      </c>
      <c r="AP98" s="41">
        <f t="shared" si="98"/>
        <v>3244.75549</v>
      </c>
      <c r="AQ98" s="41">
        <f t="shared" si="98"/>
        <v>3244.75549</v>
      </c>
      <c r="AR98" s="41">
        <f t="shared" si="98"/>
        <v>3244.75549</v>
      </c>
      <c r="AS98" s="41">
        <f t="shared" si="98"/>
        <v>3244.75549</v>
      </c>
      <c r="AT98" s="41">
        <f t="shared" si="98"/>
        <v>3244.75549</v>
      </c>
      <c r="AU98" s="41">
        <f t="shared" si="98"/>
        <v>3244.75549</v>
      </c>
      <c r="AV98" s="41">
        <f t="shared" si="98"/>
        <v>3244.75549</v>
      </c>
      <c r="AW98" s="41">
        <f t="shared" si="98"/>
        <v>3244.75549</v>
      </c>
      <c r="AX98" s="41">
        <f t="shared" si="98"/>
        <v>3244.75549</v>
      </c>
      <c r="AY98" s="41">
        <f t="shared" si="98"/>
        <v>3244.75549</v>
      </c>
      <c r="AZ98" s="41">
        <f t="shared" si="98"/>
        <v>3244.75549</v>
      </c>
      <c r="BA98" s="41">
        <f t="shared" si="98"/>
        <v>3244.75549</v>
      </c>
      <c r="BB98" s="41">
        <f t="shared" si="98"/>
        <v>3244.75549</v>
      </c>
      <c r="BC98" s="41">
        <f t="shared" si="98"/>
        <v>3244.75549</v>
      </c>
      <c r="BD98" s="41">
        <f t="shared" si="98"/>
        <v>3244.75549</v>
      </c>
      <c r="BE98" s="41">
        <f t="shared" si="98"/>
        <v>3244.75549</v>
      </c>
      <c r="BF98" s="41">
        <f t="shared" si="98"/>
        <v>3244.75549</v>
      </c>
      <c r="BG98" s="41">
        <f t="shared" si="98"/>
        <v>3244.75549</v>
      </c>
      <c r="BH98" s="41">
        <f t="shared" si="98"/>
        <v>3244.75549</v>
      </c>
      <c r="BI98" s="41">
        <f t="shared" si="98"/>
        <v>3244.75549</v>
      </c>
      <c r="BJ98" s="41">
        <f t="shared" si="98"/>
        <v>3244.75549</v>
      </c>
      <c r="BK98" s="41">
        <f t="shared" si="98"/>
        <v>3244.75549</v>
      </c>
      <c r="BL98" s="41">
        <f t="shared" si="98"/>
        <v>3244.75549</v>
      </c>
      <c r="BM98" s="41">
        <f t="shared" si="98"/>
        <v>3244.75549</v>
      </c>
      <c r="BN98" s="41">
        <f t="shared" si="98"/>
        <v>3244.75549</v>
      </c>
      <c r="BO98" s="41">
        <f t="shared" si="98"/>
        <v>3244.75549</v>
      </c>
      <c r="BP98" s="41">
        <f t="shared" si="98"/>
        <v>3244.75549</v>
      </c>
      <c r="BQ98" s="41">
        <f t="shared" si="98"/>
        <v>3244.75549</v>
      </c>
      <c r="BR98" s="41">
        <f t="shared" si="98"/>
        <v>3244.75549</v>
      </c>
      <c r="BS98" s="41">
        <f t="shared" si="98"/>
        <v>3244.75549</v>
      </c>
      <c r="BT98" s="41">
        <f t="shared" si="98"/>
        <v>3244.75549</v>
      </c>
      <c r="BU98" s="41">
        <f t="shared" si="98"/>
        <v>3244.75549</v>
      </c>
      <c r="BV98" s="41">
        <f t="shared" si="98"/>
        <v>3244.75549</v>
      </c>
      <c r="BW98" s="67"/>
    </row>
    <row r="99">
      <c r="A99" s="41" t="s">
        <v>289</v>
      </c>
      <c r="B99" s="110">
        <v>0.001</v>
      </c>
      <c r="C99" s="77">
        <f t="shared" ref="C99:H99" si="99">C$53*$B99</f>
        <v>0</v>
      </c>
      <c r="D99" s="77">
        <f t="shared" si="99"/>
        <v>0</v>
      </c>
      <c r="E99" s="77">
        <f t="shared" si="99"/>
        <v>0</v>
      </c>
      <c r="F99" s="77">
        <f t="shared" si="99"/>
        <v>0</v>
      </c>
      <c r="G99" s="77">
        <f t="shared" si="99"/>
        <v>0</v>
      </c>
      <c r="H99" s="77">
        <f t="shared" si="99"/>
        <v>0</v>
      </c>
      <c r="I99" s="77">
        <v>0.0</v>
      </c>
      <c r="J99" s="77">
        <f t="shared" ref="J99:V99" si="100">J$53*$B99</f>
        <v>29.732685</v>
      </c>
      <c r="K99" s="77">
        <f t="shared" si="100"/>
        <v>206.237715</v>
      </c>
      <c r="L99" s="77">
        <f t="shared" si="100"/>
        <v>210.189235</v>
      </c>
      <c r="M99" s="77">
        <f t="shared" si="100"/>
        <v>211.086485</v>
      </c>
      <c r="N99" s="77">
        <f t="shared" si="100"/>
        <v>229.22247</v>
      </c>
      <c r="O99" s="77">
        <f t="shared" si="100"/>
        <v>241.981305</v>
      </c>
      <c r="P99" s="77">
        <f t="shared" si="100"/>
        <v>409.40003</v>
      </c>
      <c r="Q99" s="77">
        <f t="shared" si="100"/>
        <v>531.36806</v>
      </c>
      <c r="R99" s="77">
        <f t="shared" si="100"/>
        <v>678.03047</v>
      </c>
      <c r="S99" s="77">
        <f t="shared" si="100"/>
        <v>680.030825</v>
      </c>
      <c r="T99" s="77">
        <f t="shared" si="100"/>
        <v>1622.377745</v>
      </c>
      <c r="U99" s="77">
        <f t="shared" si="100"/>
        <v>1625.39278</v>
      </c>
      <c r="V99" s="77">
        <f t="shared" si="100"/>
        <v>2056.739635</v>
      </c>
      <c r="W99" s="41">
        <f t="shared" ref="W99:BV99" si="101">V99</f>
        <v>2056.739635</v>
      </c>
      <c r="X99" s="41">
        <f t="shared" si="101"/>
        <v>2056.739635</v>
      </c>
      <c r="Y99" s="41">
        <f t="shared" si="101"/>
        <v>2056.739635</v>
      </c>
      <c r="Z99" s="41">
        <f t="shared" si="101"/>
        <v>2056.739635</v>
      </c>
      <c r="AA99" s="41">
        <f t="shared" si="101"/>
        <v>2056.739635</v>
      </c>
      <c r="AB99" s="41">
        <f t="shared" si="101"/>
        <v>2056.739635</v>
      </c>
      <c r="AC99" s="41">
        <f t="shared" si="101"/>
        <v>2056.739635</v>
      </c>
      <c r="AD99" s="41">
        <f t="shared" si="101"/>
        <v>2056.739635</v>
      </c>
      <c r="AE99" s="41">
        <f t="shared" si="101"/>
        <v>2056.739635</v>
      </c>
      <c r="AF99" s="41">
        <f t="shared" si="101"/>
        <v>2056.739635</v>
      </c>
      <c r="AG99" s="41">
        <f t="shared" si="101"/>
        <v>2056.739635</v>
      </c>
      <c r="AH99" s="41">
        <f t="shared" si="101"/>
        <v>2056.739635</v>
      </c>
      <c r="AI99" s="41">
        <f t="shared" si="101"/>
        <v>2056.739635</v>
      </c>
      <c r="AJ99" s="41">
        <f t="shared" si="101"/>
        <v>2056.739635</v>
      </c>
      <c r="AK99" s="41">
        <f t="shared" si="101"/>
        <v>2056.739635</v>
      </c>
      <c r="AL99" s="41">
        <f t="shared" si="101"/>
        <v>2056.739635</v>
      </c>
      <c r="AM99" s="41">
        <f t="shared" si="101"/>
        <v>2056.739635</v>
      </c>
      <c r="AN99" s="41">
        <f t="shared" si="101"/>
        <v>2056.739635</v>
      </c>
      <c r="AO99" s="41">
        <f t="shared" si="101"/>
        <v>2056.739635</v>
      </c>
      <c r="AP99" s="41">
        <f t="shared" si="101"/>
        <v>2056.739635</v>
      </c>
      <c r="AQ99" s="41">
        <f t="shared" si="101"/>
        <v>2056.739635</v>
      </c>
      <c r="AR99" s="41">
        <f t="shared" si="101"/>
        <v>2056.739635</v>
      </c>
      <c r="AS99" s="41">
        <f t="shared" si="101"/>
        <v>2056.739635</v>
      </c>
      <c r="AT99" s="41">
        <f t="shared" si="101"/>
        <v>2056.739635</v>
      </c>
      <c r="AU99" s="41">
        <f t="shared" si="101"/>
        <v>2056.739635</v>
      </c>
      <c r="AV99" s="41">
        <f t="shared" si="101"/>
        <v>2056.739635</v>
      </c>
      <c r="AW99" s="41">
        <f t="shared" si="101"/>
        <v>2056.739635</v>
      </c>
      <c r="AX99" s="41">
        <f t="shared" si="101"/>
        <v>2056.739635</v>
      </c>
      <c r="AY99" s="41">
        <f t="shared" si="101"/>
        <v>2056.739635</v>
      </c>
      <c r="AZ99" s="41">
        <f t="shared" si="101"/>
        <v>2056.739635</v>
      </c>
      <c r="BA99" s="41">
        <f t="shared" si="101"/>
        <v>2056.739635</v>
      </c>
      <c r="BB99" s="41">
        <f t="shared" si="101"/>
        <v>2056.739635</v>
      </c>
      <c r="BC99" s="41">
        <f t="shared" si="101"/>
        <v>2056.739635</v>
      </c>
      <c r="BD99" s="41">
        <f t="shared" si="101"/>
        <v>2056.739635</v>
      </c>
      <c r="BE99" s="41">
        <f t="shared" si="101"/>
        <v>2056.739635</v>
      </c>
      <c r="BF99" s="41">
        <f t="shared" si="101"/>
        <v>2056.739635</v>
      </c>
      <c r="BG99" s="41">
        <f t="shared" si="101"/>
        <v>2056.739635</v>
      </c>
      <c r="BH99" s="41">
        <f t="shared" si="101"/>
        <v>2056.739635</v>
      </c>
      <c r="BI99" s="41">
        <f t="shared" si="101"/>
        <v>2056.739635</v>
      </c>
      <c r="BJ99" s="41">
        <f t="shared" si="101"/>
        <v>2056.739635</v>
      </c>
      <c r="BK99" s="41">
        <f t="shared" si="101"/>
        <v>2056.739635</v>
      </c>
      <c r="BL99" s="41">
        <f t="shared" si="101"/>
        <v>2056.739635</v>
      </c>
      <c r="BM99" s="41">
        <f t="shared" si="101"/>
        <v>2056.739635</v>
      </c>
      <c r="BN99" s="41">
        <f t="shared" si="101"/>
        <v>2056.739635</v>
      </c>
      <c r="BO99" s="41">
        <f t="shared" si="101"/>
        <v>2056.739635</v>
      </c>
      <c r="BP99" s="41">
        <f t="shared" si="101"/>
        <v>2056.739635</v>
      </c>
      <c r="BQ99" s="41">
        <f t="shared" si="101"/>
        <v>2056.739635</v>
      </c>
      <c r="BR99" s="41">
        <f t="shared" si="101"/>
        <v>2056.739635</v>
      </c>
      <c r="BS99" s="41">
        <f t="shared" si="101"/>
        <v>2056.739635</v>
      </c>
      <c r="BT99" s="41">
        <f t="shared" si="101"/>
        <v>2056.739635</v>
      </c>
      <c r="BU99" s="41">
        <f t="shared" si="101"/>
        <v>2056.739635</v>
      </c>
      <c r="BV99" s="41">
        <f t="shared" si="101"/>
        <v>2056.739635</v>
      </c>
      <c r="BW99" s="67"/>
    </row>
    <row r="100">
      <c r="A100" s="41" t="s">
        <v>290</v>
      </c>
      <c r="B100" s="110">
        <v>0.003</v>
      </c>
      <c r="C100" s="77">
        <f t="shared" ref="C100:H100" si="102">C$53*$B100</f>
        <v>0</v>
      </c>
      <c r="D100" s="77">
        <f t="shared" si="102"/>
        <v>0</v>
      </c>
      <c r="E100" s="77">
        <f t="shared" si="102"/>
        <v>0</v>
      </c>
      <c r="F100" s="77">
        <f t="shared" si="102"/>
        <v>0</v>
      </c>
      <c r="G100" s="77">
        <f t="shared" si="102"/>
        <v>0</v>
      </c>
      <c r="H100" s="77">
        <f t="shared" si="102"/>
        <v>0</v>
      </c>
      <c r="I100" s="77">
        <v>0.0</v>
      </c>
      <c r="J100" s="77">
        <f t="shared" ref="J100:P100" si="103">J$53*$B100</f>
        <v>89.198055</v>
      </c>
      <c r="K100" s="77">
        <f t="shared" si="103"/>
        <v>618.713145</v>
      </c>
      <c r="L100" s="77">
        <f t="shared" si="103"/>
        <v>630.567705</v>
      </c>
      <c r="M100" s="77">
        <f t="shared" si="103"/>
        <v>633.259455</v>
      </c>
      <c r="N100" s="77">
        <f t="shared" si="103"/>
        <v>687.66741</v>
      </c>
      <c r="O100" s="77">
        <f t="shared" si="103"/>
        <v>725.943915</v>
      </c>
      <c r="P100" s="77">
        <f t="shared" si="103"/>
        <v>1228.20009</v>
      </c>
      <c r="Q100" s="41">
        <f t="shared" ref="Q100:BV100" si="104">P100</f>
        <v>1228.20009</v>
      </c>
      <c r="R100" s="41">
        <f t="shared" si="104"/>
        <v>1228.20009</v>
      </c>
      <c r="S100" s="41">
        <f t="shared" si="104"/>
        <v>1228.20009</v>
      </c>
      <c r="T100" s="41">
        <f t="shared" si="104"/>
        <v>1228.20009</v>
      </c>
      <c r="U100" s="41">
        <f t="shared" si="104"/>
        <v>1228.20009</v>
      </c>
      <c r="V100" s="41">
        <f t="shared" si="104"/>
        <v>1228.20009</v>
      </c>
      <c r="W100" s="41">
        <f t="shared" si="104"/>
        <v>1228.20009</v>
      </c>
      <c r="X100" s="41">
        <f t="shared" si="104"/>
        <v>1228.20009</v>
      </c>
      <c r="Y100" s="41">
        <f t="shared" si="104"/>
        <v>1228.20009</v>
      </c>
      <c r="Z100" s="41">
        <f t="shared" si="104"/>
        <v>1228.20009</v>
      </c>
      <c r="AA100" s="41">
        <f t="shared" si="104"/>
        <v>1228.20009</v>
      </c>
      <c r="AB100" s="41">
        <f t="shared" si="104"/>
        <v>1228.20009</v>
      </c>
      <c r="AC100" s="41">
        <f t="shared" si="104"/>
        <v>1228.20009</v>
      </c>
      <c r="AD100" s="41">
        <f t="shared" si="104"/>
        <v>1228.20009</v>
      </c>
      <c r="AE100" s="41">
        <f t="shared" si="104"/>
        <v>1228.20009</v>
      </c>
      <c r="AF100" s="41">
        <f t="shared" si="104"/>
        <v>1228.20009</v>
      </c>
      <c r="AG100" s="41">
        <f t="shared" si="104"/>
        <v>1228.20009</v>
      </c>
      <c r="AH100" s="41">
        <f t="shared" si="104"/>
        <v>1228.20009</v>
      </c>
      <c r="AI100" s="41">
        <f t="shared" si="104"/>
        <v>1228.20009</v>
      </c>
      <c r="AJ100" s="41">
        <f t="shared" si="104"/>
        <v>1228.20009</v>
      </c>
      <c r="AK100" s="41">
        <f t="shared" si="104"/>
        <v>1228.20009</v>
      </c>
      <c r="AL100" s="41">
        <f t="shared" si="104"/>
        <v>1228.20009</v>
      </c>
      <c r="AM100" s="41">
        <f t="shared" si="104"/>
        <v>1228.20009</v>
      </c>
      <c r="AN100" s="41">
        <f t="shared" si="104"/>
        <v>1228.20009</v>
      </c>
      <c r="AO100" s="41">
        <f t="shared" si="104"/>
        <v>1228.20009</v>
      </c>
      <c r="AP100" s="41">
        <f t="shared" si="104"/>
        <v>1228.20009</v>
      </c>
      <c r="AQ100" s="41">
        <f t="shared" si="104"/>
        <v>1228.20009</v>
      </c>
      <c r="AR100" s="41">
        <f t="shared" si="104"/>
        <v>1228.20009</v>
      </c>
      <c r="AS100" s="41">
        <f t="shared" si="104"/>
        <v>1228.20009</v>
      </c>
      <c r="AT100" s="41">
        <f t="shared" si="104"/>
        <v>1228.20009</v>
      </c>
      <c r="AU100" s="41">
        <f t="shared" si="104"/>
        <v>1228.20009</v>
      </c>
      <c r="AV100" s="41">
        <f t="shared" si="104"/>
        <v>1228.20009</v>
      </c>
      <c r="AW100" s="41">
        <f t="shared" si="104"/>
        <v>1228.20009</v>
      </c>
      <c r="AX100" s="41">
        <f t="shared" si="104"/>
        <v>1228.20009</v>
      </c>
      <c r="AY100" s="41">
        <f t="shared" si="104"/>
        <v>1228.20009</v>
      </c>
      <c r="AZ100" s="41">
        <f t="shared" si="104"/>
        <v>1228.20009</v>
      </c>
      <c r="BA100" s="41">
        <f t="shared" si="104"/>
        <v>1228.20009</v>
      </c>
      <c r="BB100" s="41">
        <f t="shared" si="104"/>
        <v>1228.20009</v>
      </c>
      <c r="BC100" s="41">
        <f t="shared" si="104"/>
        <v>1228.20009</v>
      </c>
      <c r="BD100" s="41">
        <f t="shared" si="104"/>
        <v>1228.20009</v>
      </c>
      <c r="BE100" s="41">
        <f t="shared" si="104"/>
        <v>1228.20009</v>
      </c>
      <c r="BF100" s="41">
        <f t="shared" si="104"/>
        <v>1228.20009</v>
      </c>
      <c r="BG100" s="41">
        <f t="shared" si="104"/>
        <v>1228.20009</v>
      </c>
      <c r="BH100" s="41">
        <f t="shared" si="104"/>
        <v>1228.20009</v>
      </c>
      <c r="BI100" s="41">
        <f t="shared" si="104"/>
        <v>1228.20009</v>
      </c>
      <c r="BJ100" s="41">
        <f t="shared" si="104"/>
        <v>1228.20009</v>
      </c>
      <c r="BK100" s="41">
        <f t="shared" si="104"/>
        <v>1228.20009</v>
      </c>
      <c r="BL100" s="41">
        <f t="shared" si="104"/>
        <v>1228.20009</v>
      </c>
      <c r="BM100" s="41">
        <f t="shared" si="104"/>
        <v>1228.20009</v>
      </c>
      <c r="BN100" s="41">
        <f t="shared" si="104"/>
        <v>1228.20009</v>
      </c>
      <c r="BO100" s="41">
        <f t="shared" si="104"/>
        <v>1228.20009</v>
      </c>
      <c r="BP100" s="41">
        <f t="shared" si="104"/>
        <v>1228.20009</v>
      </c>
      <c r="BQ100" s="41">
        <f t="shared" si="104"/>
        <v>1228.20009</v>
      </c>
      <c r="BR100" s="41">
        <f t="shared" si="104"/>
        <v>1228.20009</v>
      </c>
      <c r="BS100" s="41">
        <f t="shared" si="104"/>
        <v>1228.20009</v>
      </c>
      <c r="BT100" s="41">
        <f t="shared" si="104"/>
        <v>1228.20009</v>
      </c>
      <c r="BU100" s="41">
        <f t="shared" si="104"/>
        <v>1228.20009</v>
      </c>
      <c r="BV100" s="41">
        <f t="shared" si="104"/>
        <v>1228.20009</v>
      </c>
      <c r="BW100" s="67"/>
    </row>
    <row r="101">
      <c r="A101" s="41" t="s">
        <v>291</v>
      </c>
      <c r="B101" s="110">
        <v>0.002</v>
      </c>
      <c r="C101" s="77">
        <f t="shared" ref="C101:H101" si="105">C$53*$B101</f>
        <v>0</v>
      </c>
      <c r="D101" s="77">
        <f t="shared" si="105"/>
        <v>0</v>
      </c>
      <c r="E101" s="77">
        <f t="shared" si="105"/>
        <v>0</v>
      </c>
      <c r="F101" s="77">
        <f t="shared" si="105"/>
        <v>0</v>
      </c>
      <c r="G101" s="77">
        <f t="shared" si="105"/>
        <v>0</v>
      </c>
      <c r="H101" s="77">
        <f t="shared" si="105"/>
        <v>0</v>
      </c>
      <c r="I101" s="77">
        <v>0.0</v>
      </c>
      <c r="J101" s="77">
        <f t="shared" ref="J101:S101" si="106">J$53*$B101</f>
        <v>59.46537</v>
      </c>
      <c r="K101" s="77">
        <f t="shared" si="106"/>
        <v>412.47543</v>
      </c>
      <c r="L101" s="77">
        <f t="shared" si="106"/>
        <v>420.37847</v>
      </c>
      <c r="M101" s="77">
        <f t="shared" si="106"/>
        <v>422.17297</v>
      </c>
      <c r="N101" s="77">
        <f t="shared" si="106"/>
        <v>458.44494</v>
      </c>
      <c r="O101" s="77">
        <f t="shared" si="106"/>
        <v>483.96261</v>
      </c>
      <c r="P101" s="77">
        <f t="shared" si="106"/>
        <v>818.80006</v>
      </c>
      <c r="Q101" s="77">
        <f t="shared" si="106"/>
        <v>1062.73612</v>
      </c>
      <c r="R101" s="77">
        <f t="shared" si="106"/>
        <v>1356.06094</v>
      </c>
      <c r="S101" s="77">
        <f t="shared" si="106"/>
        <v>1360.06165</v>
      </c>
      <c r="T101" s="41">
        <f t="shared" ref="T101:BV101" si="107">S101</f>
        <v>1360.06165</v>
      </c>
      <c r="U101" s="41">
        <f t="shared" si="107"/>
        <v>1360.06165</v>
      </c>
      <c r="V101" s="41">
        <f t="shared" si="107"/>
        <v>1360.06165</v>
      </c>
      <c r="W101" s="41">
        <f t="shared" si="107"/>
        <v>1360.06165</v>
      </c>
      <c r="X101" s="41">
        <f t="shared" si="107"/>
        <v>1360.06165</v>
      </c>
      <c r="Y101" s="41">
        <f t="shared" si="107"/>
        <v>1360.06165</v>
      </c>
      <c r="Z101" s="41">
        <f t="shared" si="107"/>
        <v>1360.06165</v>
      </c>
      <c r="AA101" s="41">
        <f t="shared" si="107"/>
        <v>1360.06165</v>
      </c>
      <c r="AB101" s="41">
        <f t="shared" si="107"/>
        <v>1360.06165</v>
      </c>
      <c r="AC101" s="41">
        <f t="shared" si="107"/>
        <v>1360.06165</v>
      </c>
      <c r="AD101" s="41">
        <f t="shared" si="107"/>
        <v>1360.06165</v>
      </c>
      <c r="AE101" s="41">
        <f t="shared" si="107"/>
        <v>1360.06165</v>
      </c>
      <c r="AF101" s="41">
        <f t="shared" si="107"/>
        <v>1360.06165</v>
      </c>
      <c r="AG101" s="41">
        <f t="shared" si="107"/>
        <v>1360.06165</v>
      </c>
      <c r="AH101" s="41">
        <f t="shared" si="107"/>
        <v>1360.06165</v>
      </c>
      <c r="AI101" s="41">
        <f t="shared" si="107"/>
        <v>1360.06165</v>
      </c>
      <c r="AJ101" s="41">
        <f t="shared" si="107"/>
        <v>1360.06165</v>
      </c>
      <c r="AK101" s="41">
        <f t="shared" si="107"/>
        <v>1360.06165</v>
      </c>
      <c r="AL101" s="41">
        <f t="shared" si="107"/>
        <v>1360.06165</v>
      </c>
      <c r="AM101" s="41">
        <f t="shared" si="107"/>
        <v>1360.06165</v>
      </c>
      <c r="AN101" s="41">
        <f t="shared" si="107"/>
        <v>1360.06165</v>
      </c>
      <c r="AO101" s="41">
        <f t="shared" si="107"/>
        <v>1360.06165</v>
      </c>
      <c r="AP101" s="41">
        <f t="shared" si="107"/>
        <v>1360.06165</v>
      </c>
      <c r="AQ101" s="41">
        <f t="shared" si="107"/>
        <v>1360.06165</v>
      </c>
      <c r="AR101" s="41">
        <f t="shared" si="107"/>
        <v>1360.06165</v>
      </c>
      <c r="AS101" s="41">
        <f t="shared" si="107"/>
        <v>1360.06165</v>
      </c>
      <c r="AT101" s="41">
        <f t="shared" si="107"/>
        <v>1360.06165</v>
      </c>
      <c r="AU101" s="41">
        <f t="shared" si="107"/>
        <v>1360.06165</v>
      </c>
      <c r="AV101" s="41">
        <f t="shared" si="107"/>
        <v>1360.06165</v>
      </c>
      <c r="AW101" s="41">
        <f t="shared" si="107"/>
        <v>1360.06165</v>
      </c>
      <c r="AX101" s="41">
        <f t="shared" si="107"/>
        <v>1360.06165</v>
      </c>
      <c r="AY101" s="41">
        <f t="shared" si="107"/>
        <v>1360.06165</v>
      </c>
      <c r="AZ101" s="41">
        <f t="shared" si="107"/>
        <v>1360.06165</v>
      </c>
      <c r="BA101" s="41">
        <f t="shared" si="107"/>
        <v>1360.06165</v>
      </c>
      <c r="BB101" s="41">
        <f t="shared" si="107"/>
        <v>1360.06165</v>
      </c>
      <c r="BC101" s="41">
        <f t="shared" si="107"/>
        <v>1360.06165</v>
      </c>
      <c r="BD101" s="41">
        <f t="shared" si="107"/>
        <v>1360.06165</v>
      </c>
      <c r="BE101" s="41">
        <f t="shared" si="107"/>
        <v>1360.06165</v>
      </c>
      <c r="BF101" s="41">
        <f t="shared" si="107"/>
        <v>1360.06165</v>
      </c>
      <c r="BG101" s="41">
        <f t="shared" si="107"/>
        <v>1360.06165</v>
      </c>
      <c r="BH101" s="41">
        <f t="shared" si="107"/>
        <v>1360.06165</v>
      </c>
      <c r="BI101" s="41">
        <f t="shared" si="107"/>
        <v>1360.06165</v>
      </c>
      <c r="BJ101" s="41">
        <f t="shared" si="107"/>
        <v>1360.06165</v>
      </c>
      <c r="BK101" s="41">
        <f t="shared" si="107"/>
        <v>1360.06165</v>
      </c>
      <c r="BL101" s="41">
        <f t="shared" si="107"/>
        <v>1360.06165</v>
      </c>
      <c r="BM101" s="41">
        <f t="shared" si="107"/>
        <v>1360.06165</v>
      </c>
      <c r="BN101" s="41">
        <f t="shared" si="107"/>
        <v>1360.06165</v>
      </c>
      <c r="BO101" s="41">
        <f t="shared" si="107"/>
        <v>1360.06165</v>
      </c>
      <c r="BP101" s="41">
        <f t="shared" si="107"/>
        <v>1360.06165</v>
      </c>
      <c r="BQ101" s="41">
        <f t="shared" si="107"/>
        <v>1360.06165</v>
      </c>
      <c r="BR101" s="41">
        <f t="shared" si="107"/>
        <v>1360.06165</v>
      </c>
      <c r="BS101" s="41">
        <f t="shared" si="107"/>
        <v>1360.06165</v>
      </c>
      <c r="BT101" s="41">
        <f t="shared" si="107"/>
        <v>1360.06165</v>
      </c>
      <c r="BU101" s="41">
        <f t="shared" si="107"/>
        <v>1360.06165</v>
      </c>
      <c r="BV101" s="41">
        <f t="shared" si="107"/>
        <v>1360.06165</v>
      </c>
      <c r="BW101" s="67"/>
    </row>
    <row r="102">
      <c r="A102" s="41" t="s">
        <v>292</v>
      </c>
      <c r="B102" s="110">
        <v>0.001</v>
      </c>
      <c r="C102" s="77">
        <f t="shared" ref="C102:H102" si="108">C$53*$B102</f>
        <v>0</v>
      </c>
      <c r="D102" s="77">
        <f t="shared" si="108"/>
        <v>0</v>
      </c>
      <c r="E102" s="77">
        <f t="shared" si="108"/>
        <v>0</v>
      </c>
      <c r="F102" s="77">
        <f t="shared" si="108"/>
        <v>0</v>
      </c>
      <c r="G102" s="77">
        <f t="shared" si="108"/>
        <v>0</v>
      </c>
      <c r="H102" s="77">
        <f t="shared" si="108"/>
        <v>0</v>
      </c>
      <c r="I102" s="77">
        <v>0.0</v>
      </c>
      <c r="J102" s="77">
        <f t="shared" ref="J102:T102" si="109">J$53*$B102</f>
        <v>29.732685</v>
      </c>
      <c r="K102" s="77">
        <f t="shared" si="109"/>
        <v>206.237715</v>
      </c>
      <c r="L102" s="77">
        <f t="shared" si="109"/>
        <v>210.189235</v>
      </c>
      <c r="M102" s="77">
        <f t="shared" si="109"/>
        <v>211.086485</v>
      </c>
      <c r="N102" s="77">
        <f t="shared" si="109"/>
        <v>229.22247</v>
      </c>
      <c r="O102" s="77">
        <f t="shared" si="109"/>
        <v>241.981305</v>
      </c>
      <c r="P102" s="77">
        <f t="shared" si="109"/>
        <v>409.40003</v>
      </c>
      <c r="Q102" s="77">
        <f t="shared" si="109"/>
        <v>531.36806</v>
      </c>
      <c r="R102" s="77">
        <f t="shared" si="109"/>
        <v>678.03047</v>
      </c>
      <c r="S102" s="77">
        <f t="shared" si="109"/>
        <v>680.030825</v>
      </c>
      <c r="T102" s="77">
        <f t="shared" si="109"/>
        <v>1622.377745</v>
      </c>
      <c r="U102" s="41">
        <f t="shared" ref="U102:BV102" si="110">T102</f>
        <v>1622.377745</v>
      </c>
      <c r="V102" s="41">
        <f t="shared" si="110"/>
        <v>1622.377745</v>
      </c>
      <c r="W102" s="41">
        <f t="shared" si="110"/>
        <v>1622.377745</v>
      </c>
      <c r="X102" s="41">
        <f t="shared" si="110"/>
        <v>1622.377745</v>
      </c>
      <c r="Y102" s="41">
        <f t="shared" si="110"/>
        <v>1622.377745</v>
      </c>
      <c r="Z102" s="41">
        <f t="shared" si="110"/>
        <v>1622.377745</v>
      </c>
      <c r="AA102" s="41">
        <f t="shared" si="110"/>
        <v>1622.377745</v>
      </c>
      <c r="AB102" s="41">
        <f t="shared" si="110"/>
        <v>1622.377745</v>
      </c>
      <c r="AC102" s="41">
        <f t="shared" si="110"/>
        <v>1622.377745</v>
      </c>
      <c r="AD102" s="41">
        <f t="shared" si="110"/>
        <v>1622.377745</v>
      </c>
      <c r="AE102" s="41">
        <f t="shared" si="110"/>
        <v>1622.377745</v>
      </c>
      <c r="AF102" s="41">
        <f t="shared" si="110"/>
        <v>1622.377745</v>
      </c>
      <c r="AG102" s="41">
        <f t="shared" si="110"/>
        <v>1622.377745</v>
      </c>
      <c r="AH102" s="41">
        <f t="shared" si="110"/>
        <v>1622.377745</v>
      </c>
      <c r="AI102" s="41">
        <f t="shared" si="110"/>
        <v>1622.377745</v>
      </c>
      <c r="AJ102" s="41">
        <f t="shared" si="110"/>
        <v>1622.377745</v>
      </c>
      <c r="AK102" s="41">
        <f t="shared" si="110"/>
        <v>1622.377745</v>
      </c>
      <c r="AL102" s="41">
        <f t="shared" si="110"/>
        <v>1622.377745</v>
      </c>
      <c r="AM102" s="41">
        <f t="shared" si="110"/>
        <v>1622.377745</v>
      </c>
      <c r="AN102" s="41">
        <f t="shared" si="110"/>
        <v>1622.377745</v>
      </c>
      <c r="AO102" s="41">
        <f t="shared" si="110"/>
        <v>1622.377745</v>
      </c>
      <c r="AP102" s="41">
        <f t="shared" si="110"/>
        <v>1622.377745</v>
      </c>
      <c r="AQ102" s="41">
        <f t="shared" si="110"/>
        <v>1622.377745</v>
      </c>
      <c r="AR102" s="41">
        <f t="shared" si="110"/>
        <v>1622.377745</v>
      </c>
      <c r="AS102" s="41">
        <f t="shared" si="110"/>
        <v>1622.377745</v>
      </c>
      <c r="AT102" s="41">
        <f t="shared" si="110"/>
        <v>1622.377745</v>
      </c>
      <c r="AU102" s="41">
        <f t="shared" si="110"/>
        <v>1622.377745</v>
      </c>
      <c r="AV102" s="41">
        <f t="shared" si="110"/>
        <v>1622.377745</v>
      </c>
      <c r="AW102" s="41">
        <f t="shared" si="110"/>
        <v>1622.377745</v>
      </c>
      <c r="AX102" s="41">
        <f t="shared" si="110"/>
        <v>1622.377745</v>
      </c>
      <c r="AY102" s="41">
        <f t="shared" si="110"/>
        <v>1622.377745</v>
      </c>
      <c r="AZ102" s="41">
        <f t="shared" si="110"/>
        <v>1622.377745</v>
      </c>
      <c r="BA102" s="41">
        <f t="shared" si="110"/>
        <v>1622.377745</v>
      </c>
      <c r="BB102" s="41">
        <f t="shared" si="110"/>
        <v>1622.377745</v>
      </c>
      <c r="BC102" s="41">
        <f t="shared" si="110"/>
        <v>1622.377745</v>
      </c>
      <c r="BD102" s="41">
        <f t="shared" si="110"/>
        <v>1622.377745</v>
      </c>
      <c r="BE102" s="41">
        <f t="shared" si="110"/>
        <v>1622.377745</v>
      </c>
      <c r="BF102" s="41">
        <f t="shared" si="110"/>
        <v>1622.377745</v>
      </c>
      <c r="BG102" s="41">
        <f t="shared" si="110"/>
        <v>1622.377745</v>
      </c>
      <c r="BH102" s="41">
        <f t="shared" si="110"/>
        <v>1622.377745</v>
      </c>
      <c r="BI102" s="41">
        <f t="shared" si="110"/>
        <v>1622.377745</v>
      </c>
      <c r="BJ102" s="41">
        <f t="shared" si="110"/>
        <v>1622.377745</v>
      </c>
      <c r="BK102" s="41">
        <f t="shared" si="110"/>
        <v>1622.377745</v>
      </c>
      <c r="BL102" s="41">
        <f t="shared" si="110"/>
        <v>1622.377745</v>
      </c>
      <c r="BM102" s="41">
        <f t="shared" si="110"/>
        <v>1622.377745</v>
      </c>
      <c r="BN102" s="41">
        <f t="shared" si="110"/>
        <v>1622.377745</v>
      </c>
      <c r="BO102" s="41">
        <f t="shared" si="110"/>
        <v>1622.377745</v>
      </c>
      <c r="BP102" s="41">
        <f t="shared" si="110"/>
        <v>1622.377745</v>
      </c>
      <c r="BQ102" s="41">
        <f t="shared" si="110"/>
        <v>1622.377745</v>
      </c>
      <c r="BR102" s="41">
        <f t="shared" si="110"/>
        <v>1622.377745</v>
      </c>
      <c r="BS102" s="41">
        <f t="shared" si="110"/>
        <v>1622.377745</v>
      </c>
      <c r="BT102" s="41">
        <f t="shared" si="110"/>
        <v>1622.377745</v>
      </c>
      <c r="BU102" s="41">
        <f t="shared" si="110"/>
        <v>1622.377745</v>
      </c>
      <c r="BV102" s="41">
        <f t="shared" si="110"/>
        <v>1622.377745</v>
      </c>
      <c r="BW102" s="67"/>
    </row>
    <row r="103">
      <c r="A103" s="41" t="s">
        <v>293</v>
      </c>
      <c r="B103" s="110">
        <v>0.003</v>
      </c>
      <c r="C103" s="77">
        <f t="shared" ref="C103:H103" si="111">C$53*$B103</f>
        <v>0</v>
      </c>
      <c r="D103" s="77">
        <f t="shared" si="111"/>
        <v>0</v>
      </c>
      <c r="E103" s="77">
        <f t="shared" si="111"/>
        <v>0</v>
      </c>
      <c r="F103" s="77">
        <f t="shared" si="111"/>
        <v>0</v>
      </c>
      <c r="G103" s="77">
        <f t="shared" si="111"/>
        <v>0</v>
      </c>
      <c r="H103" s="77">
        <f t="shared" si="111"/>
        <v>0</v>
      </c>
      <c r="I103" s="77">
        <v>0.0</v>
      </c>
      <c r="J103" s="77">
        <f t="shared" ref="J103:P103" si="112">J$53*$B103</f>
        <v>89.198055</v>
      </c>
      <c r="K103" s="77">
        <f t="shared" si="112"/>
        <v>618.713145</v>
      </c>
      <c r="L103" s="77">
        <f t="shared" si="112"/>
        <v>630.567705</v>
      </c>
      <c r="M103" s="77">
        <f t="shared" si="112"/>
        <v>633.259455</v>
      </c>
      <c r="N103" s="77">
        <f t="shared" si="112"/>
        <v>687.66741</v>
      </c>
      <c r="O103" s="77">
        <f t="shared" si="112"/>
        <v>725.943915</v>
      </c>
      <c r="P103" s="77">
        <f t="shared" si="112"/>
        <v>1228.20009</v>
      </c>
      <c r="Q103" s="41">
        <f t="shared" ref="Q103:BV103" si="113">P103</f>
        <v>1228.20009</v>
      </c>
      <c r="R103" s="41">
        <f t="shared" si="113"/>
        <v>1228.20009</v>
      </c>
      <c r="S103" s="41">
        <f t="shared" si="113"/>
        <v>1228.20009</v>
      </c>
      <c r="T103" s="41">
        <f t="shared" si="113"/>
        <v>1228.20009</v>
      </c>
      <c r="U103" s="41">
        <f t="shared" si="113"/>
        <v>1228.20009</v>
      </c>
      <c r="V103" s="41">
        <f t="shared" si="113"/>
        <v>1228.20009</v>
      </c>
      <c r="W103" s="41">
        <f t="shared" si="113"/>
        <v>1228.20009</v>
      </c>
      <c r="X103" s="41">
        <f t="shared" si="113"/>
        <v>1228.20009</v>
      </c>
      <c r="Y103" s="41">
        <f t="shared" si="113"/>
        <v>1228.20009</v>
      </c>
      <c r="Z103" s="41">
        <f t="shared" si="113"/>
        <v>1228.20009</v>
      </c>
      <c r="AA103" s="41">
        <f t="shared" si="113"/>
        <v>1228.20009</v>
      </c>
      <c r="AB103" s="41">
        <f t="shared" si="113"/>
        <v>1228.20009</v>
      </c>
      <c r="AC103" s="41">
        <f t="shared" si="113"/>
        <v>1228.20009</v>
      </c>
      <c r="AD103" s="41">
        <f t="shared" si="113"/>
        <v>1228.20009</v>
      </c>
      <c r="AE103" s="41">
        <f t="shared" si="113"/>
        <v>1228.20009</v>
      </c>
      <c r="AF103" s="41">
        <f t="shared" si="113"/>
        <v>1228.20009</v>
      </c>
      <c r="AG103" s="41">
        <f t="shared" si="113"/>
        <v>1228.20009</v>
      </c>
      <c r="AH103" s="41">
        <f t="shared" si="113"/>
        <v>1228.20009</v>
      </c>
      <c r="AI103" s="41">
        <f t="shared" si="113"/>
        <v>1228.20009</v>
      </c>
      <c r="AJ103" s="41">
        <f t="shared" si="113"/>
        <v>1228.20009</v>
      </c>
      <c r="AK103" s="41">
        <f t="shared" si="113"/>
        <v>1228.20009</v>
      </c>
      <c r="AL103" s="41">
        <f t="shared" si="113"/>
        <v>1228.20009</v>
      </c>
      <c r="AM103" s="41">
        <f t="shared" si="113"/>
        <v>1228.20009</v>
      </c>
      <c r="AN103" s="41">
        <f t="shared" si="113"/>
        <v>1228.20009</v>
      </c>
      <c r="AO103" s="41">
        <f t="shared" si="113"/>
        <v>1228.20009</v>
      </c>
      <c r="AP103" s="41">
        <f t="shared" si="113"/>
        <v>1228.20009</v>
      </c>
      <c r="AQ103" s="41">
        <f t="shared" si="113"/>
        <v>1228.20009</v>
      </c>
      <c r="AR103" s="41">
        <f t="shared" si="113"/>
        <v>1228.20009</v>
      </c>
      <c r="AS103" s="41">
        <f t="shared" si="113"/>
        <v>1228.20009</v>
      </c>
      <c r="AT103" s="41">
        <f t="shared" si="113"/>
        <v>1228.20009</v>
      </c>
      <c r="AU103" s="41">
        <f t="shared" si="113"/>
        <v>1228.20009</v>
      </c>
      <c r="AV103" s="41">
        <f t="shared" si="113"/>
        <v>1228.20009</v>
      </c>
      <c r="AW103" s="41">
        <f t="shared" si="113"/>
        <v>1228.20009</v>
      </c>
      <c r="AX103" s="41">
        <f t="shared" si="113"/>
        <v>1228.20009</v>
      </c>
      <c r="AY103" s="41">
        <f t="shared" si="113"/>
        <v>1228.20009</v>
      </c>
      <c r="AZ103" s="41">
        <f t="shared" si="113"/>
        <v>1228.20009</v>
      </c>
      <c r="BA103" s="41">
        <f t="shared" si="113"/>
        <v>1228.20009</v>
      </c>
      <c r="BB103" s="41">
        <f t="shared" si="113"/>
        <v>1228.20009</v>
      </c>
      <c r="BC103" s="41">
        <f t="shared" si="113"/>
        <v>1228.20009</v>
      </c>
      <c r="BD103" s="41">
        <f t="shared" si="113"/>
        <v>1228.20009</v>
      </c>
      <c r="BE103" s="41">
        <f t="shared" si="113"/>
        <v>1228.20009</v>
      </c>
      <c r="BF103" s="41">
        <f t="shared" si="113"/>
        <v>1228.20009</v>
      </c>
      <c r="BG103" s="41">
        <f t="shared" si="113"/>
        <v>1228.20009</v>
      </c>
      <c r="BH103" s="41">
        <f t="shared" si="113"/>
        <v>1228.20009</v>
      </c>
      <c r="BI103" s="41">
        <f t="shared" si="113"/>
        <v>1228.20009</v>
      </c>
      <c r="BJ103" s="41">
        <f t="shared" si="113"/>
        <v>1228.20009</v>
      </c>
      <c r="BK103" s="41">
        <f t="shared" si="113"/>
        <v>1228.20009</v>
      </c>
      <c r="BL103" s="41">
        <f t="shared" si="113"/>
        <v>1228.20009</v>
      </c>
      <c r="BM103" s="41">
        <f t="shared" si="113"/>
        <v>1228.20009</v>
      </c>
      <c r="BN103" s="41">
        <f t="shared" si="113"/>
        <v>1228.20009</v>
      </c>
      <c r="BO103" s="41">
        <f t="shared" si="113"/>
        <v>1228.20009</v>
      </c>
      <c r="BP103" s="41">
        <f t="shared" si="113"/>
        <v>1228.20009</v>
      </c>
      <c r="BQ103" s="41">
        <f t="shared" si="113"/>
        <v>1228.20009</v>
      </c>
      <c r="BR103" s="41">
        <f t="shared" si="113"/>
        <v>1228.20009</v>
      </c>
      <c r="BS103" s="41">
        <f t="shared" si="113"/>
        <v>1228.20009</v>
      </c>
      <c r="BT103" s="41">
        <f t="shared" si="113"/>
        <v>1228.20009</v>
      </c>
      <c r="BU103" s="41">
        <f t="shared" si="113"/>
        <v>1228.20009</v>
      </c>
      <c r="BV103" s="41">
        <f t="shared" si="113"/>
        <v>1228.20009</v>
      </c>
      <c r="BW103" s="67"/>
    </row>
    <row r="104">
      <c r="A104" s="77" t="s">
        <v>294</v>
      </c>
      <c r="B104" s="110">
        <v>0.002</v>
      </c>
      <c r="C104" s="77">
        <f t="shared" ref="C104:H104" si="114">C$53*$B104</f>
        <v>0</v>
      </c>
      <c r="D104" s="77">
        <f t="shared" si="114"/>
        <v>0</v>
      </c>
      <c r="E104" s="77">
        <f t="shared" si="114"/>
        <v>0</v>
      </c>
      <c r="F104" s="77">
        <f t="shared" si="114"/>
        <v>0</v>
      </c>
      <c r="G104" s="77">
        <f t="shared" si="114"/>
        <v>0</v>
      </c>
      <c r="H104" s="77">
        <f t="shared" si="114"/>
        <v>0</v>
      </c>
      <c r="I104" s="77">
        <v>0.0</v>
      </c>
      <c r="J104" s="77">
        <f t="shared" ref="J104:P104" si="115">J$53*$B104</f>
        <v>59.46537</v>
      </c>
      <c r="K104" s="77">
        <f t="shared" si="115"/>
        <v>412.47543</v>
      </c>
      <c r="L104" s="77">
        <f t="shared" si="115"/>
        <v>420.37847</v>
      </c>
      <c r="M104" s="77">
        <f t="shared" si="115"/>
        <v>422.17297</v>
      </c>
      <c r="N104" s="77">
        <f t="shared" si="115"/>
        <v>458.44494</v>
      </c>
      <c r="O104" s="77">
        <f t="shared" si="115"/>
        <v>483.96261</v>
      </c>
      <c r="P104" s="77">
        <f t="shared" si="115"/>
        <v>818.80006</v>
      </c>
      <c r="Q104" s="41">
        <f t="shared" ref="Q104:BV104" si="116">P104</f>
        <v>818.80006</v>
      </c>
      <c r="R104" s="41">
        <f t="shared" si="116"/>
        <v>818.80006</v>
      </c>
      <c r="S104" s="41">
        <f t="shared" si="116"/>
        <v>818.80006</v>
      </c>
      <c r="T104" s="41">
        <f t="shared" si="116"/>
        <v>818.80006</v>
      </c>
      <c r="U104" s="41">
        <f t="shared" si="116"/>
        <v>818.80006</v>
      </c>
      <c r="V104" s="41">
        <f t="shared" si="116"/>
        <v>818.80006</v>
      </c>
      <c r="W104" s="41">
        <f t="shared" si="116"/>
        <v>818.80006</v>
      </c>
      <c r="X104" s="41">
        <f t="shared" si="116"/>
        <v>818.80006</v>
      </c>
      <c r="Y104" s="41">
        <f t="shared" si="116"/>
        <v>818.80006</v>
      </c>
      <c r="Z104" s="41">
        <f t="shared" si="116"/>
        <v>818.80006</v>
      </c>
      <c r="AA104" s="41">
        <f t="shared" si="116"/>
        <v>818.80006</v>
      </c>
      <c r="AB104" s="41">
        <f t="shared" si="116"/>
        <v>818.80006</v>
      </c>
      <c r="AC104" s="41">
        <f t="shared" si="116"/>
        <v>818.80006</v>
      </c>
      <c r="AD104" s="41">
        <f t="shared" si="116"/>
        <v>818.80006</v>
      </c>
      <c r="AE104" s="41">
        <f t="shared" si="116"/>
        <v>818.80006</v>
      </c>
      <c r="AF104" s="41">
        <f t="shared" si="116"/>
        <v>818.80006</v>
      </c>
      <c r="AG104" s="41">
        <f t="shared" si="116"/>
        <v>818.80006</v>
      </c>
      <c r="AH104" s="41">
        <f t="shared" si="116"/>
        <v>818.80006</v>
      </c>
      <c r="AI104" s="41">
        <f t="shared" si="116"/>
        <v>818.80006</v>
      </c>
      <c r="AJ104" s="41">
        <f t="shared" si="116"/>
        <v>818.80006</v>
      </c>
      <c r="AK104" s="41">
        <f t="shared" si="116"/>
        <v>818.80006</v>
      </c>
      <c r="AL104" s="41">
        <f t="shared" si="116"/>
        <v>818.80006</v>
      </c>
      <c r="AM104" s="41">
        <f t="shared" si="116"/>
        <v>818.80006</v>
      </c>
      <c r="AN104" s="41">
        <f t="shared" si="116"/>
        <v>818.80006</v>
      </c>
      <c r="AO104" s="41">
        <f t="shared" si="116"/>
        <v>818.80006</v>
      </c>
      <c r="AP104" s="41">
        <f t="shared" si="116"/>
        <v>818.80006</v>
      </c>
      <c r="AQ104" s="41">
        <f t="shared" si="116"/>
        <v>818.80006</v>
      </c>
      <c r="AR104" s="41">
        <f t="shared" si="116"/>
        <v>818.80006</v>
      </c>
      <c r="AS104" s="41">
        <f t="shared" si="116"/>
        <v>818.80006</v>
      </c>
      <c r="AT104" s="41">
        <f t="shared" si="116"/>
        <v>818.80006</v>
      </c>
      <c r="AU104" s="41">
        <f t="shared" si="116"/>
        <v>818.80006</v>
      </c>
      <c r="AV104" s="41">
        <f t="shared" si="116"/>
        <v>818.80006</v>
      </c>
      <c r="AW104" s="41">
        <f t="shared" si="116"/>
        <v>818.80006</v>
      </c>
      <c r="AX104" s="41">
        <f t="shared" si="116"/>
        <v>818.80006</v>
      </c>
      <c r="AY104" s="41">
        <f t="shared" si="116"/>
        <v>818.80006</v>
      </c>
      <c r="AZ104" s="41">
        <f t="shared" si="116"/>
        <v>818.80006</v>
      </c>
      <c r="BA104" s="41">
        <f t="shared" si="116"/>
        <v>818.80006</v>
      </c>
      <c r="BB104" s="41">
        <f t="shared" si="116"/>
        <v>818.80006</v>
      </c>
      <c r="BC104" s="41">
        <f t="shared" si="116"/>
        <v>818.80006</v>
      </c>
      <c r="BD104" s="41">
        <f t="shared" si="116"/>
        <v>818.80006</v>
      </c>
      <c r="BE104" s="41">
        <f t="shared" si="116"/>
        <v>818.80006</v>
      </c>
      <c r="BF104" s="41">
        <f t="shared" si="116"/>
        <v>818.80006</v>
      </c>
      <c r="BG104" s="41">
        <f t="shared" si="116"/>
        <v>818.80006</v>
      </c>
      <c r="BH104" s="41">
        <f t="shared" si="116"/>
        <v>818.80006</v>
      </c>
      <c r="BI104" s="41">
        <f t="shared" si="116"/>
        <v>818.80006</v>
      </c>
      <c r="BJ104" s="41">
        <f t="shared" si="116"/>
        <v>818.80006</v>
      </c>
      <c r="BK104" s="41">
        <f t="shared" si="116"/>
        <v>818.80006</v>
      </c>
      <c r="BL104" s="41">
        <f t="shared" si="116"/>
        <v>818.80006</v>
      </c>
      <c r="BM104" s="41">
        <f t="shared" si="116"/>
        <v>818.80006</v>
      </c>
      <c r="BN104" s="41">
        <f t="shared" si="116"/>
        <v>818.80006</v>
      </c>
      <c r="BO104" s="41">
        <f t="shared" si="116"/>
        <v>818.80006</v>
      </c>
      <c r="BP104" s="41">
        <f t="shared" si="116"/>
        <v>818.80006</v>
      </c>
      <c r="BQ104" s="41">
        <f t="shared" si="116"/>
        <v>818.80006</v>
      </c>
      <c r="BR104" s="41">
        <f t="shared" si="116"/>
        <v>818.80006</v>
      </c>
      <c r="BS104" s="41">
        <f t="shared" si="116"/>
        <v>818.80006</v>
      </c>
      <c r="BT104" s="41">
        <f t="shared" si="116"/>
        <v>818.80006</v>
      </c>
      <c r="BU104" s="41">
        <f t="shared" si="116"/>
        <v>818.80006</v>
      </c>
      <c r="BV104" s="41">
        <f t="shared" si="116"/>
        <v>818.80006</v>
      </c>
      <c r="BW104" s="67"/>
    </row>
    <row r="105">
      <c r="A105" s="77" t="s">
        <v>295</v>
      </c>
      <c r="B105" s="110">
        <v>0.008</v>
      </c>
      <c r="C105" s="77">
        <f t="shared" ref="C105:H105" si="117">C$53*$B105</f>
        <v>0</v>
      </c>
      <c r="D105" s="77">
        <f t="shared" si="117"/>
        <v>0</v>
      </c>
      <c r="E105" s="77">
        <f t="shared" si="117"/>
        <v>0</v>
      </c>
      <c r="F105" s="77">
        <f t="shared" si="117"/>
        <v>0</v>
      </c>
      <c r="G105" s="77">
        <f t="shared" si="117"/>
        <v>0</v>
      </c>
      <c r="H105" s="77">
        <f t="shared" si="117"/>
        <v>0</v>
      </c>
      <c r="I105" s="77">
        <v>0.0</v>
      </c>
      <c r="J105" s="77">
        <f t="shared" ref="J105:P105" si="118">J$53*$B105</f>
        <v>237.86148</v>
      </c>
      <c r="K105" s="77">
        <f t="shared" si="118"/>
        <v>1649.90172</v>
      </c>
      <c r="L105" s="77">
        <f t="shared" si="118"/>
        <v>1681.51388</v>
      </c>
      <c r="M105" s="77">
        <f t="shared" si="118"/>
        <v>1688.69188</v>
      </c>
      <c r="N105" s="77">
        <f t="shared" si="118"/>
        <v>1833.77976</v>
      </c>
      <c r="O105" s="77">
        <f t="shared" si="118"/>
        <v>1935.85044</v>
      </c>
      <c r="P105" s="77">
        <f t="shared" si="118"/>
        <v>3275.20024</v>
      </c>
      <c r="Q105" s="41">
        <f t="shared" ref="Q105:W105" si="119">P105</f>
        <v>3275.20024</v>
      </c>
      <c r="R105" s="41">
        <f t="shared" si="119"/>
        <v>3275.20024</v>
      </c>
      <c r="S105" s="41">
        <f t="shared" si="119"/>
        <v>3275.20024</v>
      </c>
      <c r="T105" s="41">
        <f t="shared" si="119"/>
        <v>3275.20024</v>
      </c>
      <c r="U105" s="41">
        <f t="shared" si="119"/>
        <v>3275.20024</v>
      </c>
      <c r="V105" s="41">
        <f t="shared" si="119"/>
        <v>3275.20024</v>
      </c>
      <c r="W105" s="41">
        <f t="shared" si="119"/>
        <v>3275.20024</v>
      </c>
      <c r="X105" s="77">
        <v>14000.0</v>
      </c>
      <c r="Y105" s="41">
        <f t="shared" ref="Y105:BV105" si="120">X105</f>
        <v>14000</v>
      </c>
      <c r="Z105" s="41">
        <f t="shared" si="120"/>
        <v>14000</v>
      </c>
      <c r="AA105" s="41">
        <f t="shared" si="120"/>
        <v>14000</v>
      </c>
      <c r="AB105" s="41">
        <f t="shared" si="120"/>
        <v>14000</v>
      </c>
      <c r="AC105" s="41">
        <f t="shared" si="120"/>
        <v>14000</v>
      </c>
      <c r="AD105" s="41">
        <f t="shared" si="120"/>
        <v>14000</v>
      </c>
      <c r="AE105" s="41">
        <f t="shared" si="120"/>
        <v>14000</v>
      </c>
      <c r="AF105" s="41">
        <f t="shared" si="120"/>
        <v>14000</v>
      </c>
      <c r="AG105" s="41">
        <f t="shared" si="120"/>
        <v>14000</v>
      </c>
      <c r="AH105" s="41">
        <f t="shared" si="120"/>
        <v>14000</v>
      </c>
      <c r="AI105" s="41">
        <f t="shared" si="120"/>
        <v>14000</v>
      </c>
      <c r="AJ105" s="41">
        <f t="shared" si="120"/>
        <v>14000</v>
      </c>
      <c r="AK105" s="41">
        <f t="shared" si="120"/>
        <v>14000</v>
      </c>
      <c r="AL105" s="41">
        <f t="shared" si="120"/>
        <v>14000</v>
      </c>
      <c r="AM105" s="41">
        <f t="shared" si="120"/>
        <v>14000</v>
      </c>
      <c r="AN105" s="41">
        <f t="shared" si="120"/>
        <v>14000</v>
      </c>
      <c r="AO105" s="41">
        <f t="shared" si="120"/>
        <v>14000</v>
      </c>
      <c r="AP105" s="41">
        <f t="shared" si="120"/>
        <v>14000</v>
      </c>
      <c r="AQ105" s="41">
        <f t="shared" si="120"/>
        <v>14000</v>
      </c>
      <c r="AR105" s="41">
        <f t="shared" si="120"/>
        <v>14000</v>
      </c>
      <c r="AS105" s="41">
        <f t="shared" si="120"/>
        <v>14000</v>
      </c>
      <c r="AT105" s="41">
        <f t="shared" si="120"/>
        <v>14000</v>
      </c>
      <c r="AU105" s="41">
        <f t="shared" si="120"/>
        <v>14000</v>
      </c>
      <c r="AV105" s="41">
        <f t="shared" si="120"/>
        <v>14000</v>
      </c>
      <c r="AW105" s="41">
        <f t="shared" si="120"/>
        <v>14000</v>
      </c>
      <c r="AX105" s="41">
        <f t="shared" si="120"/>
        <v>14000</v>
      </c>
      <c r="AY105" s="41">
        <f t="shared" si="120"/>
        <v>14000</v>
      </c>
      <c r="AZ105" s="41">
        <f t="shared" si="120"/>
        <v>14000</v>
      </c>
      <c r="BA105" s="41">
        <f t="shared" si="120"/>
        <v>14000</v>
      </c>
      <c r="BB105" s="41">
        <f t="shared" si="120"/>
        <v>14000</v>
      </c>
      <c r="BC105" s="41">
        <f t="shared" si="120"/>
        <v>14000</v>
      </c>
      <c r="BD105" s="41">
        <f t="shared" si="120"/>
        <v>14000</v>
      </c>
      <c r="BE105" s="41">
        <f t="shared" si="120"/>
        <v>14000</v>
      </c>
      <c r="BF105" s="41">
        <f t="shared" si="120"/>
        <v>14000</v>
      </c>
      <c r="BG105" s="41">
        <f t="shared" si="120"/>
        <v>14000</v>
      </c>
      <c r="BH105" s="41">
        <f t="shared" si="120"/>
        <v>14000</v>
      </c>
      <c r="BI105" s="41">
        <f t="shared" si="120"/>
        <v>14000</v>
      </c>
      <c r="BJ105" s="41">
        <f t="shared" si="120"/>
        <v>14000</v>
      </c>
      <c r="BK105" s="41">
        <f t="shared" si="120"/>
        <v>14000</v>
      </c>
      <c r="BL105" s="41">
        <f t="shared" si="120"/>
        <v>14000</v>
      </c>
      <c r="BM105" s="41">
        <f t="shared" si="120"/>
        <v>14000</v>
      </c>
      <c r="BN105" s="41">
        <f t="shared" si="120"/>
        <v>14000</v>
      </c>
      <c r="BO105" s="41">
        <f t="shared" si="120"/>
        <v>14000</v>
      </c>
      <c r="BP105" s="41">
        <f t="shared" si="120"/>
        <v>14000</v>
      </c>
      <c r="BQ105" s="41">
        <f t="shared" si="120"/>
        <v>14000</v>
      </c>
      <c r="BR105" s="41">
        <f t="shared" si="120"/>
        <v>14000</v>
      </c>
      <c r="BS105" s="41">
        <f t="shared" si="120"/>
        <v>14000</v>
      </c>
      <c r="BT105" s="41">
        <f t="shared" si="120"/>
        <v>14000</v>
      </c>
      <c r="BU105" s="41">
        <f t="shared" si="120"/>
        <v>14000</v>
      </c>
      <c r="BV105" s="41">
        <f t="shared" si="120"/>
        <v>14000</v>
      </c>
      <c r="BW105" s="67"/>
    </row>
    <row r="106">
      <c r="A106" s="41" t="s">
        <v>296</v>
      </c>
      <c r="B106" s="110">
        <v>0.003</v>
      </c>
      <c r="C106" s="77">
        <f t="shared" ref="C106:H106" si="121">C$53*$B106</f>
        <v>0</v>
      </c>
      <c r="D106" s="77">
        <f t="shared" si="121"/>
        <v>0</v>
      </c>
      <c r="E106" s="77">
        <f t="shared" si="121"/>
        <v>0</v>
      </c>
      <c r="F106" s="77">
        <f t="shared" si="121"/>
        <v>0</v>
      </c>
      <c r="G106" s="77">
        <f t="shared" si="121"/>
        <v>0</v>
      </c>
      <c r="H106" s="77">
        <f t="shared" si="121"/>
        <v>0</v>
      </c>
      <c r="I106" s="77">
        <v>0.0</v>
      </c>
      <c r="J106" s="77">
        <f t="shared" ref="J106:P106" si="122">J$53*$B106</f>
        <v>89.198055</v>
      </c>
      <c r="K106" s="77">
        <f t="shared" si="122"/>
        <v>618.713145</v>
      </c>
      <c r="L106" s="77">
        <f t="shared" si="122"/>
        <v>630.567705</v>
      </c>
      <c r="M106" s="77">
        <f t="shared" si="122"/>
        <v>633.259455</v>
      </c>
      <c r="N106" s="77">
        <f t="shared" si="122"/>
        <v>687.66741</v>
      </c>
      <c r="O106" s="77">
        <f t="shared" si="122"/>
        <v>725.943915</v>
      </c>
      <c r="P106" s="77">
        <f t="shared" si="122"/>
        <v>1228.20009</v>
      </c>
      <c r="Q106" s="41">
        <f t="shared" ref="Q106:BV106" si="123">P106</f>
        <v>1228.20009</v>
      </c>
      <c r="R106" s="41">
        <f t="shared" si="123"/>
        <v>1228.20009</v>
      </c>
      <c r="S106" s="41">
        <f t="shared" si="123"/>
        <v>1228.20009</v>
      </c>
      <c r="T106" s="41">
        <f t="shared" si="123"/>
        <v>1228.20009</v>
      </c>
      <c r="U106" s="41">
        <f t="shared" si="123"/>
        <v>1228.20009</v>
      </c>
      <c r="V106" s="41">
        <f t="shared" si="123"/>
        <v>1228.20009</v>
      </c>
      <c r="W106" s="41">
        <f t="shared" si="123"/>
        <v>1228.20009</v>
      </c>
      <c r="X106" s="41">
        <f t="shared" si="123"/>
        <v>1228.20009</v>
      </c>
      <c r="Y106" s="41">
        <f t="shared" si="123"/>
        <v>1228.20009</v>
      </c>
      <c r="Z106" s="41">
        <f t="shared" si="123"/>
        <v>1228.20009</v>
      </c>
      <c r="AA106" s="41">
        <f t="shared" si="123"/>
        <v>1228.20009</v>
      </c>
      <c r="AB106" s="41">
        <f t="shared" si="123"/>
        <v>1228.20009</v>
      </c>
      <c r="AC106" s="41">
        <f t="shared" si="123"/>
        <v>1228.20009</v>
      </c>
      <c r="AD106" s="41">
        <f t="shared" si="123"/>
        <v>1228.20009</v>
      </c>
      <c r="AE106" s="41">
        <f t="shared" si="123"/>
        <v>1228.20009</v>
      </c>
      <c r="AF106" s="41">
        <f t="shared" si="123"/>
        <v>1228.20009</v>
      </c>
      <c r="AG106" s="41">
        <f t="shared" si="123"/>
        <v>1228.20009</v>
      </c>
      <c r="AH106" s="41">
        <f t="shared" si="123"/>
        <v>1228.20009</v>
      </c>
      <c r="AI106" s="41">
        <f t="shared" si="123"/>
        <v>1228.20009</v>
      </c>
      <c r="AJ106" s="41">
        <f t="shared" si="123"/>
        <v>1228.20009</v>
      </c>
      <c r="AK106" s="41">
        <f t="shared" si="123"/>
        <v>1228.20009</v>
      </c>
      <c r="AL106" s="41">
        <f t="shared" si="123"/>
        <v>1228.20009</v>
      </c>
      <c r="AM106" s="41">
        <f t="shared" si="123"/>
        <v>1228.20009</v>
      </c>
      <c r="AN106" s="41">
        <f t="shared" si="123"/>
        <v>1228.20009</v>
      </c>
      <c r="AO106" s="41">
        <f t="shared" si="123"/>
        <v>1228.20009</v>
      </c>
      <c r="AP106" s="41">
        <f t="shared" si="123"/>
        <v>1228.20009</v>
      </c>
      <c r="AQ106" s="41">
        <f t="shared" si="123"/>
        <v>1228.20009</v>
      </c>
      <c r="AR106" s="41">
        <f t="shared" si="123"/>
        <v>1228.20009</v>
      </c>
      <c r="AS106" s="41">
        <f t="shared" si="123"/>
        <v>1228.20009</v>
      </c>
      <c r="AT106" s="41">
        <f t="shared" si="123"/>
        <v>1228.20009</v>
      </c>
      <c r="AU106" s="41">
        <f t="shared" si="123"/>
        <v>1228.20009</v>
      </c>
      <c r="AV106" s="41">
        <f t="shared" si="123"/>
        <v>1228.20009</v>
      </c>
      <c r="AW106" s="41">
        <f t="shared" si="123"/>
        <v>1228.20009</v>
      </c>
      <c r="AX106" s="41">
        <f t="shared" si="123"/>
        <v>1228.20009</v>
      </c>
      <c r="AY106" s="41">
        <f t="shared" si="123"/>
        <v>1228.20009</v>
      </c>
      <c r="AZ106" s="41">
        <f t="shared" si="123"/>
        <v>1228.20009</v>
      </c>
      <c r="BA106" s="41">
        <f t="shared" si="123"/>
        <v>1228.20009</v>
      </c>
      <c r="BB106" s="41">
        <f t="shared" si="123"/>
        <v>1228.20009</v>
      </c>
      <c r="BC106" s="41">
        <f t="shared" si="123"/>
        <v>1228.20009</v>
      </c>
      <c r="BD106" s="41">
        <f t="shared" si="123"/>
        <v>1228.20009</v>
      </c>
      <c r="BE106" s="41">
        <f t="shared" si="123"/>
        <v>1228.20009</v>
      </c>
      <c r="BF106" s="41">
        <f t="shared" si="123"/>
        <v>1228.20009</v>
      </c>
      <c r="BG106" s="41">
        <f t="shared" si="123"/>
        <v>1228.20009</v>
      </c>
      <c r="BH106" s="41">
        <f t="shared" si="123"/>
        <v>1228.20009</v>
      </c>
      <c r="BI106" s="41">
        <f t="shared" si="123"/>
        <v>1228.20009</v>
      </c>
      <c r="BJ106" s="41">
        <f t="shared" si="123"/>
        <v>1228.20009</v>
      </c>
      <c r="BK106" s="41">
        <f t="shared" si="123"/>
        <v>1228.20009</v>
      </c>
      <c r="BL106" s="41">
        <f t="shared" si="123"/>
        <v>1228.20009</v>
      </c>
      <c r="BM106" s="41">
        <f t="shared" si="123"/>
        <v>1228.20009</v>
      </c>
      <c r="BN106" s="41">
        <f t="shared" si="123"/>
        <v>1228.20009</v>
      </c>
      <c r="BO106" s="41">
        <f t="shared" si="123"/>
        <v>1228.20009</v>
      </c>
      <c r="BP106" s="41">
        <f t="shared" si="123"/>
        <v>1228.20009</v>
      </c>
      <c r="BQ106" s="41">
        <f t="shared" si="123"/>
        <v>1228.20009</v>
      </c>
      <c r="BR106" s="41">
        <f t="shared" si="123"/>
        <v>1228.20009</v>
      </c>
      <c r="BS106" s="41">
        <f t="shared" si="123"/>
        <v>1228.20009</v>
      </c>
      <c r="BT106" s="41">
        <f t="shared" si="123"/>
        <v>1228.20009</v>
      </c>
      <c r="BU106" s="41">
        <f t="shared" si="123"/>
        <v>1228.20009</v>
      </c>
      <c r="BV106" s="41">
        <f t="shared" si="123"/>
        <v>1228.20009</v>
      </c>
      <c r="BW106" s="67"/>
    </row>
    <row r="107">
      <c r="A107" s="41" t="s">
        <v>297</v>
      </c>
      <c r="B107" s="110">
        <v>0.003</v>
      </c>
      <c r="C107" s="77">
        <f t="shared" ref="C107:H107" si="124">C$53*$B107</f>
        <v>0</v>
      </c>
      <c r="D107" s="77">
        <f t="shared" si="124"/>
        <v>0</v>
      </c>
      <c r="E107" s="77">
        <f t="shared" si="124"/>
        <v>0</v>
      </c>
      <c r="F107" s="77">
        <f t="shared" si="124"/>
        <v>0</v>
      </c>
      <c r="G107" s="77">
        <f t="shared" si="124"/>
        <v>0</v>
      </c>
      <c r="H107" s="77">
        <f t="shared" si="124"/>
        <v>0</v>
      </c>
      <c r="I107" s="77">
        <v>0.0</v>
      </c>
      <c r="J107" s="77">
        <f t="shared" ref="J107:P107" si="125">J$53*$B107</f>
        <v>89.198055</v>
      </c>
      <c r="K107" s="77">
        <f t="shared" si="125"/>
        <v>618.713145</v>
      </c>
      <c r="L107" s="77">
        <f t="shared" si="125"/>
        <v>630.567705</v>
      </c>
      <c r="M107" s="77">
        <f t="shared" si="125"/>
        <v>633.259455</v>
      </c>
      <c r="N107" s="77">
        <f t="shared" si="125"/>
        <v>687.66741</v>
      </c>
      <c r="O107" s="77">
        <f t="shared" si="125"/>
        <v>725.943915</v>
      </c>
      <c r="P107" s="77">
        <f t="shared" si="125"/>
        <v>1228.20009</v>
      </c>
      <c r="Q107" s="41">
        <f t="shared" ref="Q107:BV107" si="126">P107</f>
        <v>1228.20009</v>
      </c>
      <c r="R107" s="41">
        <f t="shared" si="126"/>
        <v>1228.20009</v>
      </c>
      <c r="S107" s="41">
        <f t="shared" si="126"/>
        <v>1228.20009</v>
      </c>
      <c r="T107" s="41">
        <f t="shared" si="126"/>
        <v>1228.20009</v>
      </c>
      <c r="U107" s="41">
        <f t="shared" si="126"/>
        <v>1228.20009</v>
      </c>
      <c r="V107" s="41">
        <f t="shared" si="126"/>
        <v>1228.20009</v>
      </c>
      <c r="W107" s="41">
        <f t="shared" si="126"/>
        <v>1228.20009</v>
      </c>
      <c r="X107" s="41">
        <f t="shared" si="126"/>
        <v>1228.20009</v>
      </c>
      <c r="Y107" s="41">
        <f t="shared" si="126"/>
        <v>1228.20009</v>
      </c>
      <c r="Z107" s="41">
        <f t="shared" si="126"/>
        <v>1228.20009</v>
      </c>
      <c r="AA107" s="41">
        <f t="shared" si="126"/>
        <v>1228.20009</v>
      </c>
      <c r="AB107" s="41">
        <f t="shared" si="126"/>
        <v>1228.20009</v>
      </c>
      <c r="AC107" s="41">
        <f t="shared" si="126"/>
        <v>1228.20009</v>
      </c>
      <c r="AD107" s="41">
        <f t="shared" si="126"/>
        <v>1228.20009</v>
      </c>
      <c r="AE107" s="41">
        <f t="shared" si="126"/>
        <v>1228.20009</v>
      </c>
      <c r="AF107" s="41">
        <f t="shared" si="126"/>
        <v>1228.20009</v>
      </c>
      <c r="AG107" s="41">
        <f t="shared" si="126"/>
        <v>1228.20009</v>
      </c>
      <c r="AH107" s="41">
        <f t="shared" si="126"/>
        <v>1228.20009</v>
      </c>
      <c r="AI107" s="41">
        <f t="shared" si="126"/>
        <v>1228.20009</v>
      </c>
      <c r="AJ107" s="41">
        <f t="shared" si="126"/>
        <v>1228.20009</v>
      </c>
      <c r="AK107" s="41">
        <f t="shared" si="126"/>
        <v>1228.20009</v>
      </c>
      <c r="AL107" s="41">
        <f t="shared" si="126"/>
        <v>1228.20009</v>
      </c>
      <c r="AM107" s="41">
        <f t="shared" si="126"/>
        <v>1228.20009</v>
      </c>
      <c r="AN107" s="41">
        <f t="shared" si="126"/>
        <v>1228.20009</v>
      </c>
      <c r="AO107" s="41">
        <f t="shared" si="126"/>
        <v>1228.20009</v>
      </c>
      <c r="AP107" s="41">
        <f t="shared" si="126"/>
        <v>1228.20009</v>
      </c>
      <c r="AQ107" s="41">
        <f t="shared" si="126"/>
        <v>1228.20009</v>
      </c>
      <c r="AR107" s="41">
        <f t="shared" si="126"/>
        <v>1228.20009</v>
      </c>
      <c r="AS107" s="41">
        <f t="shared" si="126"/>
        <v>1228.20009</v>
      </c>
      <c r="AT107" s="41">
        <f t="shared" si="126"/>
        <v>1228.20009</v>
      </c>
      <c r="AU107" s="41">
        <f t="shared" si="126"/>
        <v>1228.20009</v>
      </c>
      <c r="AV107" s="41">
        <f t="shared" si="126"/>
        <v>1228.20009</v>
      </c>
      <c r="AW107" s="41">
        <f t="shared" si="126"/>
        <v>1228.20009</v>
      </c>
      <c r="AX107" s="41">
        <f t="shared" si="126"/>
        <v>1228.20009</v>
      </c>
      <c r="AY107" s="41">
        <f t="shared" si="126"/>
        <v>1228.20009</v>
      </c>
      <c r="AZ107" s="41">
        <f t="shared" si="126"/>
        <v>1228.20009</v>
      </c>
      <c r="BA107" s="41">
        <f t="shared" si="126"/>
        <v>1228.20009</v>
      </c>
      <c r="BB107" s="41">
        <f t="shared" si="126"/>
        <v>1228.20009</v>
      </c>
      <c r="BC107" s="41">
        <f t="shared" si="126"/>
        <v>1228.20009</v>
      </c>
      <c r="BD107" s="41">
        <f t="shared" si="126"/>
        <v>1228.20009</v>
      </c>
      <c r="BE107" s="41">
        <f t="shared" si="126"/>
        <v>1228.20009</v>
      </c>
      <c r="BF107" s="41">
        <f t="shared" si="126"/>
        <v>1228.20009</v>
      </c>
      <c r="BG107" s="41">
        <f t="shared" si="126"/>
        <v>1228.20009</v>
      </c>
      <c r="BH107" s="41">
        <f t="shared" si="126"/>
        <v>1228.20009</v>
      </c>
      <c r="BI107" s="41">
        <f t="shared" si="126"/>
        <v>1228.20009</v>
      </c>
      <c r="BJ107" s="41">
        <f t="shared" si="126"/>
        <v>1228.20009</v>
      </c>
      <c r="BK107" s="41">
        <f t="shared" si="126"/>
        <v>1228.20009</v>
      </c>
      <c r="BL107" s="41">
        <f t="shared" si="126"/>
        <v>1228.20009</v>
      </c>
      <c r="BM107" s="41">
        <f t="shared" si="126"/>
        <v>1228.20009</v>
      </c>
      <c r="BN107" s="41">
        <f t="shared" si="126"/>
        <v>1228.20009</v>
      </c>
      <c r="BO107" s="41">
        <f t="shared" si="126"/>
        <v>1228.20009</v>
      </c>
      <c r="BP107" s="41">
        <f t="shared" si="126"/>
        <v>1228.20009</v>
      </c>
      <c r="BQ107" s="41">
        <f t="shared" si="126"/>
        <v>1228.20009</v>
      </c>
      <c r="BR107" s="41">
        <f t="shared" si="126"/>
        <v>1228.20009</v>
      </c>
      <c r="BS107" s="41">
        <f t="shared" si="126"/>
        <v>1228.20009</v>
      </c>
      <c r="BT107" s="41">
        <f t="shared" si="126"/>
        <v>1228.20009</v>
      </c>
      <c r="BU107" s="41">
        <f t="shared" si="126"/>
        <v>1228.20009</v>
      </c>
      <c r="BV107" s="41">
        <f t="shared" si="126"/>
        <v>1228.20009</v>
      </c>
      <c r="BW107" s="67"/>
    </row>
    <row r="108">
      <c r="A108" s="77" t="s">
        <v>298</v>
      </c>
      <c r="B108" s="110">
        <v>0.005</v>
      </c>
      <c r="C108" s="77">
        <f t="shared" ref="C108:H108" si="127">C$53*$B108</f>
        <v>0</v>
      </c>
      <c r="D108" s="77">
        <f t="shared" si="127"/>
        <v>0</v>
      </c>
      <c r="E108" s="77">
        <f t="shared" si="127"/>
        <v>0</v>
      </c>
      <c r="F108" s="77">
        <f t="shared" si="127"/>
        <v>0</v>
      </c>
      <c r="G108" s="77">
        <f t="shared" si="127"/>
        <v>0</v>
      </c>
      <c r="H108" s="77">
        <f t="shared" si="127"/>
        <v>0</v>
      </c>
      <c r="I108" s="77">
        <v>0.0</v>
      </c>
      <c r="J108" s="77">
        <f t="shared" ref="J108:P108" si="128">J$53*$B108</f>
        <v>148.663425</v>
      </c>
      <c r="K108" s="77">
        <f t="shared" si="128"/>
        <v>1031.188575</v>
      </c>
      <c r="L108" s="77">
        <f t="shared" si="128"/>
        <v>1050.946175</v>
      </c>
      <c r="M108" s="77">
        <f t="shared" si="128"/>
        <v>1055.432425</v>
      </c>
      <c r="N108" s="77">
        <f t="shared" si="128"/>
        <v>1146.11235</v>
      </c>
      <c r="O108" s="77">
        <f t="shared" si="128"/>
        <v>1209.906525</v>
      </c>
      <c r="P108" s="77">
        <f t="shared" si="128"/>
        <v>2047.00015</v>
      </c>
      <c r="Q108" s="41">
        <f t="shared" ref="Q108:W108" si="129">P108</f>
        <v>2047.00015</v>
      </c>
      <c r="R108" s="41">
        <f t="shared" si="129"/>
        <v>2047.00015</v>
      </c>
      <c r="S108" s="41">
        <f t="shared" si="129"/>
        <v>2047.00015</v>
      </c>
      <c r="T108" s="41">
        <f t="shared" si="129"/>
        <v>2047.00015</v>
      </c>
      <c r="U108" s="41">
        <f t="shared" si="129"/>
        <v>2047.00015</v>
      </c>
      <c r="V108" s="41">
        <f t="shared" si="129"/>
        <v>2047.00015</v>
      </c>
      <c r="W108" s="41">
        <f t="shared" si="129"/>
        <v>2047.00015</v>
      </c>
      <c r="X108" s="77">
        <v>14000.0</v>
      </c>
      <c r="Y108" s="41">
        <f t="shared" ref="Y108:BV108" si="130">X108</f>
        <v>14000</v>
      </c>
      <c r="Z108" s="41">
        <f t="shared" si="130"/>
        <v>14000</v>
      </c>
      <c r="AA108" s="41">
        <f t="shared" si="130"/>
        <v>14000</v>
      </c>
      <c r="AB108" s="41">
        <f t="shared" si="130"/>
        <v>14000</v>
      </c>
      <c r="AC108" s="41">
        <f t="shared" si="130"/>
        <v>14000</v>
      </c>
      <c r="AD108" s="41">
        <f t="shared" si="130"/>
        <v>14000</v>
      </c>
      <c r="AE108" s="41">
        <f t="shared" si="130"/>
        <v>14000</v>
      </c>
      <c r="AF108" s="41">
        <f t="shared" si="130"/>
        <v>14000</v>
      </c>
      <c r="AG108" s="41">
        <f t="shared" si="130"/>
        <v>14000</v>
      </c>
      <c r="AH108" s="41">
        <f t="shared" si="130"/>
        <v>14000</v>
      </c>
      <c r="AI108" s="41">
        <f t="shared" si="130"/>
        <v>14000</v>
      </c>
      <c r="AJ108" s="41">
        <f t="shared" si="130"/>
        <v>14000</v>
      </c>
      <c r="AK108" s="41">
        <f t="shared" si="130"/>
        <v>14000</v>
      </c>
      <c r="AL108" s="41">
        <f t="shared" si="130"/>
        <v>14000</v>
      </c>
      <c r="AM108" s="41">
        <f t="shared" si="130"/>
        <v>14000</v>
      </c>
      <c r="AN108" s="41">
        <f t="shared" si="130"/>
        <v>14000</v>
      </c>
      <c r="AO108" s="41">
        <f t="shared" si="130"/>
        <v>14000</v>
      </c>
      <c r="AP108" s="41">
        <f t="shared" si="130"/>
        <v>14000</v>
      </c>
      <c r="AQ108" s="41">
        <f t="shared" si="130"/>
        <v>14000</v>
      </c>
      <c r="AR108" s="41">
        <f t="shared" si="130"/>
        <v>14000</v>
      </c>
      <c r="AS108" s="41">
        <f t="shared" si="130"/>
        <v>14000</v>
      </c>
      <c r="AT108" s="41">
        <f t="shared" si="130"/>
        <v>14000</v>
      </c>
      <c r="AU108" s="41">
        <f t="shared" si="130"/>
        <v>14000</v>
      </c>
      <c r="AV108" s="41">
        <f t="shared" si="130"/>
        <v>14000</v>
      </c>
      <c r="AW108" s="41">
        <f t="shared" si="130"/>
        <v>14000</v>
      </c>
      <c r="AX108" s="41">
        <f t="shared" si="130"/>
        <v>14000</v>
      </c>
      <c r="AY108" s="41">
        <f t="shared" si="130"/>
        <v>14000</v>
      </c>
      <c r="AZ108" s="41">
        <f t="shared" si="130"/>
        <v>14000</v>
      </c>
      <c r="BA108" s="41">
        <f t="shared" si="130"/>
        <v>14000</v>
      </c>
      <c r="BB108" s="41">
        <f t="shared" si="130"/>
        <v>14000</v>
      </c>
      <c r="BC108" s="41">
        <f t="shared" si="130"/>
        <v>14000</v>
      </c>
      <c r="BD108" s="41">
        <f t="shared" si="130"/>
        <v>14000</v>
      </c>
      <c r="BE108" s="41">
        <f t="shared" si="130"/>
        <v>14000</v>
      </c>
      <c r="BF108" s="41">
        <f t="shared" si="130"/>
        <v>14000</v>
      </c>
      <c r="BG108" s="41">
        <f t="shared" si="130"/>
        <v>14000</v>
      </c>
      <c r="BH108" s="41">
        <f t="shared" si="130"/>
        <v>14000</v>
      </c>
      <c r="BI108" s="41">
        <f t="shared" si="130"/>
        <v>14000</v>
      </c>
      <c r="BJ108" s="41">
        <f t="shared" si="130"/>
        <v>14000</v>
      </c>
      <c r="BK108" s="41">
        <f t="shared" si="130"/>
        <v>14000</v>
      </c>
      <c r="BL108" s="41">
        <f t="shared" si="130"/>
        <v>14000</v>
      </c>
      <c r="BM108" s="41">
        <f t="shared" si="130"/>
        <v>14000</v>
      </c>
      <c r="BN108" s="41">
        <f t="shared" si="130"/>
        <v>14000</v>
      </c>
      <c r="BO108" s="41">
        <f t="shared" si="130"/>
        <v>14000</v>
      </c>
      <c r="BP108" s="41">
        <f t="shared" si="130"/>
        <v>14000</v>
      </c>
      <c r="BQ108" s="41">
        <f t="shared" si="130"/>
        <v>14000</v>
      </c>
      <c r="BR108" s="41">
        <f t="shared" si="130"/>
        <v>14000</v>
      </c>
      <c r="BS108" s="41">
        <f t="shared" si="130"/>
        <v>14000</v>
      </c>
      <c r="BT108" s="41">
        <f t="shared" si="130"/>
        <v>14000</v>
      </c>
      <c r="BU108" s="41">
        <f t="shared" si="130"/>
        <v>14000</v>
      </c>
      <c r="BV108" s="41">
        <f t="shared" si="130"/>
        <v>14000</v>
      </c>
      <c r="BW108" s="67"/>
    </row>
    <row r="109">
      <c r="A109" s="77" t="s">
        <v>299</v>
      </c>
      <c r="B109" s="110">
        <v>0.003</v>
      </c>
      <c r="C109" s="77">
        <f t="shared" ref="C109:H109" si="131">C$53*$B109</f>
        <v>0</v>
      </c>
      <c r="D109" s="77">
        <f t="shared" si="131"/>
        <v>0</v>
      </c>
      <c r="E109" s="77">
        <f t="shared" si="131"/>
        <v>0</v>
      </c>
      <c r="F109" s="77">
        <f t="shared" si="131"/>
        <v>0</v>
      </c>
      <c r="G109" s="77">
        <f t="shared" si="131"/>
        <v>0</v>
      </c>
      <c r="H109" s="77">
        <f t="shared" si="131"/>
        <v>0</v>
      </c>
      <c r="I109" s="77">
        <v>0.0</v>
      </c>
      <c r="J109" s="77">
        <f t="shared" ref="J109:P109" si="132">J$53*$B109</f>
        <v>89.198055</v>
      </c>
      <c r="K109" s="77">
        <f t="shared" si="132"/>
        <v>618.713145</v>
      </c>
      <c r="L109" s="77">
        <f t="shared" si="132"/>
        <v>630.567705</v>
      </c>
      <c r="M109" s="77">
        <f t="shared" si="132"/>
        <v>633.259455</v>
      </c>
      <c r="N109" s="77">
        <f t="shared" si="132"/>
        <v>687.66741</v>
      </c>
      <c r="O109" s="77">
        <f t="shared" si="132"/>
        <v>725.943915</v>
      </c>
      <c r="P109" s="77">
        <f t="shared" si="132"/>
        <v>1228.20009</v>
      </c>
      <c r="Q109" s="41">
        <f t="shared" ref="Q109:BV109" si="133">P109</f>
        <v>1228.20009</v>
      </c>
      <c r="R109" s="41">
        <f t="shared" si="133"/>
        <v>1228.20009</v>
      </c>
      <c r="S109" s="41">
        <f t="shared" si="133"/>
        <v>1228.20009</v>
      </c>
      <c r="T109" s="41">
        <f t="shared" si="133"/>
        <v>1228.20009</v>
      </c>
      <c r="U109" s="41">
        <f t="shared" si="133"/>
        <v>1228.20009</v>
      </c>
      <c r="V109" s="41">
        <f t="shared" si="133"/>
        <v>1228.20009</v>
      </c>
      <c r="W109" s="41">
        <f t="shared" si="133"/>
        <v>1228.20009</v>
      </c>
      <c r="X109" s="41">
        <f t="shared" si="133"/>
        <v>1228.20009</v>
      </c>
      <c r="Y109" s="41">
        <f t="shared" si="133"/>
        <v>1228.20009</v>
      </c>
      <c r="Z109" s="41">
        <f t="shared" si="133"/>
        <v>1228.20009</v>
      </c>
      <c r="AA109" s="41">
        <f t="shared" si="133"/>
        <v>1228.20009</v>
      </c>
      <c r="AB109" s="41">
        <f t="shared" si="133"/>
        <v>1228.20009</v>
      </c>
      <c r="AC109" s="41">
        <f t="shared" si="133"/>
        <v>1228.20009</v>
      </c>
      <c r="AD109" s="41">
        <f t="shared" si="133"/>
        <v>1228.20009</v>
      </c>
      <c r="AE109" s="41">
        <f t="shared" si="133"/>
        <v>1228.20009</v>
      </c>
      <c r="AF109" s="41">
        <f t="shared" si="133"/>
        <v>1228.20009</v>
      </c>
      <c r="AG109" s="41">
        <f t="shared" si="133"/>
        <v>1228.20009</v>
      </c>
      <c r="AH109" s="41">
        <f t="shared" si="133"/>
        <v>1228.20009</v>
      </c>
      <c r="AI109" s="41">
        <f t="shared" si="133"/>
        <v>1228.20009</v>
      </c>
      <c r="AJ109" s="41">
        <f t="shared" si="133"/>
        <v>1228.20009</v>
      </c>
      <c r="AK109" s="41">
        <f t="shared" si="133"/>
        <v>1228.20009</v>
      </c>
      <c r="AL109" s="41">
        <f t="shared" si="133"/>
        <v>1228.20009</v>
      </c>
      <c r="AM109" s="41">
        <f t="shared" si="133"/>
        <v>1228.20009</v>
      </c>
      <c r="AN109" s="41">
        <f t="shared" si="133"/>
        <v>1228.20009</v>
      </c>
      <c r="AO109" s="41">
        <f t="shared" si="133"/>
        <v>1228.20009</v>
      </c>
      <c r="AP109" s="41">
        <f t="shared" si="133"/>
        <v>1228.20009</v>
      </c>
      <c r="AQ109" s="41">
        <f t="shared" si="133"/>
        <v>1228.20009</v>
      </c>
      <c r="AR109" s="41">
        <f t="shared" si="133"/>
        <v>1228.20009</v>
      </c>
      <c r="AS109" s="41">
        <f t="shared" si="133"/>
        <v>1228.20009</v>
      </c>
      <c r="AT109" s="41">
        <f t="shared" si="133"/>
        <v>1228.20009</v>
      </c>
      <c r="AU109" s="41">
        <f t="shared" si="133"/>
        <v>1228.20009</v>
      </c>
      <c r="AV109" s="41">
        <f t="shared" si="133"/>
        <v>1228.20009</v>
      </c>
      <c r="AW109" s="41">
        <f t="shared" si="133"/>
        <v>1228.20009</v>
      </c>
      <c r="AX109" s="41">
        <f t="shared" si="133"/>
        <v>1228.20009</v>
      </c>
      <c r="AY109" s="41">
        <f t="shared" si="133"/>
        <v>1228.20009</v>
      </c>
      <c r="AZ109" s="41">
        <f t="shared" si="133"/>
        <v>1228.20009</v>
      </c>
      <c r="BA109" s="41">
        <f t="shared" si="133"/>
        <v>1228.20009</v>
      </c>
      <c r="BB109" s="41">
        <f t="shared" si="133"/>
        <v>1228.20009</v>
      </c>
      <c r="BC109" s="41">
        <f t="shared" si="133"/>
        <v>1228.20009</v>
      </c>
      <c r="BD109" s="41">
        <f t="shared" si="133"/>
        <v>1228.20009</v>
      </c>
      <c r="BE109" s="41">
        <f t="shared" si="133"/>
        <v>1228.20009</v>
      </c>
      <c r="BF109" s="41">
        <f t="shared" si="133"/>
        <v>1228.20009</v>
      </c>
      <c r="BG109" s="41">
        <f t="shared" si="133"/>
        <v>1228.20009</v>
      </c>
      <c r="BH109" s="41">
        <f t="shared" si="133"/>
        <v>1228.20009</v>
      </c>
      <c r="BI109" s="41">
        <f t="shared" si="133"/>
        <v>1228.20009</v>
      </c>
      <c r="BJ109" s="41">
        <f t="shared" si="133"/>
        <v>1228.20009</v>
      </c>
      <c r="BK109" s="41">
        <f t="shared" si="133"/>
        <v>1228.20009</v>
      </c>
      <c r="BL109" s="41">
        <f t="shared" si="133"/>
        <v>1228.20009</v>
      </c>
      <c r="BM109" s="41">
        <f t="shared" si="133"/>
        <v>1228.20009</v>
      </c>
      <c r="BN109" s="41">
        <f t="shared" si="133"/>
        <v>1228.20009</v>
      </c>
      <c r="BO109" s="41">
        <f t="shared" si="133"/>
        <v>1228.20009</v>
      </c>
      <c r="BP109" s="41">
        <f t="shared" si="133"/>
        <v>1228.20009</v>
      </c>
      <c r="BQ109" s="41">
        <f t="shared" si="133"/>
        <v>1228.20009</v>
      </c>
      <c r="BR109" s="41">
        <f t="shared" si="133"/>
        <v>1228.20009</v>
      </c>
      <c r="BS109" s="41">
        <f t="shared" si="133"/>
        <v>1228.20009</v>
      </c>
      <c r="BT109" s="41">
        <f t="shared" si="133"/>
        <v>1228.20009</v>
      </c>
      <c r="BU109" s="41">
        <f t="shared" si="133"/>
        <v>1228.20009</v>
      </c>
      <c r="BV109" s="41">
        <f t="shared" si="133"/>
        <v>1228.20009</v>
      </c>
      <c r="BW109" s="67"/>
    </row>
    <row r="110">
      <c r="A110" s="77" t="s">
        <v>300</v>
      </c>
      <c r="B110" s="110">
        <v>0.003</v>
      </c>
      <c r="C110" s="77">
        <f t="shared" ref="C110:H110" si="134">C$53*$B110</f>
        <v>0</v>
      </c>
      <c r="D110" s="77">
        <f t="shared" si="134"/>
        <v>0</v>
      </c>
      <c r="E110" s="77">
        <f t="shared" si="134"/>
        <v>0</v>
      </c>
      <c r="F110" s="77">
        <f t="shared" si="134"/>
        <v>0</v>
      </c>
      <c r="G110" s="77">
        <f t="shared" si="134"/>
        <v>0</v>
      </c>
      <c r="H110" s="77">
        <f t="shared" si="134"/>
        <v>0</v>
      </c>
      <c r="I110" s="77">
        <v>0.0</v>
      </c>
      <c r="J110" s="77">
        <f t="shared" ref="J110:P110" si="135">J$53*$B110</f>
        <v>89.198055</v>
      </c>
      <c r="K110" s="77">
        <f t="shared" si="135"/>
        <v>618.713145</v>
      </c>
      <c r="L110" s="77">
        <f t="shared" si="135"/>
        <v>630.567705</v>
      </c>
      <c r="M110" s="77">
        <f t="shared" si="135"/>
        <v>633.259455</v>
      </c>
      <c r="N110" s="77">
        <f t="shared" si="135"/>
        <v>687.66741</v>
      </c>
      <c r="O110" s="77">
        <f t="shared" si="135"/>
        <v>725.943915</v>
      </c>
      <c r="P110" s="77">
        <f t="shared" si="135"/>
        <v>1228.20009</v>
      </c>
      <c r="Q110" s="41">
        <f t="shared" ref="Q110:BV110" si="136">P110</f>
        <v>1228.20009</v>
      </c>
      <c r="R110" s="41">
        <f t="shared" si="136"/>
        <v>1228.20009</v>
      </c>
      <c r="S110" s="41">
        <f t="shared" si="136"/>
        <v>1228.20009</v>
      </c>
      <c r="T110" s="41">
        <f t="shared" si="136"/>
        <v>1228.20009</v>
      </c>
      <c r="U110" s="41">
        <f t="shared" si="136"/>
        <v>1228.20009</v>
      </c>
      <c r="V110" s="41">
        <f t="shared" si="136"/>
        <v>1228.20009</v>
      </c>
      <c r="W110" s="41">
        <f t="shared" si="136"/>
        <v>1228.20009</v>
      </c>
      <c r="X110" s="41">
        <f t="shared" si="136"/>
        <v>1228.20009</v>
      </c>
      <c r="Y110" s="41">
        <f t="shared" si="136"/>
        <v>1228.20009</v>
      </c>
      <c r="Z110" s="41">
        <f t="shared" si="136"/>
        <v>1228.20009</v>
      </c>
      <c r="AA110" s="41">
        <f t="shared" si="136"/>
        <v>1228.20009</v>
      </c>
      <c r="AB110" s="41">
        <f t="shared" si="136"/>
        <v>1228.20009</v>
      </c>
      <c r="AC110" s="41">
        <f t="shared" si="136"/>
        <v>1228.20009</v>
      </c>
      <c r="AD110" s="41">
        <f t="shared" si="136"/>
        <v>1228.20009</v>
      </c>
      <c r="AE110" s="41">
        <f t="shared" si="136"/>
        <v>1228.20009</v>
      </c>
      <c r="AF110" s="41">
        <f t="shared" si="136"/>
        <v>1228.20009</v>
      </c>
      <c r="AG110" s="41">
        <f t="shared" si="136"/>
        <v>1228.20009</v>
      </c>
      <c r="AH110" s="41">
        <f t="shared" si="136"/>
        <v>1228.20009</v>
      </c>
      <c r="AI110" s="41">
        <f t="shared" si="136"/>
        <v>1228.20009</v>
      </c>
      <c r="AJ110" s="41">
        <f t="shared" si="136"/>
        <v>1228.20009</v>
      </c>
      <c r="AK110" s="41">
        <f t="shared" si="136"/>
        <v>1228.20009</v>
      </c>
      <c r="AL110" s="41">
        <f t="shared" si="136"/>
        <v>1228.20009</v>
      </c>
      <c r="AM110" s="41">
        <f t="shared" si="136"/>
        <v>1228.20009</v>
      </c>
      <c r="AN110" s="41">
        <f t="shared" si="136"/>
        <v>1228.20009</v>
      </c>
      <c r="AO110" s="41">
        <f t="shared" si="136"/>
        <v>1228.20009</v>
      </c>
      <c r="AP110" s="41">
        <f t="shared" si="136"/>
        <v>1228.20009</v>
      </c>
      <c r="AQ110" s="41">
        <f t="shared" si="136"/>
        <v>1228.20009</v>
      </c>
      <c r="AR110" s="41">
        <f t="shared" si="136"/>
        <v>1228.20009</v>
      </c>
      <c r="AS110" s="41">
        <f t="shared" si="136"/>
        <v>1228.20009</v>
      </c>
      <c r="AT110" s="41">
        <f t="shared" si="136"/>
        <v>1228.20009</v>
      </c>
      <c r="AU110" s="41">
        <f t="shared" si="136"/>
        <v>1228.20009</v>
      </c>
      <c r="AV110" s="41">
        <f t="shared" si="136"/>
        <v>1228.20009</v>
      </c>
      <c r="AW110" s="41">
        <f t="shared" si="136"/>
        <v>1228.20009</v>
      </c>
      <c r="AX110" s="41">
        <f t="shared" si="136"/>
        <v>1228.20009</v>
      </c>
      <c r="AY110" s="41">
        <f t="shared" si="136"/>
        <v>1228.20009</v>
      </c>
      <c r="AZ110" s="41">
        <f t="shared" si="136"/>
        <v>1228.20009</v>
      </c>
      <c r="BA110" s="41">
        <f t="shared" si="136"/>
        <v>1228.20009</v>
      </c>
      <c r="BB110" s="41">
        <f t="shared" si="136"/>
        <v>1228.20009</v>
      </c>
      <c r="BC110" s="41">
        <f t="shared" si="136"/>
        <v>1228.20009</v>
      </c>
      <c r="BD110" s="41">
        <f t="shared" si="136"/>
        <v>1228.20009</v>
      </c>
      <c r="BE110" s="41">
        <f t="shared" si="136"/>
        <v>1228.20009</v>
      </c>
      <c r="BF110" s="41">
        <f t="shared" si="136"/>
        <v>1228.20009</v>
      </c>
      <c r="BG110" s="41">
        <f t="shared" si="136"/>
        <v>1228.20009</v>
      </c>
      <c r="BH110" s="41">
        <f t="shared" si="136"/>
        <v>1228.20009</v>
      </c>
      <c r="BI110" s="41">
        <f t="shared" si="136"/>
        <v>1228.20009</v>
      </c>
      <c r="BJ110" s="41">
        <f t="shared" si="136"/>
        <v>1228.20009</v>
      </c>
      <c r="BK110" s="41">
        <f t="shared" si="136"/>
        <v>1228.20009</v>
      </c>
      <c r="BL110" s="41">
        <f t="shared" si="136"/>
        <v>1228.20009</v>
      </c>
      <c r="BM110" s="41">
        <f t="shared" si="136"/>
        <v>1228.20009</v>
      </c>
      <c r="BN110" s="41">
        <f t="shared" si="136"/>
        <v>1228.20009</v>
      </c>
      <c r="BO110" s="41">
        <f t="shared" si="136"/>
        <v>1228.20009</v>
      </c>
      <c r="BP110" s="41">
        <f t="shared" si="136"/>
        <v>1228.20009</v>
      </c>
      <c r="BQ110" s="41">
        <f t="shared" si="136"/>
        <v>1228.20009</v>
      </c>
      <c r="BR110" s="41">
        <f t="shared" si="136"/>
        <v>1228.20009</v>
      </c>
      <c r="BS110" s="41">
        <f t="shared" si="136"/>
        <v>1228.20009</v>
      </c>
      <c r="BT110" s="41">
        <f t="shared" si="136"/>
        <v>1228.20009</v>
      </c>
      <c r="BU110" s="41">
        <f t="shared" si="136"/>
        <v>1228.20009</v>
      </c>
      <c r="BV110" s="41">
        <f t="shared" si="136"/>
        <v>1228.20009</v>
      </c>
      <c r="BW110" s="67"/>
    </row>
    <row r="111">
      <c r="A111" s="80" t="s">
        <v>301</v>
      </c>
      <c r="B111" s="110">
        <v>0.007</v>
      </c>
      <c r="C111" s="77">
        <f t="shared" ref="C111:H111" si="137">C$53*$B111</f>
        <v>0</v>
      </c>
      <c r="D111" s="77">
        <f t="shared" si="137"/>
        <v>0</v>
      </c>
      <c r="E111" s="77">
        <f t="shared" si="137"/>
        <v>0</v>
      </c>
      <c r="F111" s="77">
        <f t="shared" si="137"/>
        <v>0</v>
      </c>
      <c r="G111" s="77">
        <f t="shared" si="137"/>
        <v>0</v>
      </c>
      <c r="H111" s="77">
        <f t="shared" si="137"/>
        <v>0</v>
      </c>
      <c r="I111" s="77">
        <v>0.0</v>
      </c>
      <c r="J111" s="77">
        <f t="shared" ref="J111:P111" si="138">J$53*$B111</f>
        <v>208.128795</v>
      </c>
      <c r="K111" s="77">
        <f t="shared" si="138"/>
        <v>1443.664005</v>
      </c>
      <c r="L111" s="77">
        <f t="shared" si="138"/>
        <v>1471.324645</v>
      </c>
      <c r="M111" s="77">
        <f t="shared" si="138"/>
        <v>1477.605395</v>
      </c>
      <c r="N111" s="77">
        <f t="shared" si="138"/>
        <v>1604.55729</v>
      </c>
      <c r="O111" s="77">
        <f t="shared" si="138"/>
        <v>1693.869135</v>
      </c>
      <c r="P111" s="77">
        <f t="shared" si="138"/>
        <v>2865.80021</v>
      </c>
      <c r="Q111" s="41">
        <f t="shared" ref="Q111:BV111" si="139">P111</f>
        <v>2865.80021</v>
      </c>
      <c r="R111" s="41">
        <f t="shared" si="139"/>
        <v>2865.80021</v>
      </c>
      <c r="S111" s="41">
        <f t="shared" si="139"/>
        <v>2865.80021</v>
      </c>
      <c r="T111" s="41">
        <f t="shared" si="139"/>
        <v>2865.80021</v>
      </c>
      <c r="U111" s="41">
        <f t="shared" si="139"/>
        <v>2865.80021</v>
      </c>
      <c r="V111" s="41">
        <f t="shared" si="139"/>
        <v>2865.80021</v>
      </c>
      <c r="W111" s="41">
        <f t="shared" si="139"/>
        <v>2865.80021</v>
      </c>
      <c r="X111" s="41">
        <f t="shared" si="139"/>
        <v>2865.80021</v>
      </c>
      <c r="Y111" s="41">
        <f t="shared" si="139"/>
        <v>2865.80021</v>
      </c>
      <c r="Z111" s="41">
        <f t="shared" si="139"/>
        <v>2865.80021</v>
      </c>
      <c r="AA111" s="41">
        <f t="shared" si="139"/>
        <v>2865.80021</v>
      </c>
      <c r="AB111" s="41">
        <f t="shared" si="139"/>
        <v>2865.80021</v>
      </c>
      <c r="AC111" s="41">
        <f t="shared" si="139"/>
        <v>2865.80021</v>
      </c>
      <c r="AD111" s="41">
        <f t="shared" si="139"/>
        <v>2865.80021</v>
      </c>
      <c r="AE111" s="41">
        <f t="shared" si="139"/>
        <v>2865.80021</v>
      </c>
      <c r="AF111" s="41">
        <f t="shared" si="139"/>
        <v>2865.80021</v>
      </c>
      <c r="AG111" s="41">
        <f t="shared" si="139"/>
        <v>2865.80021</v>
      </c>
      <c r="AH111" s="41">
        <f t="shared" si="139"/>
        <v>2865.80021</v>
      </c>
      <c r="AI111" s="41">
        <f t="shared" si="139"/>
        <v>2865.80021</v>
      </c>
      <c r="AJ111" s="41">
        <f t="shared" si="139"/>
        <v>2865.80021</v>
      </c>
      <c r="AK111" s="41">
        <f t="shared" si="139"/>
        <v>2865.80021</v>
      </c>
      <c r="AL111" s="41">
        <f t="shared" si="139"/>
        <v>2865.80021</v>
      </c>
      <c r="AM111" s="41">
        <f t="shared" si="139"/>
        <v>2865.80021</v>
      </c>
      <c r="AN111" s="41">
        <f t="shared" si="139"/>
        <v>2865.80021</v>
      </c>
      <c r="AO111" s="41">
        <f t="shared" si="139"/>
        <v>2865.80021</v>
      </c>
      <c r="AP111" s="41">
        <f t="shared" si="139"/>
        <v>2865.80021</v>
      </c>
      <c r="AQ111" s="41">
        <f t="shared" si="139"/>
        <v>2865.80021</v>
      </c>
      <c r="AR111" s="41">
        <f t="shared" si="139"/>
        <v>2865.80021</v>
      </c>
      <c r="AS111" s="41">
        <f t="shared" si="139"/>
        <v>2865.80021</v>
      </c>
      <c r="AT111" s="41">
        <f t="shared" si="139"/>
        <v>2865.80021</v>
      </c>
      <c r="AU111" s="41">
        <f t="shared" si="139"/>
        <v>2865.80021</v>
      </c>
      <c r="AV111" s="41">
        <f t="shared" si="139"/>
        <v>2865.80021</v>
      </c>
      <c r="AW111" s="41">
        <f t="shared" si="139"/>
        <v>2865.80021</v>
      </c>
      <c r="AX111" s="41">
        <f t="shared" si="139"/>
        <v>2865.80021</v>
      </c>
      <c r="AY111" s="41">
        <f t="shared" si="139"/>
        <v>2865.80021</v>
      </c>
      <c r="AZ111" s="41">
        <f t="shared" si="139"/>
        <v>2865.80021</v>
      </c>
      <c r="BA111" s="41">
        <f t="shared" si="139"/>
        <v>2865.80021</v>
      </c>
      <c r="BB111" s="41">
        <f t="shared" si="139"/>
        <v>2865.80021</v>
      </c>
      <c r="BC111" s="41">
        <f t="shared" si="139"/>
        <v>2865.80021</v>
      </c>
      <c r="BD111" s="41">
        <f t="shared" si="139"/>
        <v>2865.80021</v>
      </c>
      <c r="BE111" s="41">
        <f t="shared" si="139"/>
        <v>2865.80021</v>
      </c>
      <c r="BF111" s="41">
        <f t="shared" si="139"/>
        <v>2865.80021</v>
      </c>
      <c r="BG111" s="41">
        <f t="shared" si="139"/>
        <v>2865.80021</v>
      </c>
      <c r="BH111" s="41">
        <f t="shared" si="139"/>
        <v>2865.80021</v>
      </c>
      <c r="BI111" s="41">
        <f t="shared" si="139"/>
        <v>2865.80021</v>
      </c>
      <c r="BJ111" s="41">
        <f t="shared" si="139"/>
        <v>2865.80021</v>
      </c>
      <c r="BK111" s="41">
        <f t="shared" si="139"/>
        <v>2865.80021</v>
      </c>
      <c r="BL111" s="41">
        <f t="shared" si="139"/>
        <v>2865.80021</v>
      </c>
      <c r="BM111" s="41">
        <f t="shared" si="139"/>
        <v>2865.80021</v>
      </c>
      <c r="BN111" s="41">
        <f t="shared" si="139"/>
        <v>2865.80021</v>
      </c>
      <c r="BO111" s="41">
        <f t="shared" si="139"/>
        <v>2865.80021</v>
      </c>
      <c r="BP111" s="41">
        <f t="shared" si="139"/>
        <v>2865.80021</v>
      </c>
      <c r="BQ111" s="41">
        <f t="shared" si="139"/>
        <v>2865.80021</v>
      </c>
      <c r="BR111" s="41">
        <f t="shared" si="139"/>
        <v>2865.80021</v>
      </c>
      <c r="BS111" s="41">
        <f t="shared" si="139"/>
        <v>2865.80021</v>
      </c>
      <c r="BT111" s="41">
        <f t="shared" si="139"/>
        <v>2865.80021</v>
      </c>
      <c r="BU111" s="41">
        <f t="shared" si="139"/>
        <v>2865.80021</v>
      </c>
      <c r="BV111" s="41">
        <f t="shared" si="139"/>
        <v>2865.80021</v>
      </c>
      <c r="BW111" s="67"/>
    </row>
    <row r="112">
      <c r="A112" s="116" t="s">
        <v>302</v>
      </c>
      <c r="B112" s="42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/>
      <c r="AU112" s="117"/>
      <c r="AV112" s="117"/>
      <c r="AW112" s="117"/>
      <c r="AX112" s="117"/>
      <c r="AY112" s="117"/>
      <c r="AZ112" s="117"/>
      <c r="BA112" s="117"/>
      <c r="BB112" s="117"/>
      <c r="BC112" s="117"/>
      <c r="BD112" s="117"/>
      <c r="BE112" s="117"/>
      <c r="BF112" s="117"/>
      <c r="BG112" s="117"/>
      <c r="BH112" s="117"/>
      <c r="BI112" s="117"/>
      <c r="BJ112" s="117"/>
      <c r="BK112" s="117"/>
      <c r="BL112" s="117"/>
      <c r="BM112" s="117"/>
      <c r="BN112" s="117"/>
      <c r="BO112" s="117"/>
      <c r="BP112" s="117"/>
      <c r="BQ112" s="117"/>
      <c r="BR112" s="117"/>
      <c r="BS112" s="117"/>
      <c r="BT112" s="117"/>
      <c r="BU112" s="117"/>
      <c r="BV112" s="117"/>
      <c r="BW112" s="108"/>
    </row>
    <row r="113">
      <c r="A113" s="118" t="s">
        <v>303</v>
      </c>
      <c r="B113" s="98"/>
      <c r="C113" s="98">
        <f t="shared" ref="C113:BV113" si="140">SUM(C73:C111)</f>
        <v>0</v>
      </c>
      <c r="D113" s="98">
        <f t="shared" si="140"/>
        <v>0</v>
      </c>
      <c r="E113" s="98">
        <f t="shared" si="140"/>
        <v>0</v>
      </c>
      <c r="F113" s="98">
        <f t="shared" si="140"/>
        <v>0</v>
      </c>
      <c r="G113" s="98">
        <f t="shared" si="140"/>
        <v>0</v>
      </c>
      <c r="H113" s="98">
        <f t="shared" si="140"/>
        <v>0</v>
      </c>
      <c r="I113" s="98">
        <f t="shared" si="140"/>
        <v>27.86875</v>
      </c>
      <c r="J113" s="98">
        <f t="shared" si="140"/>
        <v>3961.798268</v>
      </c>
      <c r="K113" s="98">
        <f t="shared" si="140"/>
        <v>31276.1938</v>
      </c>
      <c r="L113" s="98">
        <f t="shared" si="140"/>
        <v>31819.04588</v>
      </c>
      <c r="M113" s="98">
        <f t="shared" si="140"/>
        <v>31957.3255</v>
      </c>
      <c r="N113" s="98">
        <f t="shared" si="140"/>
        <v>34844.91776</v>
      </c>
      <c r="O113" s="98">
        <f t="shared" si="140"/>
        <v>36895.32203</v>
      </c>
      <c r="P113" s="98">
        <f t="shared" si="140"/>
        <v>63006.3535</v>
      </c>
      <c r="Q113" s="98">
        <f t="shared" si="140"/>
        <v>75790.85537</v>
      </c>
      <c r="R113" s="98">
        <f t="shared" si="140"/>
        <v>94106.506</v>
      </c>
      <c r="S113" s="98">
        <f t="shared" si="140"/>
        <v>94304.02534</v>
      </c>
      <c r="T113" s="98">
        <f t="shared" si="140"/>
        <v>179817.7386</v>
      </c>
      <c r="U113" s="98">
        <f t="shared" si="140"/>
        <v>180031.9171</v>
      </c>
      <c r="V113" s="98">
        <f t="shared" si="140"/>
        <v>200383.7371</v>
      </c>
      <c r="W113" s="98">
        <f t="shared" si="140"/>
        <v>200615.765</v>
      </c>
      <c r="X113" s="98">
        <f t="shared" si="140"/>
        <v>223522.1871</v>
      </c>
      <c r="Y113" s="98">
        <f t="shared" si="140"/>
        <v>223759.3253</v>
      </c>
      <c r="Z113" s="98">
        <f t="shared" si="140"/>
        <v>223996.7559</v>
      </c>
      <c r="AA113" s="98">
        <f t="shared" si="140"/>
        <v>240416.8025</v>
      </c>
      <c r="AB113" s="98">
        <f t="shared" si="140"/>
        <v>240656.9594</v>
      </c>
      <c r="AC113" s="98">
        <f t="shared" si="140"/>
        <v>244022.6308</v>
      </c>
      <c r="AD113" s="98">
        <f t="shared" si="140"/>
        <v>244291.2678</v>
      </c>
      <c r="AE113" s="98">
        <f t="shared" si="140"/>
        <v>244564.0172</v>
      </c>
      <c r="AF113" s="98">
        <f t="shared" si="140"/>
        <v>244774.7672</v>
      </c>
      <c r="AG113" s="98">
        <f t="shared" si="140"/>
        <v>244990.0172</v>
      </c>
      <c r="AH113" s="98">
        <f t="shared" si="140"/>
        <v>245207.5172</v>
      </c>
      <c r="AI113" s="98">
        <f t="shared" si="140"/>
        <v>245425.7672</v>
      </c>
      <c r="AJ113" s="98">
        <f t="shared" si="140"/>
        <v>245642.5172</v>
      </c>
      <c r="AK113" s="98">
        <f t="shared" si="140"/>
        <v>245861.5172</v>
      </c>
      <c r="AL113" s="98">
        <f t="shared" si="140"/>
        <v>246085.0172</v>
      </c>
      <c r="AM113" s="98">
        <f t="shared" si="140"/>
        <v>246303.2672</v>
      </c>
      <c r="AN113" s="98">
        <f t="shared" si="140"/>
        <v>246528.2672</v>
      </c>
      <c r="AO113" s="98">
        <f t="shared" si="140"/>
        <v>246753.2672</v>
      </c>
      <c r="AP113" s="98">
        <f t="shared" si="140"/>
        <v>246976.0172</v>
      </c>
      <c r="AQ113" s="98">
        <f t="shared" si="140"/>
        <v>247204.7672</v>
      </c>
      <c r="AR113" s="98">
        <f t="shared" si="140"/>
        <v>247432.0172</v>
      </c>
      <c r="AS113" s="98">
        <f t="shared" si="140"/>
        <v>247659.2672</v>
      </c>
      <c r="AT113" s="98">
        <f t="shared" si="140"/>
        <v>247891.0172</v>
      </c>
      <c r="AU113" s="98">
        <f t="shared" si="140"/>
        <v>248119.7672</v>
      </c>
      <c r="AV113" s="98">
        <f t="shared" si="140"/>
        <v>248354.5172</v>
      </c>
      <c r="AW113" s="98">
        <f t="shared" si="140"/>
        <v>248588.5172</v>
      </c>
      <c r="AX113" s="98">
        <f t="shared" si="140"/>
        <v>248820.2672</v>
      </c>
      <c r="AY113" s="98">
        <f t="shared" si="140"/>
        <v>249057.2672</v>
      </c>
      <c r="AZ113" s="98">
        <f t="shared" si="140"/>
        <v>249296.5172</v>
      </c>
      <c r="BA113" s="98">
        <f t="shared" si="140"/>
        <v>249532.0172</v>
      </c>
      <c r="BB113" s="98">
        <f t="shared" si="140"/>
        <v>249772.0172</v>
      </c>
      <c r="BC113" s="98">
        <f t="shared" si="140"/>
        <v>250013.5172</v>
      </c>
      <c r="BD113" s="98">
        <f t="shared" si="140"/>
        <v>250256.5172</v>
      </c>
      <c r="BE113" s="98">
        <f t="shared" si="140"/>
        <v>250501.0172</v>
      </c>
      <c r="BF113" s="98">
        <f t="shared" si="140"/>
        <v>250745.5172</v>
      </c>
      <c r="BG113" s="98">
        <f t="shared" si="140"/>
        <v>250991.5172</v>
      </c>
      <c r="BH113" s="98">
        <f t="shared" si="140"/>
        <v>251240.5172</v>
      </c>
      <c r="BI113" s="98">
        <f t="shared" si="140"/>
        <v>251489.5172</v>
      </c>
      <c r="BJ113" s="98">
        <f t="shared" si="140"/>
        <v>251741.5172</v>
      </c>
      <c r="BK113" s="98">
        <f t="shared" si="140"/>
        <v>251990.5172</v>
      </c>
      <c r="BL113" s="98">
        <f t="shared" si="140"/>
        <v>252243.2672</v>
      </c>
      <c r="BM113" s="98">
        <f t="shared" si="140"/>
        <v>252498.2672</v>
      </c>
      <c r="BN113" s="98">
        <f t="shared" si="140"/>
        <v>252756.2672</v>
      </c>
      <c r="BO113" s="98">
        <f t="shared" si="140"/>
        <v>253012.7672</v>
      </c>
      <c r="BP113" s="98">
        <f t="shared" si="140"/>
        <v>253272.2672</v>
      </c>
      <c r="BQ113" s="98">
        <f t="shared" si="140"/>
        <v>253532.5172</v>
      </c>
      <c r="BR113" s="98">
        <f t="shared" si="140"/>
        <v>253795.7672</v>
      </c>
      <c r="BS113" s="98">
        <f t="shared" si="140"/>
        <v>254058.2672</v>
      </c>
      <c r="BT113" s="98">
        <f t="shared" si="140"/>
        <v>254323.0172</v>
      </c>
      <c r="BU113" s="98">
        <f t="shared" si="140"/>
        <v>254590.0172</v>
      </c>
      <c r="BV113" s="98">
        <f t="shared" si="140"/>
        <v>254857.7672</v>
      </c>
      <c r="BW113" s="119"/>
    </row>
    <row r="114">
      <c r="A114" s="10"/>
      <c r="B114" s="39"/>
      <c r="C114" s="20" t="s">
        <v>231</v>
      </c>
      <c r="D114" s="20" t="s">
        <v>231</v>
      </c>
      <c r="E114" s="20" t="s">
        <v>231</v>
      </c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20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  <c r="BE114" s="107"/>
      <c r="BF114" s="107"/>
      <c r="BG114" s="107"/>
      <c r="BH114" s="107"/>
      <c r="BI114" s="107"/>
      <c r="BJ114" s="107"/>
      <c r="BK114" s="107"/>
      <c r="BL114" s="107"/>
      <c r="BM114" s="107"/>
      <c r="BN114" s="107"/>
      <c r="BO114" s="107"/>
      <c r="BP114" s="107"/>
      <c r="BQ114" s="107"/>
      <c r="BR114" s="107"/>
      <c r="BS114" s="107"/>
      <c r="BT114" s="107"/>
      <c r="BU114" s="107"/>
      <c r="BV114" s="107"/>
      <c r="BW114" s="108"/>
    </row>
    <row r="115">
      <c r="A115" s="38" t="s">
        <v>304</v>
      </c>
      <c r="B115" s="39"/>
      <c r="C115" s="20" t="s">
        <v>231</v>
      </c>
      <c r="D115" s="107" t="s">
        <v>231</v>
      </c>
      <c r="E115" s="107" t="s">
        <v>231</v>
      </c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20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  <c r="BE115" s="107"/>
      <c r="BF115" s="107"/>
      <c r="BG115" s="107"/>
      <c r="BH115" s="107"/>
      <c r="BI115" s="107"/>
      <c r="BJ115" s="107"/>
      <c r="BK115" s="107"/>
      <c r="BL115" s="107"/>
      <c r="BM115" s="107"/>
      <c r="BN115" s="107"/>
      <c r="BO115" s="107"/>
      <c r="BP115" s="107"/>
      <c r="BQ115" s="107"/>
      <c r="BR115" s="107"/>
      <c r="BS115" s="107"/>
      <c r="BT115" s="107"/>
      <c r="BU115" s="107"/>
      <c r="BV115" s="107"/>
      <c r="BW115" s="108"/>
    </row>
    <row r="116">
      <c r="A116" s="41" t="s">
        <v>305</v>
      </c>
      <c r="B116" s="7"/>
      <c r="C116" s="41">
        <v>0.0</v>
      </c>
      <c r="D116" s="41">
        <v>0.0</v>
      </c>
      <c r="E116" s="41">
        <v>0.0</v>
      </c>
      <c r="F116" s="41">
        <v>0.0</v>
      </c>
      <c r="G116" s="41">
        <v>0.0</v>
      </c>
      <c r="H116" s="41">
        <v>0.0</v>
      </c>
      <c r="I116" s="41">
        <v>0.0</v>
      </c>
      <c r="J116" s="77">
        <v>450.0</v>
      </c>
      <c r="K116" s="41">
        <f t="shared" ref="K116:S116" si="141">J116</f>
        <v>450</v>
      </c>
      <c r="L116" s="41">
        <f t="shared" si="141"/>
        <v>450</v>
      </c>
      <c r="M116" s="41">
        <f t="shared" si="141"/>
        <v>450</v>
      </c>
      <c r="N116" s="41">
        <f t="shared" si="141"/>
        <v>450</v>
      </c>
      <c r="O116" s="41">
        <f t="shared" si="141"/>
        <v>450</v>
      </c>
      <c r="P116" s="41">
        <f t="shared" si="141"/>
        <v>450</v>
      </c>
      <c r="Q116" s="41">
        <f t="shared" si="141"/>
        <v>450</v>
      </c>
      <c r="R116" s="41">
        <f t="shared" si="141"/>
        <v>450</v>
      </c>
      <c r="S116" s="41">
        <f t="shared" si="141"/>
        <v>450</v>
      </c>
      <c r="T116" s="77">
        <v>1000.0</v>
      </c>
      <c r="U116" s="41">
        <f t="shared" ref="U116:BV116" si="142">T116</f>
        <v>1000</v>
      </c>
      <c r="V116" s="41">
        <f t="shared" si="142"/>
        <v>1000</v>
      </c>
      <c r="W116" s="41">
        <f t="shared" si="142"/>
        <v>1000</v>
      </c>
      <c r="X116" s="41">
        <f t="shared" si="142"/>
        <v>1000</v>
      </c>
      <c r="Y116" s="41">
        <f t="shared" si="142"/>
        <v>1000</v>
      </c>
      <c r="Z116" s="41">
        <f t="shared" si="142"/>
        <v>1000</v>
      </c>
      <c r="AA116" s="41">
        <f t="shared" si="142"/>
        <v>1000</v>
      </c>
      <c r="AB116" s="41">
        <f t="shared" si="142"/>
        <v>1000</v>
      </c>
      <c r="AC116" s="41">
        <f t="shared" si="142"/>
        <v>1000</v>
      </c>
      <c r="AD116" s="41">
        <f t="shared" si="142"/>
        <v>1000</v>
      </c>
      <c r="AE116" s="41">
        <f t="shared" si="142"/>
        <v>1000</v>
      </c>
      <c r="AF116" s="41">
        <f t="shared" si="142"/>
        <v>1000</v>
      </c>
      <c r="AG116" s="41">
        <f t="shared" si="142"/>
        <v>1000</v>
      </c>
      <c r="AH116" s="41">
        <f t="shared" si="142"/>
        <v>1000</v>
      </c>
      <c r="AI116" s="41">
        <f t="shared" si="142"/>
        <v>1000</v>
      </c>
      <c r="AJ116" s="41">
        <f t="shared" si="142"/>
        <v>1000</v>
      </c>
      <c r="AK116" s="41">
        <f t="shared" si="142"/>
        <v>1000</v>
      </c>
      <c r="AL116" s="41">
        <f t="shared" si="142"/>
        <v>1000</v>
      </c>
      <c r="AM116" s="41">
        <f t="shared" si="142"/>
        <v>1000</v>
      </c>
      <c r="AN116" s="41">
        <f t="shared" si="142"/>
        <v>1000</v>
      </c>
      <c r="AO116" s="41">
        <f t="shared" si="142"/>
        <v>1000</v>
      </c>
      <c r="AP116" s="41">
        <f t="shared" si="142"/>
        <v>1000</v>
      </c>
      <c r="AQ116" s="41">
        <f t="shared" si="142"/>
        <v>1000</v>
      </c>
      <c r="AR116" s="41">
        <f t="shared" si="142"/>
        <v>1000</v>
      </c>
      <c r="AS116" s="41">
        <f t="shared" si="142"/>
        <v>1000</v>
      </c>
      <c r="AT116" s="41">
        <f t="shared" si="142"/>
        <v>1000</v>
      </c>
      <c r="AU116" s="41">
        <f t="shared" si="142"/>
        <v>1000</v>
      </c>
      <c r="AV116" s="41">
        <f t="shared" si="142"/>
        <v>1000</v>
      </c>
      <c r="AW116" s="41">
        <f t="shared" si="142"/>
        <v>1000</v>
      </c>
      <c r="AX116" s="41">
        <f t="shared" si="142"/>
        <v>1000</v>
      </c>
      <c r="AY116" s="41">
        <f t="shared" si="142"/>
        <v>1000</v>
      </c>
      <c r="AZ116" s="41">
        <f t="shared" si="142"/>
        <v>1000</v>
      </c>
      <c r="BA116" s="41">
        <f t="shared" si="142"/>
        <v>1000</v>
      </c>
      <c r="BB116" s="41">
        <f t="shared" si="142"/>
        <v>1000</v>
      </c>
      <c r="BC116" s="41">
        <f t="shared" si="142"/>
        <v>1000</v>
      </c>
      <c r="BD116" s="41">
        <f t="shared" si="142"/>
        <v>1000</v>
      </c>
      <c r="BE116" s="41">
        <f t="shared" si="142"/>
        <v>1000</v>
      </c>
      <c r="BF116" s="41">
        <f t="shared" si="142"/>
        <v>1000</v>
      </c>
      <c r="BG116" s="41">
        <f t="shared" si="142"/>
        <v>1000</v>
      </c>
      <c r="BH116" s="41">
        <f t="shared" si="142"/>
        <v>1000</v>
      </c>
      <c r="BI116" s="41">
        <f t="shared" si="142"/>
        <v>1000</v>
      </c>
      <c r="BJ116" s="41">
        <f t="shared" si="142"/>
        <v>1000</v>
      </c>
      <c r="BK116" s="41">
        <f t="shared" si="142"/>
        <v>1000</v>
      </c>
      <c r="BL116" s="41">
        <f t="shared" si="142"/>
        <v>1000</v>
      </c>
      <c r="BM116" s="41">
        <f t="shared" si="142"/>
        <v>1000</v>
      </c>
      <c r="BN116" s="41">
        <f t="shared" si="142"/>
        <v>1000</v>
      </c>
      <c r="BO116" s="41">
        <f t="shared" si="142"/>
        <v>1000</v>
      </c>
      <c r="BP116" s="41">
        <f t="shared" si="142"/>
        <v>1000</v>
      </c>
      <c r="BQ116" s="41">
        <f t="shared" si="142"/>
        <v>1000</v>
      </c>
      <c r="BR116" s="41">
        <f t="shared" si="142"/>
        <v>1000</v>
      </c>
      <c r="BS116" s="41">
        <f t="shared" si="142"/>
        <v>1000</v>
      </c>
      <c r="BT116" s="41">
        <f t="shared" si="142"/>
        <v>1000</v>
      </c>
      <c r="BU116" s="41">
        <f t="shared" si="142"/>
        <v>1000</v>
      </c>
      <c r="BV116" s="41">
        <f t="shared" si="142"/>
        <v>1000</v>
      </c>
      <c r="BW116" s="67"/>
    </row>
    <row r="117">
      <c r="A117" s="41" t="s">
        <v>306</v>
      </c>
      <c r="B117" s="7"/>
      <c r="C117" s="41">
        <v>0.0</v>
      </c>
      <c r="D117" s="41">
        <v>0.0</v>
      </c>
      <c r="E117" s="41">
        <v>0.0</v>
      </c>
      <c r="F117" s="41">
        <v>0.0</v>
      </c>
      <c r="G117" s="41">
        <v>0.0</v>
      </c>
      <c r="H117" s="41">
        <v>0.0</v>
      </c>
      <c r="I117" s="41">
        <v>0.0</v>
      </c>
      <c r="J117" s="77">
        <v>500.0</v>
      </c>
      <c r="K117" s="41">
        <f t="shared" ref="K117:S117" si="143">J117</f>
        <v>500</v>
      </c>
      <c r="L117" s="41">
        <f t="shared" si="143"/>
        <v>500</v>
      </c>
      <c r="M117" s="41">
        <f t="shared" si="143"/>
        <v>500</v>
      </c>
      <c r="N117" s="41">
        <f t="shared" si="143"/>
        <v>500</v>
      </c>
      <c r="O117" s="41">
        <f t="shared" si="143"/>
        <v>500</v>
      </c>
      <c r="P117" s="41">
        <f t="shared" si="143"/>
        <v>500</v>
      </c>
      <c r="Q117" s="41">
        <f t="shared" si="143"/>
        <v>500</v>
      </c>
      <c r="R117" s="41">
        <f t="shared" si="143"/>
        <v>500</v>
      </c>
      <c r="S117" s="41">
        <f t="shared" si="143"/>
        <v>500</v>
      </c>
      <c r="T117" s="77">
        <v>2500.0</v>
      </c>
      <c r="U117" s="41">
        <f t="shared" ref="U117:BV117" si="144">T117</f>
        <v>2500</v>
      </c>
      <c r="V117" s="41">
        <f t="shared" si="144"/>
        <v>2500</v>
      </c>
      <c r="W117" s="41">
        <f t="shared" si="144"/>
        <v>2500</v>
      </c>
      <c r="X117" s="41">
        <f t="shared" si="144"/>
        <v>2500</v>
      </c>
      <c r="Y117" s="41">
        <f t="shared" si="144"/>
        <v>2500</v>
      </c>
      <c r="Z117" s="41">
        <f t="shared" si="144"/>
        <v>2500</v>
      </c>
      <c r="AA117" s="41">
        <f t="shared" si="144"/>
        <v>2500</v>
      </c>
      <c r="AB117" s="41">
        <f t="shared" si="144"/>
        <v>2500</v>
      </c>
      <c r="AC117" s="41">
        <f t="shared" si="144"/>
        <v>2500</v>
      </c>
      <c r="AD117" s="41">
        <f t="shared" si="144"/>
        <v>2500</v>
      </c>
      <c r="AE117" s="41">
        <f t="shared" si="144"/>
        <v>2500</v>
      </c>
      <c r="AF117" s="41">
        <f t="shared" si="144"/>
        <v>2500</v>
      </c>
      <c r="AG117" s="41">
        <f t="shared" si="144"/>
        <v>2500</v>
      </c>
      <c r="AH117" s="41">
        <f t="shared" si="144"/>
        <v>2500</v>
      </c>
      <c r="AI117" s="41">
        <f t="shared" si="144"/>
        <v>2500</v>
      </c>
      <c r="AJ117" s="41">
        <f t="shared" si="144"/>
        <v>2500</v>
      </c>
      <c r="AK117" s="41">
        <f t="shared" si="144"/>
        <v>2500</v>
      </c>
      <c r="AL117" s="41">
        <f t="shared" si="144"/>
        <v>2500</v>
      </c>
      <c r="AM117" s="41">
        <f t="shared" si="144"/>
        <v>2500</v>
      </c>
      <c r="AN117" s="41">
        <f t="shared" si="144"/>
        <v>2500</v>
      </c>
      <c r="AO117" s="41">
        <f t="shared" si="144"/>
        <v>2500</v>
      </c>
      <c r="AP117" s="41">
        <f t="shared" si="144"/>
        <v>2500</v>
      </c>
      <c r="AQ117" s="41">
        <f t="shared" si="144"/>
        <v>2500</v>
      </c>
      <c r="AR117" s="41">
        <f t="shared" si="144"/>
        <v>2500</v>
      </c>
      <c r="AS117" s="41">
        <f t="shared" si="144"/>
        <v>2500</v>
      </c>
      <c r="AT117" s="41">
        <f t="shared" si="144"/>
        <v>2500</v>
      </c>
      <c r="AU117" s="41">
        <f t="shared" si="144"/>
        <v>2500</v>
      </c>
      <c r="AV117" s="41">
        <f t="shared" si="144"/>
        <v>2500</v>
      </c>
      <c r="AW117" s="41">
        <f t="shared" si="144"/>
        <v>2500</v>
      </c>
      <c r="AX117" s="41">
        <f t="shared" si="144"/>
        <v>2500</v>
      </c>
      <c r="AY117" s="41">
        <f t="shared" si="144"/>
        <v>2500</v>
      </c>
      <c r="AZ117" s="41">
        <f t="shared" si="144"/>
        <v>2500</v>
      </c>
      <c r="BA117" s="41">
        <f t="shared" si="144"/>
        <v>2500</v>
      </c>
      <c r="BB117" s="41">
        <f t="shared" si="144"/>
        <v>2500</v>
      </c>
      <c r="BC117" s="41">
        <f t="shared" si="144"/>
        <v>2500</v>
      </c>
      <c r="BD117" s="41">
        <f t="shared" si="144"/>
        <v>2500</v>
      </c>
      <c r="BE117" s="41">
        <f t="shared" si="144"/>
        <v>2500</v>
      </c>
      <c r="BF117" s="41">
        <f t="shared" si="144"/>
        <v>2500</v>
      </c>
      <c r="BG117" s="41">
        <f t="shared" si="144"/>
        <v>2500</v>
      </c>
      <c r="BH117" s="41">
        <f t="shared" si="144"/>
        <v>2500</v>
      </c>
      <c r="BI117" s="41">
        <f t="shared" si="144"/>
        <v>2500</v>
      </c>
      <c r="BJ117" s="41">
        <f t="shared" si="144"/>
        <v>2500</v>
      </c>
      <c r="BK117" s="41">
        <f t="shared" si="144"/>
        <v>2500</v>
      </c>
      <c r="BL117" s="41">
        <f t="shared" si="144"/>
        <v>2500</v>
      </c>
      <c r="BM117" s="41">
        <f t="shared" si="144"/>
        <v>2500</v>
      </c>
      <c r="BN117" s="41">
        <f t="shared" si="144"/>
        <v>2500</v>
      </c>
      <c r="BO117" s="41">
        <f t="shared" si="144"/>
        <v>2500</v>
      </c>
      <c r="BP117" s="41">
        <f t="shared" si="144"/>
        <v>2500</v>
      </c>
      <c r="BQ117" s="41">
        <f t="shared" si="144"/>
        <v>2500</v>
      </c>
      <c r="BR117" s="41">
        <f t="shared" si="144"/>
        <v>2500</v>
      </c>
      <c r="BS117" s="41">
        <f t="shared" si="144"/>
        <v>2500</v>
      </c>
      <c r="BT117" s="41">
        <f t="shared" si="144"/>
        <v>2500</v>
      </c>
      <c r="BU117" s="41">
        <f t="shared" si="144"/>
        <v>2500</v>
      </c>
      <c r="BV117" s="41">
        <f t="shared" si="144"/>
        <v>2500</v>
      </c>
      <c r="BW117" s="67"/>
    </row>
    <row r="118">
      <c r="A118" s="41" t="s">
        <v>307</v>
      </c>
      <c r="B118" s="7"/>
      <c r="C118" s="41">
        <v>0.0</v>
      </c>
      <c r="D118" s="41">
        <v>0.0</v>
      </c>
      <c r="E118" s="41">
        <v>0.0</v>
      </c>
      <c r="F118" s="41">
        <v>0.0</v>
      </c>
      <c r="G118" s="41">
        <v>0.0</v>
      </c>
      <c r="H118" s="41">
        <v>0.0</v>
      </c>
      <c r="I118" s="41">
        <v>0.0</v>
      </c>
      <c r="J118" s="77">
        <v>200.0</v>
      </c>
      <c r="K118" s="41">
        <f t="shared" ref="K118:S118" si="145">J118</f>
        <v>200</v>
      </c>
      <c r="L118" s="41">
        <f t="shared" si="145"/>
        <v>200</v>
      </c>
      <c r="M118" s="41">
        <f t="shared" si="145"/>
        <v>200</v>
      </c>
      <c r="N118" s="41">
        <f t="shared" si="145"/>
        <v>200</v>
      </c>
      <c r="O118" s="41">
        <f t="shared" si="145"/>
        <v>200</v>
      </c>
      <c r="P118" s="41">
        <f t="shared" si="145"/>
        <v>200</v>
      </c>
      <c r="Q118" s="41">
        <f t="shared" si="145"/>
        <v>200</v>
      </c>
      <c r="R118" s="41">
        <f t="shared" si="145"/>
        <v>200</v>
      </c>
      <c r="S118" s="41">
        <f t="shared" si="145"/>
        <v>200</v>
      </c>
      <c r="T118" s="77">
        <v>600.0</v>
      </c>
      <c r="U118" s="41">
        <f t="shared" ref="U118:BV118" si="146">T118</f>
        <v>600</v>
      </c>
      <c r="V118" s="41">
        <f t="shared" si="146"/>
        <v>600</v>
      </c>
      <c r="W118" s="41">
        <f t="shared" si="146"/>
        <v>600</v>
      </c>
      <c r="X118" s="41">
        <f t="shared" si="146"/>
        <v>600</v>
      </c>
      <c r="Y118" s="41">
        <f t="shared" si="146"/>
        <v>600</v>
      </c>
      <c r="Z118" s="41">
        <f t="shared" si="146"/>
        <v>600</v>
      </c>
      <c r="AA118" s="41">
        <f t="shared" si="146"/>
        <v>600</v>
      </c>
      <c r="AB118" s="41">
        <f t="shared" si="146"/>
        <v>600</v>
      </c>
      <c r="AC118" s="41">
        <f t="shared" si="146"/>
        <v>600</v>
      </c>
      <c r="AD118" s="41">
        <f t="shared" si="146"/>
        <v>600</v>
      </c>
      <c r="AE118" s="41">
        <f t="shared" si="146"/>
        <v>600</v>
      </c>
      <c r="AF118" s="41">
        <f t="shared" si="146"/>
        <v>600</v>
      </c>
      <c r="AG118" s="41">
        <f t="shared" si="146"/>
        <v>600</v>
      </c>
      <c r="AH118" s="41">
        <f t="shared" si="146"/>
        <v>600</v>
      </c>
      <c r="AI118" s="41">
        <f t="shared" si="146"/>
        <v>600</v>
      </c>
      <c r="AJ118" s="41">
        <f t="shared" si="146"/>
        <v>600</v>
      </c>
      <c r="AK118" s="41">
        <f t="shared" si="146"/>
        <v>600</v>
      </c>
      <c r="AL118" s="41">
        <f t="shared" si="146"/>
        <v>600</v>
      </c>
      <c r="AM118" s="41">
        <f t="shared" si="146"/>
        <v>600</v>
      </c>
      <c r="AN118" s="41">
        <f t="shared" si="146"/>
        <v>600</v>
      </c>
      <c r="AO118" s="41">
        <f t="shared" si="146"/>
        <v>600</v>
      </c>
      <c r="AP118" s="41">
        <f t="shared" si="146"/>
        <v>600</v>
      </c>
      <c r="AQ118" s="41">
        <f t="shared" si="146"/>
        <v>600</v>
      </c>
      <c r="AR118" s="41">
        <f t="shared" si="146"/>
        <v>600</v>
      </c>
      <c r="AS118" s="41">
        <f t="shared" si="146"/>
        <v>600</v>
      </c>
      <c r="AT118" s="41">
        <f t="shared" si="146"/>
        <v>600</v>
      </c>
      <c r="AU118" s="41">
        <f t="shared" si="146"/>
        <v>600</v>
      </c>
      <c r="AV118" s="41">
        <f t="shared" si="146"/>
        <v>600</v>
      </c>
      <c r="AW118" s="41">
        <f t="shared" si="146"/>
        <v>600</v>
      </c>
      <c r="AX118" s="41">
        <f t="shared" si="146"/>
        <v>600</v>
      </c>
      <c r="AY118" s="41">
        <f t="shared" si="146"/>
        <v>600</v>
      </c>
      <c r="AZ118" s="41">
        <f t="shared" si="146"/>
        <v>600</v>
      </c>
      <c r="BA118" s="41">
        <f t="shared" si="146"/>
        <v>600</v>
      </c>
      <c r="BB118" s="41">
        <f t="shared" si="146"/>
        <v>600</v>
      </c>
      <c r="BC118" s="41">
        <f t="shared" si="146"/>
        <v>600</v>
      </c>
      <c r="BD118" s="41">
        <f t="shared" si="146"/>
        <v>600</v>
      </c>
      <c r="BE118" s="41">
        <f t="shared" si="146"/>
        <v>600</v>
      </c>
      <c r="BF118" s="41">
        <f t="shared" si="146"/>
        <v>600</v>
      </c>
      <c r="BG118" s="41">
        <f t="shared" si="146"/>
        <v>600</v>
      </c>
      <c r="BH118" s="41">
        <f t="shared" si="146"/>
        <v>600</v>
      </c>
      <c r="BI118" s="41">
        <f t="shared" si="146"/>
        <v>600</v>
      </c>
      <c r="BJ118" s="41">
        <f t="shared" si="146"/>
        <v>600</v>
      </c>
      <c r="BK118" s="41">
        <f t="shared" si="146"/>
        <v>600</v>
      </c>
      <c r="BL118" s="41">
        <f t="shared" si="146"/>
        <v>600</v>
      </c>
      <c r="BM118" s="41">
        <f t="shared" si="146"/>
        <v>600</v>
      </c>
      <c r="BN118" s="41">
        <f t="shared" si="146"/>
        <v>600</v>
      </c>
      <c r="BO118" s="41">
        <f t="shared" si="146"/>
        <v>600</v>
      </c>
      <c r="BP118" s="41">
        <f t="shared" si="146"/>
        <v>600</v>
      </c>
      <c r="BQ118" s="41">
        <f t="shared" si="146"/>
        <v>600</v>
      </c>
      <c r="BR118" s="41">
        <f t="shared" si="146"/>
        <v>600</v>
      </c>
      <c r="BS118" s="41">
        <f t="shared" si="146"/>
        <v>600</v>
      </c>
      <c r="BT118" s="41">
        <f t="shared" si="146"/>
        <v>600</v>
      </c>
      <c r="BU118" s="41">
        <f t="shared" si="146"/>
        <v>600</v>
      </c>
      <c r="BV118" s="41">
        <f t="shared" si="146"/>
        <v>600</v>
      </c>
      <c r="BW118" s="67"/>
    </row>
    <row r="119">
      <c r="A119" s="77" t="s">
        <v>308</v>
      </c>
      <c r="B119" s="7"/>
      <c r="C119" s="41">
        <v>0.0</v>
      </c>
      <c r="D119" s="41">
        <v>0.0</v>
      </c>
      <c r="E119" s="41">
        <v>0.0</v>
      </c>
      <c r="F119" s="41">
        <v>0.0</v>
      </c>
      <c r="G119" s="41">
        <v>0.0</v>
      </c>
      <c r="H119" s="41">
        <v>0.0</v>
      </c>
      <c r="I119" s="41">
        <v>0.0</v>
      </c>
      <c r="J119" s="41">
        <v>0.0</v>
      </c>
      <c r="K119" s="41">
        <f t="shared" ref="K119:S119" si="147">J119</f>
        <v>0</v>
      </c>
      <c r="L119" s="41">
        <f t="shared" si="147"/>
        <v>0</v>
      </c>
      <c r="M119" s="41">
        <f t="shared" si="147"/>
        <v>0</v>
      </c>
      <c r="N119" s="41">
        <f t="shared" si="147"/>
        <v>0</v>
      </c>
      <c r="O119" s="41">
        <f t="shared" si="147"/>
        <v>0</v>
      </c>
      <c r="P119" s="41">
        <f t="shared" si="147"/>
        <v>0</v>
      </c>
      <c r="Q119" s="41">
        <f t="shared" si="147"/>
        <v>0</v>
      </c>
      <c r="R119" s="41">
        <f t="shared" si="147"/>
        <v>0</v>
      </c>
      <c r="S119" s="41">
        <f t="shared" si="147"/>
        <v>0</v>
      </c>
      <c r="T119" s="77">
        <v>1500.0</v>
      </c>
      <c r="U119" s="41">
        <f t="shared" ref="U119:BV119" si="148">T119</f>
        <v>1500</v>
      </c>
      <c r="V119" s="41">
        <f t="shared" si="148"/>
        <v>1500</v>
      </c>
      <c r="W119" s="41">
        <f t="shared" si="148"/>
        <v>1500</v>
      </c>
      <c r="X119" s="41">
        <f t="shared" si="148"/>
        <v>1500</v>
      </c>
      <c r="Y119" s="41">
        <f t="shared" si="148"/>
        <v>1500</v>
      </c>
      <c r="Z119" s="41">
        <f t="shared" si="148"/>
        <v>1500</v>
      </c>
      <c r="AA119" s="41">
        <f t="shared" si="148"/>
        <v>1500</v>
      </c>
      <c r="AB119" s="41">
        <f t="shared" si="148"/>
        <v>1500</v>
      </c>
      <c r="AC119" s="41">
        <f t="shared" si="148"/>
        <v>1500</v>
      </c>
      <c r="AD119" s="41">
        <f t="shared" si="148"/>
        <v>1500</v>
      </c>
      <c r="AE119" s="41">
        <f t="shared" si="148"/>
        <v>1500</v>
      </c>
      <c r="AF119" s="41">
        <f t="shared" si="148"/>
        <v>1500</v>
      </c>
      <c r="AG119" s="41">
        <f t="shared" si="148"/>
        <v>1500</v>
      </c>
      <c r="AH119" s="41">
        <f t="shared" si="148"/>
        <v>1500</v>
      </c>
      <c r="AI119" s="41">
        <f t="shared" si="148"/>
        <v>1500</v>
      </c>
      <c r="AJ119" s="41">
        <f t="shared" si="148"/>
        <v>1500</v>
      </c>
      <c r="AK119" s="41">
        <f t="shared" si="148"/>
        <v>1500</v>
      </c>
      <c r="AL119" s="41">
        <f t="shared" si="148"/>
        <v>1500</v>
      </c>
      <c r="AM119" s="41">
        <f t="shared" si="148"/>
        <v>1500</v>
      </c>
      <c r="AN119" s="41">
        <f t="shared" si="148"/>
        <v>1500</v>
      </c>
      <c r="AO119" s="41">
        <f t="shared" si="148"/>
        <v>1500</v>
      </c>
      <c r="AP119" s="41">
        <f t="shared" si="148"/>
        <v>1500</v>
      </c>
      <c r="AQ119" s="41">
        <f t="shared" si="148"/>
        <v>1500</v>
      </c>
      <c r="AR119" s="41">
        <f t="shared" si="148"/>
        <v>1500</v>
      </c>
      <c r="AS119" s="41">
        <f t="shared" si="148"/>
        <v>1500</v>
      </c>
      <c r="AT119" s="41">
        <f t="shared" si="148"/>
        <v>1500</v>
      </c>
      <c r="AU119" s="41">
        <f t="shared" si="148"/>
        <v>1500</v>
      </c>
      <c r="AV119" s="41">
        <f t="shared" si="148"/>
        <v>1500</v>
      </c>
      <c r="AW119" s="41">
        <f t="shared" si="148"/>
        <v>1500</v>
      </c>
      <c r="AX119" s="41">
        <f t="shared" si="148"/>
        <v>1500</v>
      </c>
      <c r="AY119" s="41">
        <f t="shared" si="148"/>
        <v>1500</v>
      </c>
      <c r="AZ119" s="41">
        <f t="shared" si="148"/>
        <v>1500</v>
      </c>
      <c r="BA119" s="41">
        <f t="shared" si="148"/>
        <v>1500</v>
      </c>
      <c r="BB119" s="41">
        <f t="shared" si="148"/>
        <v>1500</v>
      </c>
      <c r="BC119" s="41">
        <f t="shared" si="148"/>
        <v>1500</v>
      </c>
      <c r="BD119" s="41">
        <f t="shared" si="148"/>
        <v>1500</v>
      </c>
      <c r="BE119" s="41">
        <f t="shared" si="148"/>
        <v>1500</v>
      </c>
      <c r="BF119" s="41">
        <f t="shared" si="148"/>
        <v>1500</v>
      </c>
      <c r="BG119" s="41">
        <f t="shared" si="148"/>
        <v>1500</v>
      </c>
      <c r="BH119" s="41">
        <f t="shared" si="148"/>
        <v>1500</v>
      </c>
      <c r="BI119" s="41">
        <f t="shared" si="148"/>
        <v>1500</v>
      </c>
      <c r="BJ119" s="41">
        <f t="shared" si="148"/>
        <v>1500</v>
      </c>
      <c r="BK119" s="41">
        <f t="shared" si="148"/>
        <v>1500</v>
      </c>
      <c r="BL119" s="41">
        <f t="shared" si="148"/>
        <v>1500</v>
      </c>
      <c r="BM119" s="41">
        <f t="shared" si="148"/>
        <v>1500</v>
      </c>
      <c r="BN119" s="41">
        <f t="shared" si="148"/>
        <v>1500</v>
      </c>
      <c r="BO119" s="41">
        <f t="shared" si="148"/>
        <v>1500</v>
      </c>
      <c r="BP119" s="41">
        <f t="shared" si="148"/>
        <v>1500</v>
      </c>
      <c r="BQ119" s="41">
        <f t="shared" si="148"/>
        <v>1500</v>
      </c>
      <c r="BR119" s="41">
        <f t="shared" si="148"/>
        <v>1500</v>
      </c>
      <c r="BS119" s="41">
        <f t="shared" si="148"/>
        <v>1500</v>
      </c>
      <c r="BT119" s="41">
        <f t="shared" si="148"/>
        <v>1500</v>
      </c>
      <c r="BU119" s="41">
        <f t="shared" si="148"/>
        <v>1500</v>
      </c>
      <c r="BV119" s="41">
        <f t="shared" si="148"/>
        <v>1500</v>
      </c>
      <c r="BW119" s="67"/>
    </row>
    <row r="120">
      <c r="A120" s="10"/>
      <c r="B120" s="7"/>
      <c r="C120" s="107"/>
      <c r="D120" s="107"/>
      <c r="E120" s="107"/>
      <c r="F120" s="107"/>
      <c r="G120" s="107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67"/>
    </row>
    <row r="121">
      <c r="A121" s="121" t="s">
        <v>309</v>
      </c>
      <c r="B121" s="121"/>
      <c r="C121" s="121">
        <f t="shared" ref="C121:BV121" si="149">SUM(C116:C120)</f>
        <v>0</v>
      </c>
      <c r="D121" s="121">
        <f t="shared" si="149"/>
        <v>0</v>
      </c>
      <c r="E121" s="121">
        <f t="shared" si="149"/>
        <v>0</v>
      </c>
      <c r="F121" s="121">
        <f t="shared" si="149"/>
        <v>0</v>
      </c>
      <c r="G121" s="121">
        <f t="shared" si="149"/>
        <v>0</v>
      </c>
      <c r="H121" s="121">
        <f t="shared" si="149"/>
        <v>0</v>
      </c>
      <c r="I121" s="121">
        <f t="shared" si="149"/>
        <v>0</v>
      </c>
      <c r="J121" s="121">
        <f t="shared" si="149"/>
        <v>1150</v>
      </c>
      <c r="K121" s="121">
        <f t="shared" si="149"/>
        <v>1150</v>
      </c>
      <c r="L121" s="121">
        <f t="shared" si="149"/>
        <v>1150</v>
      </c>
      <c r="M121" s="121">
        <f t="shared" si="149"/>
        <v>1150</v>
      </c>
      <c r="N121" s="121">
        <f t="shared" si="149"/>
        <v>1150</v>
      </c>
      <c r="O121" s="121">
        <f t="shared" si="149"/>
        <v>1150</v>
      </c>
      <c r="P121" s="121">
        <f t="shared" si="149"/>
        <v>1150</v>
      </c>
      <c r="Q121" s="121">
        <f t="shared" si="149"/>
        <v>1150</v>
      </c>
      <c r="R121" s="121">
        <f t="shared" si="149"/>
        <v>1150</v>
      </c>
      <c r="S121" s="121">
        <f t="shared" si="149"/>
        <v>1150</v>
      </c>
      <c r="T121" s="121">
        <f t="shared" si="149"/>
        <v>5600</v>
      </c>
      <c r="U121" s="121">
        <f t="shared" si="149"/>
        <v>5600</v>
      </c>
      <c r="V121" s="121">
        <f t="shared" si="149"/>
        <v>5600</v>
      </c>
      <c r="W121" s="121">
        <f t="shared" si="149"/>
        <v>5600</v>
      </c>
      <c r="X121" s="121">
        <f t="shared" si="149"/>
        <v>5600</v>
      </c>
      <c r="Y121" s="121">
        <f t="shared" si="149"/>
        <v>5600</v>
      </c>
      <c r="Z121" s="121">
        <f t="shared" si="149"/>
        <v>5600</v>
      </c>
      <c r="AA121" s="121">
        <f t="shared" si="149"/>
        <v>5600</v>
      </c>
      <c r="AB121" s="121">
        <f t="shared" si="149"/>
        <v>5600</v>
      </c>
      <c r="AC121" s="121">
        <f t="shared" si="149"/>
        <v>5600</v>
      </c>
      <c r="AD121" s="121">
        <f t="shared" si="149"/>
        <v>5600</v>
      </c>
      <c r="AE121" s="121">
        <f t="shared" si="149"/>
        <v>5600</v>
      </c>
      <c r="AF121" s="121">
        <f t="shared" si="149"/>
        <v>5600</v>
      </c>
      <c r="AG121" s="121">
        <f t="shared" si="149"/>
        <v>5600</v>
      </c>
      <c r="AH121" s="121">
        <f t="shared" si="149"/>
        <v>5600</v>
      </c>
      <c r="AI121" s="121">
        <f t="shared" si="149"/>
        <v>5600</v>
      </c>
      <c r="AJ121" s="121">
        <f t="shared" si="149"/>
        <v>5600</v>
      </c>
      <c r="AK121" s="121">
        <f t="shared" si="149"/>
        <v>5600</v>
      </c>
      <c r="AL121" s="121">
        <f t="shared" si="149"/>
        <v>5600</v>
      </c>
      <c r="AM121" s="121">
        <f t="shared" si="149"/>
        <v>5600</v>
      </c>
      <c r="AN121" s="121">
        <f t="shared" si="149"/>
        <v>5600</v>
      </c>
      <c r="AO121" s="121">
        <f t="shared" si="149"/>
        <v>5600</v>
      </c>
      <c r="AP121" s="121">
        <f t="shared" si="149"/>
        <v>5600</v>
      </c>
      <c r="AQ121" s="121">
        <f t="shared" si="149"/>
        <v>5600</v>
      </c>
      <c r="AR121" s="121">
        <f t="shared" si="149"/>
        <v>5600</v>
      </c>
      <c r="AS121" s="121">
        <f t="shared" si="149"/>
        <v>5600</v>
      </c>
      <c r="AT121" s="121">
        <f t="shared" si="149"/>
        <v>5600</v>
      </c>
      <c r="AU121" s="121">
        <f t="shared" si="149"/>
        <v>5600</v>
      </c>
      <c r="AV121" s="121">
        <f t="shared" si="149"/>
        <v>5600</v>
      </c>
      <c r="AW121" s="121">
        <f t="shared" si="149"/>
        <v>5600</v>
      </c>
      <c r="AX121" s="121">
        <f t="shared" si="149"/>
        <v>5600</v>
      </c>
      <c r="AY121" s="121">
        <f t="shared" si="149"/>
        <v>5600</v>
      </c>
      <c r="AZ121" s="121">
        <f t="shared" si="149"/>
        <v>5600</v>
      </c>
      <c r="BA121" s="121">
        <f t="shared" si="149"/>
        <v>5600</v>
      </c>
      <c r="BB121" s="121">
        <f t="shared" si="149"/>
        <v>5600</v>
      </c>
      <c r="BC121" s="121">
        <f t="shared" si="149"/>
        <v>5600</v>
      </c>
      <c r="BD121" s="121">
        <f t="shared" si="149"/>
        <v>5600</v>
      </c>
      <c r="BE121" s="121">
        <f t="shared" si="149"/>
        <v>5600</v>
      </c>
      <c r="BF121" s="121">
        <f t="shared" si="149"/>
        <v>5600</v>
      </c>
      <c r="BG121" s="121">
        <f t="shared" si="149"/>
        <v>5600</v>
      </c>
      <c r="BH121" s="121">
        <f t="shared" si="149"/>
        <v>5600</v>
      </c>
      <c r="BI121" s="121">
        <f t="shared" si="149"/>
        <v>5600</v>
      </c>
      <c r="BJ121" s="121">
        <f t="shared" si="149"/>
        <v>5600</v>
      </c>
      <c r="BK121" s="121">
        <f t="shared" si="149"/>
        <v>5600</v>
      </c>
      <c r="BL121" s="121">
        <f t="shared" si="149"/>
        <v>5600</v>
      </c>
      <c r="BM121" s="121">
        <f t="shared" si="149"/>
        <v>5600</v>
      </c>
      <c r="BN121" s="121">
        <f t="shared" si="149"/>
        <v>5600</v>
      </c>
      <c r="BO121" s="121">
        <f t="shared" si="149"/>
        <v>5600</v>
      </c>
      <c r="BP121" s="121">
        <f t="shared" si="149"/>
        <v>5600</v>
      </c>
      <c r="BQ121" s="121">
        <f t="shared" si="149"/>
        <v>5600</v>
      </c>
      <c r="BR121" s="121">
        <f t="shared" si="149"/>
        <v>5600</v>
      </c>
      <c r="BS121" s="121">
        <f t="shared" si="149"/>
        <v>5600</v>
      </c>
      <c r="BT121" s="121">
        <f t="shared" si="149"/>
        <v>5600</v>
      </c>
      <c r="BU121" s="121">
        <f t="shared" si="149"/>
        <v>5600</v>
      </c>
      <c r="BV121" s="121">
        <f t="shared" si="149"/>
        <v>5600</v>
      </c>
      <c r="BW121" s="119"/>
    </row>
    <row r="122">
      <c r="A122" s="10"/>
      <c r="B122" s="39"/>
      <c r="C122" s="20" t="s">
        <v>231</v>
      </c>
      <c r="D122" s="20" t="s">
        <v>231</v>
      </c>
      <c r="E122" s="20" t="s">
        <v>231</v>
      </c>
      <c r="F122" s="20" t="s">
        <v>231</v>
      </c>
      <c r="G122" s="20" t="s">
        <v>231</v>
      </c>
      <c r="H122" s="20" t="s">
        <v>231</v>
      </c>
      <c r="I122" s="20" t="s">
        <v>231</v>
      </c>
      <c r="J122" s="20" t="s">
        <v>231</v>
      </c>
      <c r="K122" s="20" t="s">
        <v>231</v>
      </c>
      <c r="L122" s="20" t="s">
        <v>231</v>
      </c>
      <c r="M122" s="20" t="s">
        <v>231</v>
      </c>
      <c r="N122" s="20" t="s">
        <v>231</v>
      </c>
      <c r="O122" s="20" t="s">
        <v>231</v>
      </c>
      <c r="P122" s="20" t="s">
        <v>231</v>
      </c>
      <c r="Q122" s="20" t="s">
        <v>231</v>
      </c>
      <c r="R122" s="20" t="s">
        <v>231</v>
      </c>
      <c r="S122" s="20" t="s">
        <v>231</v>
      </c>
      <c r="T122" s="20" t="s">
        <v>231</v>
      </c>
      <c r="U122" s="20" t="s">
        <v>231</v>
      </c>
      <c r="V122" s="20" t="s">
        <v>231</v>
      </c>
      <c r="W122" s="20" t="s">
        <v>231</v>
      </c>
      <c r="X122" s="20" t="s">
        <v>231</v>
      </c>
      <c r="Y122" s="20" t="s">
        <v>231</v>
      </c>
      <c r="Z122" s="20" t="s">
        <v>231</v>
      </c>
      <c r="AA122" s="122" t="s">
        <v>231</v>
      </c>
      <c r="AB122" s="20" t="s">
        <v>231</v>
      </c>
      <c r="AC122" s="20" t="s">
        <v>231</v>
      </c>
      <c r="AD122" s="20" t="s">
        <v>231</v>
      </c>
      <c r="AE122" s="20" t="s">
        <v>231</v>
      </c>
      <c r="AF122" s="20" t="s">
        <v>231</v>
      </c>
      <c r="AG122" s="20" t="s">
        <v>231</v>
      </c>
      <c r="AH122" s="20" t="s">
        <v>231</v>
      </c>
      <c r="AI122" s="20" t="s">
        <v>231</v>
      </c>
      <c r="AJ122" s="20" t="s">
        <v>231</v>
      </c>
      <c r="AK122" s="20" t="s">
        <v>231</v>
      </c>
      <c r="AL122" s="20" t="s">
        <v>231</v>
      </c>
      <c r="AM122" s="20" t="s">
        <v>231</v>
      </c>
      <c r="AN122" s="20" t="s">
        <v>231</v>
      </c>
      <c r="AO122" s="20" t="s">
        <v>231</v>
      </c>
      <c r="AP122" s="20" t="s">
        <v>231</v>
      </c>
      <c r="AQ122" s="20" t="s">
        <v>231</v>
      </c>
      <c r="AR122" s="20" t="s">
        <v>231</v>
      </c>
      <c r="AS122" s="20" t="s">
        <v>231</v>
      </c>
      <c r="AT122" s="20" t="s">
        <v>231</v>
      </c>
      <c r="AU122" s="20" t="s">
        <v>231</v>
      </c>
      <c r="AV122" s="20" t="s">
        <v>231</v>
      </c>
      <c r="AW122" s="20" t="s">
        <v>231</v>
      </c>
      <c r="AX122" s="20" t="s">
        <v>231</v>
      </c>
      <c r="AY122" s="20" t="s">
        <v>231</v>
      </c>
      <c r="AZ122" s="20" t="s">
        <v>231</v>
      </c>
      <c r="BA122" s="20" t="s">
        <v>231</v>
      </c>
      <c r="BB122" s="20" t="s">
        <v>231</v>
      </c>
      <c r="BC122" s="20" t="s">
        <v>231</v>
      </c>
      <c r="BD122" s="20" t="s">
        <v>231</v>
      </c>
      <c r="BE122" s="20" t="s">
        <v>231</v>
      </c>
      <c r="BF122" s="20" t="s">
        <v>231</v>
      </c>
      <c r="BG122" s="20" t="s">
        <v>231</v>
      </c>
      <c r="BH122" s="20" t="s">
        <v>231</v>
      </c>
      <c r="BI122" s="20" t="s">
        <v>231</v>
      </c>
      <c r="BJ122" s="20" t="s">
        <v>231</v>
      </c>
      <c r="BK122" s="20" t="s">
        <v>231</v>
      </c>
      <c r="BL122" s="20" t="s">
        <v>231</v>
      </c>
      <c r="BM122" s="20" t="s">
        <v>231</v>
      </c>
      <c r="BN122" s="20" t="s">
        <v>231</v>
      </c>
      <c r="BO122" s="20" t="s">
        <v>231</v>
      </c>
      <c r="BP122" s="20" t="s">
        <v>231</v>
      </c>
      <c r="BQ122" s="20" t="s">
        <v>231</v>
      </c>
      <c r="BR122" s="20" t="s">
        <v>231</v>
      </c>
      <c r="BS122" s="20" t="s">
        <v>231</v>
      </c>
      <c r="BT122" s="20" t="s">
        <v>231</v>
      </c>
      <c r="BU122" s="20" t="s">
        <v>231</v>
      </c>
      <c r="BV122" s="20" t="s">
        <v>231</v>
      </c>
      <c r="BW122" s="40"/>
    </row>
    <row r="123">
      <c r="A123" s="38" t="s">
        <v>310</v>
      </c>
      <c r="B123" s="39"/>
      <c r="C123" s="20" t="s">
        <v>231</v>
      </c>
      <c r="D123" s="107" t="s">
        <v>231</v>
      </c>
      <c r="E123" s="10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20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G123" s="107"/>
      <c r="BH123" s="107"/>
      <c r="BI123" s="107"/>
      <c r="BJ123" s="107"/>
      <c r="BK123" s="107"/>
      <c r="BL123" s="107"/>
      <c r="BM123" s="107"/>
      <c r="BN123" s="107"/>
      <c r="BO123" s="107"/>
      <c r="BP123" s="107"/>
      <c r="BQ123" s="107"/>
      <c r="BR123" s="107"/>
      <c r="BS123" s="107"/>
      <c r="BT123" s="107"/>
      <c r="BU123" s="107"/>
      <c r="BV123" s="107"/>
      <c r="BW123" s="108"/>
    </row>
    <row r="124">
      <c r="A124" s="51" t="s">
        <v>311</v>
      </c>
      <c r="B124" s="7"/>
      <c r="C124" s="41">
        <f t="shared" ref="C124:BV124" si="150">C45*1% </f>
        <v>0</v>
      </c>
      <c r="D124" s="41">
        <f t="shared" si="150"/>
        <v>0</v>
      </c>
      <c r="E124" s="41">
        <f t="shared" si="150"/>
        <v>0</v>
      </c>
      <c r="F124" s="41">
        <f t="shared" si="150"/>
        <v>0</v>
      </c>
      <c r="G124" s="41">
        <f t="shared" si="150"/>
        <v>0</v>
      </c>
      <c r="H124" s="41">
        <f t="shared" si="150"/>
        <v>0</v>
      </c>
      <c r="I124" s="41">
        <f t="shared" si="150"/>
        <v>87.5</v>
      </c>
      <c r="J124" s="41">
        <f t="shared" si="150"/>
        <v>892.63</v>
      </c>
      <c r="K124" s="41">
        <f t="shared" si="150"/>
        <v>9100.57</v>
      </c>
      <c r="L124" s="41">
        <f t="shared" si="150"/>
        <v>9247.53</v>
      </c>
      <c r="M124" s="41">
        <f t="shared" si="150"/>
        <v>9291.03</v>
      </c>
      <c r="N124" s="41">
        <f t="shared" si="150"/>
        <v>9919.06</v>
      </c>
      <c r="O124" s="41">
        <f t="shared" si="150"/>
        <v>10317.39</v>
      </c>
      <c r="P124" s="41">
        <f t="shared" si="150"/>
        <v>16005.94</v>
      </c>
      <c r="Q124" s="41">
        <f t="shared" si="150"/>
        <v>20153.88</v>
      </c>
      <c r="R124" s="41">
        <f t="shared" si="150"/>
        <v>25139.06</v>
      </c>
      <c r="S124" s="41">
        <f t="shared" si="150"/>
        <v>25220.35</v>
      </c>
      <c r="T124" s="41">
        <f t="shared" si="150"/>
        <v>71774.51</v>
      </c>
      <c r="U124" s="41">
        <f t="shared" si="150"/>
        <v>71904.44</v>
      </c>
      <c r="V124" s="41">
        <f t="shared" si="150"/>
        <v>93384.73</v>
      </c>
      <c r="W124" s="41">
        <f t="shared" si="150"/>
        <v>93584.74</v>
      </c>
      <c r="X124" s="41">
        <f t="shared" si="150"/>
        <v>93785.75</v>
      </c>
      <c r="Y124" s="41">
        <f t="shared" si="150"/>
        <v>93987.87</v>
      </c>
      <c r="Z124" s="41">
        <f t="shared" si="150"/>
        <v>94191.01</v>
      </c>
      <c r="AA124" s="41">
        <f t="shared" si="150"/>
        <v>110495.22</v>
      </c>
      <c r="AB124" s="41">
        <f t="shared" si="150"/>
        <v>110715.84</v>
      </c>
      <c r="AC124" s="41">
        <f t="shared" si="150"/>
        <v>115437.57</v>
      </c>
      <c r="AD124" s="41">
        <f t="shared" si="150"/>
        <v>115700.16</v>
      </c>
      <c r="AE124" s="41">
        <f t="shared" si="150"/>
        <v>115964.29</v>
      </c>
      <c r="AF124" s="41">
        <f t="shared" si="150"/>
        <v>116229.88</v>
      </c>
      <c r="AG124" s="41">
        <f t="shared" si="150"/>
        <v>116496.93</v>
      </c>
      <c r="AH124" s="41">
        <f t="shared" si="150"/>
        <v>116765.51</v>
      </c>
      <c r="AI124" s="41">
        <f t="shared" si="150"/>
        <v>117035.62</v>
      </c>
      <c r="AJ124" s="41">
        <f t="shared" si="150"/>
        <v>117307.28</v>
      </c>
      <c r="AK124" s="41">
        <f t="shared" si="150"/>
        <v>117580.5</v>
      </c>
      <c r="AL124" s="41">
        <f t="shared" si="150"/>
        <v>117855.32</v>
      </c>
      <c r="AM124" s="41">
        <f t="shared" si="150"/>
        <v>118131.65</v>
      </c>
      <c r="AN124" s="41">
        <f t="shared" si="150"/>
        <v>118409.62</v>
      </c>
      <c r="AO124" s="41">
        <f t="shared" si="150"/>
        <v>118689.21</v>
      </c>
      <c r="AP124" s="41">
        <f t="shared" si="150"/>
        <v>118970.43</v>
      </c>
      <c r="AQ124" s="41">
        <f t="shared" si="150"/>
        <v>119253.25</v>
      </c>
      <c r="AR124" s="41">
        <f t="shared" si="150"/>
        <v>119537.78</v>
      </c>
      <c r="AS124" s="41">
        <f t="shared" si="150"/>
        <v>119823.98</v>
      </c>
      <c r="AT124" s="41">
        <f t="shared" si="150"/>
        <v>120111.83</v>
      </c>
      <c r="AU124" s="41">
        <f t="shared" si="150"/>
        <v>120401.37</v>
      </c>
      <c r="AV124" s="41">
        <f t="shared" si="150"/>
        <v>120692.65</v>
      </c>
      <c r="AW124" s="41">
        <f t="shared" si="150"/>
        <v>120985.67</v>
      </c>
      <c r="AX124" s="41">
        <f t="shared" si="150"/>
        <v>121280.49</v>
      </c>
      <c r="AY124" s="41">
        <f t="shared" si="150"/>
        <v>121577</v>
      </c>
      <c r="AZ124" s="41">
        <f t="shared" si="150"/>
        <v>121875.3</v>
      </c>
      <c r="BA124" s="41">
        <f t="shared" si="150"/>
        <v>122175.45</v>
      </c>
      <c r="BB124" s="41">
        <f t="shared" si="150"/>
        <v>122477.35</v>
      </c>
      <c r="BC124" s="41">
        <f t="shared" si="150"/>
        <v>122781.1</v>
      </c>
      <c r="BD124" s="41">
        <f t="shared" si="150"/>
        <v>123086.74</v>
      </c>
      <c r="BE124" s="41">
        <f t="shared" si="150"/>
        <v>123394.22</v>
      </c>
      <c r="BF124" s="41">
        <f t="shared" si="150"/>
        <v>123703.56</v>
      </c>
      <c r="BG124" s="41">
        <f t="shared" si="150"/>
        <v>124014.81</v>
      </c>
      <c r="BH124" s="41">
        <f t="shared" si="150"/>
        <v>124328.01</v>
      </c>
      <c r="BI124" s="41">
        <f t="shared" si="150"/>
        <v>124643.12</v>
      </c>
      <c r="BJ124" s="41">
        <f t="shared" si="150"/>
        <v>124960.15</v>
      </c>
      <c r="BK124" s="41">
        <f t="shared" si="150"/>
        <v>125279.18</v>
      </c>
      <c r="BL124" s="41">
        <f t="shared" si="150"/>
        <v>125600.22</v>
      </c>
      <c r="BM124" s="41">
        <f t="shared" si="150"/>
        <v>125923.26</v>
      </c>
      <c r="BN124" s="41">
        <f t="shared" si="150"/>
        <v>126248.32</v>
      </c>
      <c r="BO124" s="41">
        <f t="shared" si="150"/>
        <v>126575.39</v>
      </c>
      <c r="BP124" s="41">
        <f t="shared" si="150"/>
        <v>126904.58</v>
      </c>
      <c r="BQ124" s="41">
        <f t="shared" si="150"/>
        <v>127235.85</v>
      </c>
      <c r="BR124" s="41">
        <f t="shared" si="150"/>
        <v>127569.23</v>
      </c>
      <c r="BS124" s="41">
        <f t="shared" si="150"/>
        <v>127904.68</v>
      </c>
      <c r="BT124" s="41">
        <f t="shared" si="150"/>
        <v>128242.3</v>
      </c>
      <c r="BU124" s="41">
        <f t="shared" si="150"/>
        <v>128582.09</v>
      </c>
      <c r="BV124" s="41">
        <f t="shared" si="150"/>
        <v>128924.05</v>
      </c>
      <c r="BW124" s="67"/>
    </row>
    <row r="125">
      <c r="A125" s="51" t="s">
        <v>312</v>
      </c>
      <c r="B125" s="7"/>
      <c r="C125" s="41">
        <v>0.0</v>
      </c>
      <c r="D125" s="41">
        <v>0.0</v>
      </c>
      <c r="E125" s="41">
        <v>0.0</v>
      </c>
      <c r="F125" s="41">
        <v>0.0</v>
      </c>
      <c r="G125" s="41">
        <f t="shared" ref="G125:BV125" si="151">G45*0.03</f>
        <v>0</v>
      </c>
      <c r="H125" s="41">
        <f t="shared" si="151"/>
        <v>0</v>
      </c>
      <c r="I125" s="41">
        <f t="shared" si="151"/>
        <v>262.5</v>
      </c>
      <c r="J125" s="41">
        <f t="shared" si="151"/>
        <v>2677.89</v>
      </c>
      <c r="K125" s="41">
        <f t="shared" si="151"/>
        <v>27301.71</v>
      </c>
      <c r="L125" s="41">
        <f t="shared" si="151"/>
        <v>27742.59</v>
      </c>
      <c r="M125" s="41">
        <f t="shared" si="151"/>
        <v>27873.09</v>
      </c>
      <c r="N125" s="41">
        <f t="shared" si="151"/>
        <v>29757.18</v>
      </c>
      <c r="O125" s="41">
        <f t="shared" si="151"/>
        <v>30952.17</v>
      </c>
      <c r="P125" s="41">
        <f t="shared" si="151"/>
        <v>48017.82</v>
      </c>
      <c r="Q125" s="41">
        <f t="shared" si="151"/>
        <v>60461.64</v>
      </c>
      <c r="R125" s="41">
        <f t="shared" si="151"/>
        <v>75417.18</v>
      </c>
      <c r="S125" s="41">
        <f t="shared" si="151"/>
        <v>75661.05</v>
      </c>
      <c r="T125" s="41">
        <f t="shared" si="151"/>
        <v>215323.53</v>
      </c>
      <c r="U125" s="41">
        <f t="shared" si="151"/>
        <v>215713.32</v>
      </c>
      <c r="V125" s="41">
        <f t="shared" si="151"/>
        <v>280154.19</v>
      </c>
      <c r="W125" s="41">
        <f t="shared" si="151"/>
        <v>280754.22</v>
      </c>
      <c r="X125" s="41">
        <f t="shared" si="151"/>
        <v>281357.25</v>
      </c>
      <c r="Y125" s="41">
        <f t="shared" si="151"/>
        <v>281963.61</v>
      </c>
      <c r="Z125" s="41">
        <f t="shared" si="151"/>
        <v>282573.03</v>
      </c>
      <c r="AA125" s="41">
        <f t="shared" si="151"/>
        <v>331485.66</v>
      </c>
      <c r="AB125" s="41">
        <f t="shared" si="151"/>
        <v>332147.52</v>
      </c>
      <c r="AC125" s="41">
        <f t="shared" si="151"/>
        <v>346312.71</v>
      </c>
      <c r="AD125" s="41">
        <f t="shared" si="151"/>
        <v>347100.48</v>
      </c>
      <c r="AE125" s="41">
        <f t="shared" si="151"/>
        <v>347892.87</v>
      </c>
      <c r="AF125" s="41">
        <f t="shared" si="151"/>
        <v>348689.64</v>
      </c>
      <c r="AG125" s="41">
        <f t="shared" si="151"/>
        <v>349490.79</v>
      </c>
      <c r="AH125" s="41">
        <f t="shared" si="151"/>
        <v>350296.53</v>
      </c>
      <c r="AI125" s="41">
        <f t="shared" si="151"/>
        <v>351106.86</v>
      </c>
      <c r="AJ125" s="41">
        <f t="shared" si="151"/>
        <v>351921.84</v>
      </c>
      <c r="AK125" s="41">
        <f t="shared" si="151"/>
        <v>352741.5</v>
      </c>
      <c r="AL125" s="41">
        <f t="shared" si="151"/>
        <v>353565.96</v>
      </c>
      <c r="AM125" s="41">
        <f t="shared" si="151"/>
        <v>354394.95</v>
      </c>
      <c r="AN125" s="41">
        <f t="shared" si="151"/>
        <v>355228.86</v>
      </c>
      <c r="AO125" s="41">
        <f t="shared" si="151"/>
        <v>356067.63</v>
      </c>
      <c r="AP125" s="41">
        <f t="shared" si="151"/>
        <v>356911.29</v>
      </c>
      <c r="AQ125" s="41">
        <f t="shared" si="151"/>
        <v>357759.75</v>
      </c>
      <c r="AR125" s="41">
        <f t="shared" si="151"/>
        <v>358613.34</v>
      </c>
      <c r="AS125" s="41">
        <f t="shared" si="151"/>
        <v>359471.94</v>
      </c>
      <c r="AT125" s="41">
        <f t="shared" si="151"/>
        <v>360335.49</v>
      </c>
      <c r="AU125" s="41">
        <f t="shared" si="151"/>
        <v>361204.11</v>
      </c>
      <c r="AV125" s="41">
        <f t="shared" si="151"/>
        <v>362077.95</v>
      </c>
      <c r="AW125" s="41">
        <f t="shared" si="151"/>
        <v>362957.01</v>
      </c>
      <c r="AX125" s="41">
        <f t="shared" si="151"/>
        <v>363841.47</v>
      </c>
      <c r="AY125" s="41">
        <f t="shared" si="151"/>
        <v>364731</v>
      </c>
      <c r="AZ125" s="41">
        <f t="shared" si="151"/>
        <v>365625.9</v>
      </c>
      <c r="BA125" s="41">
        <f t="shared" si="151"/>
        <v>366526.35</v>
      </c>
      <c r="BB125" s="41">
        <f t="shared" si="151"/>
        <v>367432.05</v>
      </c>
      <c r="BC125" s="41">
        <f t="shared" si="151"/>
        <v>368343.3</v>
      </c>
      <c r="BD125" s="41">
        <f t="shared" si="151"/>
        <v>369260.22</v>
      </c>
      <c r="BE125" s="41">
        <f t="shared" si="151"/>
        <v>370182.66</v>
      </c>
      <c r="BF125" s="41">
        <f t="shared" si="151"/>
        <v>371110.68</v>
      </c>
      <c r="BG125" s="41">
        <f t="shared" si="151"/>
        <v>372044.43</v>
      </c>
      <c r="BH125" s="41">
        <f t="shared" si="151"/>
        <v>372984.03</v>
      </c>
      <c r="BI125" s="41">
        <f t="shared" si="151"/>
        <v>373929.36</v>
      </c>
      <c r="BJ125" s="41">
        <f t="shared" si="151"/>
        <v>374880.45</v>
      </c>
      <c r="BK125" s="41">
        <f t="shared" si="151"/>
        <v>375837.54</v>
      </c>
      <c r="BL125" s="41">
        <f t="shared" si="151"/>
        <v>376800.66</v>
      </c>
      <c r="BM125" s="41">
        <f t="shared" si="151"/>
        <v>377769.78</v>
      </c>
      <c r="BN125" s="41">
        <f t="shared" si="151"/>
        <v>378744.96</v>
      </c>
      <c r="BO125" s="41">
        <f t="shared" si="151"/>
        <v>379726.17</v>
      </c>
      <c r="BP125" s="41">
        <f t="shared" si="151"/>
        <v>380713.74</v>
      </c>
      <c r="BQ125" s="41">
        <f t="shared" si="151"/>
        <v>381707.55</v>
      </c>
      <c r="BR125" s="41">
        <f t="shared" si="151"/>
        <v>382707.69</v>
      </c>
      <c r="BS125" s="41">
        <f t="shared" si="151"/>
        <v>383714.04</v>
      </c>
      <c r="BT125" s="41">
        <f t="shared" si="151"/>
        <v>384726.9</v>
      </c>
      <c r="BU125" s="41">
        <f t="shared" si="151"/>
        <v>385746.27</v>
      </c>
      <c r="BV125" s="41">
        <f t="shared" si="151"/>
        <v>386772.15</v>
      </c>
      <c r="BW125" s="67"/>
    </row>
    <row r="126">
      <c r="A126" s="51" t="s">
        <v>313</v>
      </c>
      <c r="B126" s="7"/>
      <c r="C126" s="41">
        <v>0.0</v>
      </c>
      <c r="D126" s="41">
        <v>0.0</v>
      </c>
      <c r="E126" s="41">
        <v>0.0</v>
      </c>
      <c r="F126" s="41">
        <v>0.0</v>
      </c>
      <c r="G126" s="41">
        <v>0.0</v>
      </c>
      <c r="H126" s="41">
        <v>0.0</v>
      </c>
      <c r="I126" s="41">
        <v>0.0</v>
      </c>
      <c r="J126" s="41">
        <v>0.0</v>
      </c>
      <c r="K126" s="41">
        <v>0.0</v>
      </c>
      <c r="L126" s="41">
        <v>0.0</v>
      </c>
      <c r="M126" s="41">
        <v>0.0</v>
      </c>
      <c r="N126" s="41">
        <v>0.0</v>
      </c>
      <c r="O126" s="41">
        <v>0.0</v>
      </c>
      <c r="P126" s="41">
        <v>0.0</v>
      </c>
      <c r="Q126" s="41">
        <v>0.0</v>
      </c>
      <c r="R126" s="41">
        <v>0.0</v>
      </c>
      <c r="S126" s="41">
        <v>0.0</v>
      </c>
      <c r="T126" s="41">
        <v>0.0</v>
      </c>
      <c r="U126" s="41">
        <v>0.0</v>
      </c>
      <c r="V126" s="41">
        <v>0.0</v>
      </c>
      <c r="W126" s="41">
        <v>0.0</v>
      </c>
      <c r="X126" s="41">
        <v>0.0</v>
      </c>
      <c r="Y126" s="41">
        <v>0.0</v>
      </c>
      <c r="Z126" s="41">
        <v>0.0</v>
      </c>
      <c r="AA126" s="41">
        <v>0.0</v>
      </c>
      <c r="AB126" s="41">
        <v>0.0</v>
      </c>
      <c r="AC126" s="41">
        <v>0.0</v>
      </c>
      <c r="AD126" s="41">
        <v>0.0</v>
      </c>
      <c r="AE126" s="41">
        <v>0.0</v>
      </c>
      <c r="AF126" s="41">
        <v>0.0</v>
      </c>
      <c r="AG126" s="41">
        <v>0.0</v>
      </c>
      <c r="AH126" s="41">
        <v>0.0</v>
      </c>
      <c r="AI126" s="41">
        <v>0.0</v>
      </c>
      <c r="AJ126" s="41">
        <v>0.0</v>
      </c>
      <c r="AK126" s="41">
        <v>0.0</v>
      </c>
      <c r="AL126" s="41">
        <v>0.0</v>
      </c>
      <c r="AM126" s="41">
        <v>0.0</v>
      </c>
      <c r="AN126" s="41">
        <v>0.0</v>
      </c>
      <c r="AO126" s="41">
        <v>0.0</v>
      </c>
      <c r="AP126" s="41">
        <v>0.0</v>
      </c>
      <c r="AQ126" s="41">
        <v>0.0</v>
      </c>
      <c r="AR126" s="41">
        <v>0.0</v>
      </c>
      <c r="AS126" s="41">
        <v>0.0</v>
      </c>
      <c r="AT126" s="41">
        <v>0.0</v>
      </c>
      <c r="AU126" s="41">
        <v>0.0</v>
      </c>
      <c r="AV126" s="41">
        <v>0.0</v>
      </c>
      <c r="AW126" s="41">
        <v>0.0</v>
      </c>
      <c r="AX126" s="41">
        <v>0.0</v>
      </c>
      <c r="AY126" s="41">
        <v>0.0</v>
      </c>
      <c r="AZ126" s="41">
        <v>0.0</v>
      </c>
      <c r="BA126" s="41">
        <v>0.0</v>
      </c>
      <c r="BB126" s="41">
        <v>0.0</v>
      </c>
      <c r="BC126" s="41">
        <v>0.0</v>
      </c>
      <c r="BD126" s="41">
        <v>0.0</v>
      </c>
      <c r="BE126" s="41">
        <v>0.0</v>
      </c>
      <c r="BF126" s="41">
        <v>0.0</v>
      </c>
      <c r="BG126" s="41">
        <v>0.0</v>
      </c>
      <c r="BH126" s="41">
        <v>0.0</v>
      </c>
      <c r="BI126" s="41">
        <v>0.0</v>
      </c>
      <c r="BJ126" s="41">
        <v>0.0</v>
      </c>
      <c r="BK126" s="41">
        <v>0.0</v>
      </c>
      <c r="BL126" s="41">
        <v>0.0</v>
      </c>
      <c r="BM126" s="41">
        <v>0.0</v>
      </c>
      <c r="BN126" s="41">
        <v>0.0</v>
      </c>
      <c r="BO126" s="41">
        <v>0.0</v>
      </c>
      <c r="BP126" s="41">
        <v>0.0</v>
      </c>
      <c r="BQ126" s="41">
        <v>0.0</v>
      </c>
      <c r="BR126" s="41">
        <v>0.0</v>
      </c>
      <c r="BS126" s="41">
        <v>0.0</v>
      </c>
      <c r="BT126" s="41">
        <v>0.0</v>
      </c>
      <c r="BU126" s="41">
        <v>0.0</v>
      </c>
      <c r="BV126" s="41">
        <v>0.0</v>
      </c>
      <c r="BW126" s="67"/>
    </row>
    <row r="127">
      <c r="A127" s="51" t="s">
        <v>314</v>
      </c>
      <c r="B127" s="7"/>
      <c r="C127" s="41">
        <v>0.0</v>
      </c>
      <c r="D127" s="41">
        <v>0.0</v>
      </c>
      <c r="E127" s="41">
        <v>0.0</v>
      </c>
      <c r="F127" s="41">
        <v>0.0</v>
      </c>
      <c r="G127" s="41">
        <v>0.0</v>
      </c>
      <c r="H127" s="41">
        <v>0.0</v>
      </c>
      <c r="I127" s="41">
        <v>0.0</v>
      </c>
      <c r="J127" s="41">
        <v>0.0</v>
      </c>
      <c r="K127" s="41">
        <v>0.0</v>
      </c>
      <c r="L127" s="41">
        <v>0.0</v>
      </c>
      <c r="M127" s="41">
        <v>0.0</v>
      </c>
      <c r="N127" s="41">
        <v>0.0</v>
      </c>
      <c r="O127" s="41">
        <v>0.0</v>
      </c>
      <c r="P127" s="41">
        <v>0.0</v>
      </c>
      <c r="Q127" s="41">
        <v>0.0</v>
      </c>
      <c r="R127" s="41">
        <v>0.0</v>
      </c>
      <c r="S127" s="41">
        <v>0.0</v>
      </c>
      <c r="T127" s="41">
        <v>0.0</v>
      </c>
      <c r="U127" s="41">
        <v>0.0</v>
      </c>
      <c r="V127" s="41">
        <v>0.0</v>
      </c>
      <c r="W127" s="41">
        <v>0.0</v>
      </c>
      <c r="X127" s="41">
        <v>0.0</v>
      </c>
      <c r="Y127" s="41">
        <v>0.0</v>
      </c>
      <c r="Z127" s="41">
        <v>0.0</v>
      </c>
      <c r="AA127" s="41">
        <v>0.0</v>
      </c>
      <c r="AB127" s="41">
        <v>0.0</v>
      </c>
      <c r="AC127" s="41">
        <v>0.0</v>
      </c>
      <c r="AD127" s="41">
        <v>0.0</v>
      </c>
      <c r="AE127" s="41">
        <v>0.0</v>
      </c>
      <c r="AF127" s="41">
        <v>0.0</v>
      </c>
      <c r="AG127" s="41">
        <v>0.0</v>
      </c>
      <c r="AH127" s="41">
        <v>0.0</v>
      </c>
      <c r="AI127" s="41">
        <v>0.0</v>
      </c>
      <c r="AJ127" s="41">
        <v>0.0</v>
      </c>
      <c r="AK127" s="41">
        <v>0.0</v>
      </c>
      <c r="AL127" s="41">
        <v>0.0</v>
      </c>
      <c r="AM127" s="41">
        <v>0.0</v>
      </c>
      <c r="AN127" s="41">
        <v>0.0</v>
      </c>
      <c r="AO127" s="41">
        <v>0.0</v>
      </c>
      <c r="AP127" s="41">
        <v>0.0</v>
      </c>
      <c r="AQ127" s="41">
        <v>0.0</v>
      </c>
      <c r="AR127" s="41">
        <v>0.0</v>
      </c>
      <c r="AS127" s="41">
        <v>0.0</v>
      </c>
      <c r="AT127" s="41">
        <v>0.0</v>
      </c>
      <c r="AU127" s="41">
        <v>0.0</v>
      </c>
      <c r="AV127" s="41">
        <v>0.0</v>
      </c>
      <c r="AW127" s="41">
        <v>0.0</v>
      </c>
      <c r="AX127" s="41">
        <v>0.0</v>
      </c>
      <c r="AY127" s="41">
        <v>0.0</v>
      </c>
      <c r="AZ127" s="41">
        <v>0.0</v>
      </c>
      <c r="BA127" s="41">
        <v>0.0</v>
      </c>
      <c r="BB127" s="41">
        <v>0.0</v>
      </c>
      <c r="BC127" s="41">
        <v>0.0</v>
      </c>
      <c r="BD127" s="41">
        <v>0.0</v>
      </c>
      <c r="BE127" s="41">
        <v>0.0</v>
      </c>
      <c r="BF127" s="41">
        <v>0.0</v>
      </c>
      <c r="BG127" s="41">
        <v>0.0</v>
      </c>
      <c r="BH127" s="41">
        <v>0.0</v>
      </c>
      <c r="BI127" s="41">
        <v>0.0</v>
      </c>
      <c r="BJ127" s="41">
        <v>0.0</v>
      </c>
      <c r="BK127" s="41">
        <v>0.0</v>
      </c>
      <c r="BL127" s="41">
        <v>0.0</v>
      </c>
      <c r="BM127" s="41">
        <v>0.0</v>
      </c>
      <c r="BN127" s="41">
        <v>0.0</v>
      </c>
      <c r="BO127" s="41">
        <v>0.0</v>
      </c>
      <c r="BP127" s="41">
        <v>0.0</v>
      </c>
      <c r="BQ127" s="41">
        <v>0.0</v>
      </c>
      <c r="BR127" s="41">
        <v>0.0</v>
      </c>
      <c r="BS127" s="41">
        <v>0.0</v>
      </c>
      <c r="BT127" s="41">
        <v>0.0</v>
      </c>
      <c r="BU127" s="41">
        <v>0.0</v>
      </c>
      <c r="BV127" s="41">
        <v>0.0</v>
      </c>
      <c r="BW127" s="67"/>
    </row>
    <row r="128">
      <c r="A128" s="51" t="s">
        <v>315</v>
      </c>
      <c r="B128" s="7"/>
      <c r="C128" s="41">
        <v>0.0</v>
      </c>
      <c r="D128" s="41">
        <v>0.0</v>
      </c>
      <c r="E128" s="41">
        <v>0.0</v>
      </c>
      <c r="F128" s="41">
        <v>0.0</v>
      </c>
      <c r="G128" s="41">
        <v>0.0</v>
      </c>
      <c r="H128" s="41">
        <v>0.0</v>
      </c>
      <c r="I128" s="41">
        <v>0.0</v>
      </c>
      <c r="J128" s="41">
        <v>0.0</v>
      </c>
      <c r="K128" s="41">
        <v>0.0</v>
      </c>
      <c r="L128" s="41">
        <v>0.0</v>
      </c>
      <c r="M128" s="41">
        <v>0.0</v>
      </c>
      <c r="N128" s="41">
        <v>0.0</v>
      </c>
      <c r="O128" s="41">
        <v>0.0</v>
      </c>
      <c r="P128" s="41">
        <v>0.0</v>
      </c>
      <c r="Q128" s="41">
        <v>0.0</v>
      </c>
      <c r="R128" s="41">
        <v>0.0</v>
      </c>
      <c r="S128" s="41">
        <v>0.0</v>
      </c>
      <c r="T128" s="41">
        <v>0.0</v>
      </c>
      <c r="U128" s="41">
        <v>0.0</v>
      </c>
      <c r="V128" s="41">
        <v>0.0</v>
      </c>
      <c r="W128" s="41">
        <v>0.0</v>
      </c>
      <c r="X128" s="41">
        <v>0.0</v>
      </c>
      <c r="Y128" s="41">
        <v>0.0</v>
      </c>
      <c r="Z128" s="41">
        <v>0.0</v>
      </c>
      <c r="AA128" s="41">
        <v>0.0</v>
      </c>
      <c r="AB128" s="41">
        <v>0.0</v>
      </c>
      <c r="AC128" s="41">
        <v>0.0</v>
      </c>
      <c r="AD128" s="41">
        <v>0.0</v>
      </c>
      <c r="AE128" s="41">
        <v>0.0</v>
      </c>
      <c r="AF128" s="41">
        <v>0.0</v>
      </c>
      <c r="AG128" s="41">
        <v>0.0</v>
      </c>
      <c r="AH128" s="41">
        <v>0.0</v>
      </c>
      <c r="AI128" s="41">
        <v>0.0</v>
      </c>
      <c r="AJ128" s="41">
        <v>0.0</v>
      </c>
      <c r="AK128" s="41">
        <v>0.0</v>
      </c>
      <c r="AL128" s="41">
        <v>0.0</v>
      </c>
      <c r="AM128" s="41">
        <v>0.0</v>
      </c>
      <c r="AN128" s="41">
        <v>0.0</v>
      </c>
      <c r="AO128" s="41">
        <v>0.0</v>
      </c>
      <c r="AP128" s="41">
        <v>0.0</v>
      </c>
      <c r="AQ128" s="41">
        <v>0.0</v>
      </c>
      <c r="AR128" s="41">
        <v>0.0</v>
      </c>
      <c r="AS128" s="41">
        <v>0.0</v>
      </c>
      <c r="AT128" s="41">
        <v>0.0</v>
      </c>
      <c r="AU128" s="41">
        <v>0.0</v>
      </c>
      <c r="AV128" s="41">
        <v>0.0</v>
      </c>
      <c r="AW128" s="41">
        <v>0.0</v>
      </c>
      <c r="AX128" s="41">
        <v>0.0</v>
      </c>
      <c r="AY128" s="41">
        <v>0.0</v>
      </c>
      <c r="AZ128" s="41">
        <v>0.0</v>
      </c>
      <c r="BA128" s="41">
        <v>0.0</v>
      </c>
      <c r="BB128" s="41">
        <v>0.0</v>
      </c>
      <c r="BC128" s="41">
        <v>0.0</v>
      </c>
      <c r="BD128" s="41">
        <v>0.0</v>
      </c>
      <c r="BE128" s="41">
        <v>0.0</v>
      </c>
      <c r="BF128" s="41">
        <v>0.0</v>
      </c>
      <c r="BG128" s="41">
        <v>0.0</v>
      </c>
      <c r="BH128" s="41">
        <v>0.0</v>
      </c>
      <c r="BI128" s="41">
        <v>0.0</v>
      </c>
      <c r="BJ128" s="41">
        <v>0.0</v>
      </c>
      <c r="BK128" s="41">
        <v>0.0</v>
      </c>
      <c r="BL128" s="41">
        <v>0.0</v>
      </c>
      <c r="BM128" s="41">
        <v>0.0</v>
      </c>
      <c r="BN128" s="41">
        <v>0.0</v>
      </c>
      <c r="BO128" s="41">
        <v>0.0</v>
      </c>
      <c r="BP128" s="41">
        <v>0.0</v>
      </c>
      <c r="BQ128" s="41">
        <v>0.0</v>
      </c>
      <c r="BR128" s="41">
        <v>0.0</v>
      </c>
      <c r="BS128" s="41">
        <v>0.0</v>
      </c>
      <c r="BT128" s="41">
        <v>0.0</v>
      </c>
      <c r="BU128" s="41">
        <v>0.0</v>
      </c>
      <c r="BV128" s="41">
        <v>0.0</v>
      </c>
      <c r="BW128" s="67"/>
    </row>
    <row r="129">
      <c r="A129" s="51" t="s">
        <v>316</v>
      </c>
      <c r="B129" s="7"/>
      <c r="C129" s="41">
        <v>0.0</v>
      </c>
      <c r="D129" s="41">
        <v>0.0</v>
      </c>
      <c r="E129" s="41">
        <v>0.0</v>
      </c>
      <c r="F129" s="41">
        <v>0.0</v>
      </c>
      <c r="G129" s="41">
        <v>0.0</v>
      </c>
      <c r="H129" s="41">
        <v>0.0</v>
      </c>
      <c r="I129" s="41">
        <v>0.0</v>
      </c>
      <c r="J129" s="41">
        <v>0.0</v>
      </c>
      <c r="K129" s="41">
        <v>0.0</v>
      </c>
      <c r="L129" s="41">
        <v>0.0</v>
      </c>
      <c r="M129" s="41">
        <v>0.0</v>
      </c>
      <c r="N129" s="41">
        <v>0.0</v>
      </c>
      <c r="O129" s="41">
        <v>0.0</v>
      </c>
      <c r="P129" s="41">
        <v>0.0</v>
      </c>
      <c r="Q129" s="41">
        <v>0.0</v>
      </c>
      <c r="R129" s="41">
        <v>0.0</v>
      </c>
      <c r="S129" s="41">
        <v>0.0</v>
      </c>
      <c r="T129" s="41">
        <v>0.0</v>
      </c>
      <c r="U129" s="41">
        <v>0.0</v>
      </c>
      <c r="V129" s="41">
        <v>0.0</v>
      </c>
      <c r="W129" s="41">
        <v>0.0</v>
      </c>
      <c r="X129" s="41">
        <v>0.0</v>
      </c>
      <c r="Y129" s="41">
        <v>0.0</v>
      </c>
      <c r="Z129" s="41">
        <v>0.0</v>
      </c>
      <c r="AA129" s="41">
        <v>0.0</v>
      </c>
      <c r="AB129" s="41">
        <v>0.0</v>
      </c>
      <c r="AC129" s="41">
        <v>0.0</v>
      </c>
      <c r="AD129" s="41">
        <v>0.0</v>
      </c>
      <c r="AE129" s="41">
        <v>0.0</v>
      </c>
      <c r="AF129" s="41">
        <v>0.0</v>
      </c>
      <c r="AG129" s="41">
        <v>0.0</v>
      </c>
      <c r="AH129" s="41">
        <v>0.0</v>
      </c>
      <c r="AI129" s="41">
        <v>0.0</v>
      </c>
      <c r="AJ129" s="41">
        <v>0.0</v>
      </c>
      <c r="AK129" s="41">
        <v>0.0</v>
      </c>
      <c r="AL129" s="41">
        <v>0.0</v>
      </c>
      <c r="AM129" s="41">
        <v>0.0</v>
      </c>
      <c r="AN129" s="41">
        <v>0.0</v>
      </c>
      <c r="AO129" s="41">
        <v>0.0</v>
      </c>
      <c r="AP129" s="41">
        <v>0.0</v>
      </c>
      <c r="AQ129" s="41">
        <v>0.0</v>
      </c>
      <c r="AR129" s="41">
        <v>0.0</v>
      </c>
      <c r="AS129" s="41">
        <v>0.0</v>
      </c>
      <c r="AT129" s="41">
        <v>0.0</v>
      </c>
      <c r="AU129" s="41">
        <v>0.0</v>
      </c>
      <c r="AV129" s="41">
        <v>0.0</v>
      </c>
      <c r="AW129" s="41">
        <v>0.0</v>
      </c>
      <c r="AX129" s="41">
        <v>0.0</v>
      </c>
      <c r="AY129" s="41">
        <v>0.0</v>
      </c>
      <c r="AZ129" s="41">
        <v>0.0</v>
      </c>
      <c r="BA129" s="41">
        <v>0.0</v>
      </c>
      <c r="BB129" s="41">
        <v>0.0</v>
      </c>
      <c r="BC129" s="41">
        <v>0.0</v>
      </c>
      <c r="BD129" s="41">
        <v>0.0</v>
      </c>
      <c r="BE129" s="41">
        <v>0.0</v>
      </c>
      <c r="BF129" s="41">
        <v>0.0</v>
      </c>
      <c r="BG129" s="41">
        <v>0.0</v>
      </c>
      <c r="BH129" s="41">
        <v>0.0</v>
      </c>
      <c r="BI129" s="41">
        <v>0.0</v>
      </c>
      <c r="BJ129" s="41">
        <v>0.0</v>
      </c>
      <c r="BK129" s="41">
        <v>0.0</v>
      </c>
      <c r="BL129" s="41">
        <v>0.0</v>
      </c>
      <c r="BM129" s="41">
        <v>0.0</v>
      </c>
      <c r="BN129" s="41">
        <v>0.0</v>
      </c>
      <c r="BO129" s="41">
        <v>0.0</v>
      </c>
      <c r="BP129" s="41">
        <v>0.0</v>
      </c>
      <c r="BQ129" s="41">
        <v>0.0</v>
      </c>
      <c r="BR129" s="41">
        <v>0.0</v>
      </c>
      <c r="BS129" s="41">
        <v>0.0</v>
      </c>
      <c r="BT129" s="41">
        <v>0.0</v>
      </c>
      <c r="BU129" s="41">
        <v>0.0</v>
      </c>
      <c r="BV129" s="41">
        <v>0.0</v>
      </c>
      <c r="BW129" s="67"/>
    </row>
    <row r="130">
      <c r="A130" s="51" t="s">
        <v>317</v>
      </c>
      <c r="B130" s="7"/>
      <c r="C130" s="41">
        <v>0.0</v>
      </c>
      <c r="D130" s="41">
        <v>0.0</v>
      </c>
      <c r="E130" s="41">
        <v>0.0</v>
      </c>
      <c r="F130" s="41">
        <v>0.0</v>
      </c>
      <c r="G130" s="41">
        <v>0.0</v>
      </c>
      <c r="H130" s="41">
        <v>0.0</v>
      </c>
      <c r="I130" s="41">
        <v>0.0</v>
      </c>
      <c r="J130" s="41">
        <v>0.0</v>
      </c>
      <c r="K130" s="41">
        <v>0.0</v>
      </c>
      <c r="L130" s="41">
        <v>0.0</v>
      </c>
      <c r="M130" s="41">
        <v>0.0</v>
      </c>
      <c r="N130" s="41">
        <v>0.0</v>
      </c>
      <c r="O130" s="41">
        <v>0.0</v>
      </c>
      <c r="P130" s="41">
        <v>0.0</v>
      </c>
      <c r="Q130" s="41">
        <v>0.0</v>
      </c>
      <c r="R130" s="41">
        <v>0.0</v>
      </c>
      <c r="S130" s="41">
        <v>0.0</v>
      </c>
      <c r="T130" s="41">
        <v>0.0</v>
      </c>
      <c r="U130" s="41">
        <v>0.0</v>
      </c>
      <c r="V130" s="41">
        <v>0.0</v>
      </c>
      <c r="W130" s="41">
        <v>0.0</v>
      </c>
      <c r="X130" s="41">
        <v>0.0</v>
      </c>
      <c r="Y130" s="41">
        <v>0.0</v>
      </c>
      <c r="Z130" s="41">
        <v>0.0</v>
      </c>
      <c r="AA130" s="41">
        <v>0.0</v>
      </c>
      <c r="AB130" s="41">
        <v>0.0</v>
      </c>
      <c r="AC130" s="41">
        <v>0.0</v>
      </c>
      <c r="AD130" s="41">
        <v>0.0</v>
      </c>
      <c r="AE130" s="41">
        <v>0.0</v>
      </c>
      <c r="AF130" s="41">
        <v>0.0</v>
      </c>
      <c r="AG130" s="41">
        <v>0.0</v>
      </c>
      <c r="AH130" s="41">
        <v>0.0</v>
      </c>
      <c r="AI130" s="41">
        <v>0.0</v>
      </c>
      <c r="AJ130" s="41">
        <v>0.0</v>
      </c>
      <c r="AK130" s="41">
        <v>0.0</v>
      </c>
      <c r="AL130" s="41">
        <v>0.0</v>
      </c>
      <c r="AM130" s="41">
        <v>0.0</v>
      </c>
      <c r="AN130" s="41">
        <v>0.0</v>
      </c>
      <c r="AO130" s="41">
        <v>0.0</v>
      </c>
      <c r="AP130" s="41">
        <v>0.0</v>
      </c>
      <c r="AQ130" s="41">
        <v>0.0</v>
      </c>
      <c r="AR130" s="41">
        <v>0.0</v>
      </c>
      <c r="AS130" s="41">
        <v>0.0</v>
      </c>
      <c r="AT130" s="41">
        <v>0.0</v>
      </c>
      <c r="AU130" s="41">
        <v>0.0</v>
      </c>
      <c r="AV130" s="41">
        <v>0.0</v>
      </c>
      <c r="AW130" s="41">
        <v>0.0</v>
      </c>
      <c r="AX130" s="41">
        <v>0.0</v>
      </c>
      <c r="AY130" s="41">
        <v>0.0</v>
      </c>
      <c r="AZ130" s="41">
        <v>0.0</v>
      </c>
      <c r="BA130" s="41">
        <v>0.0</v>
      </c>
      <c r="BB130" s="41">
        <v>0.0</v>
      </c>
      <c r="BC130" s="41">
        <v>0.0</v>
      </c>
      <c r="BD130" s="41">
        <v>0.0</v>
      </c>
      <c r="BE130" s="41">
        <v>0.0</v>
      </c>
      <c r="BF130" s="41">
        <v>0.0</v>
      </c>
      <c r="BG130" s="41">
        <v>0.0</v>
      </c>
      <c r="BH130" s="41">
        <v>0.0</v>
      </c>
      <c r="BI130" s="41">
        <v>0.0</v>
      </c>
      <c r="BJ130" s="41">
        <v>0.0</v>
      </c>
      <c r="BK130" s="41">
        <v>0.0</v>
      </c>
      <c r="BL130" s="41">
        <v>0.0</v>
      </c>
      <c r="BM130" s="41">
        <v>0.0</v>
      </c>
      <c r="BN130" s="41">
        <v>0.0</v>
      </c>
      <c r="BO130" s="41">
        <v>0.0</v>
      </c>
      <c r="BP130" s="41">
        <v>0.0</v>
      </c>
      <c r="BQ130" s="41">
        <v>0.0</v>
      </c>
      <c r="BR130" s="41">
        <v>0.0</v>
      </c>
      <c r="BS130" s="41">
        <v>0.0</v>
      </c>
      <c r="BT130" s="41">
        <v>0.0</v>
      </c>
      <c r="BU130" s="41">
        <v>0.0</v>
      </c>
      <c r="BV130" s="41">
        <v>0.0</v>
      </c>
      <c r="BW130" s="67"/>
    </row>
    <row r="131">
      <c r="A131" s="123"/>
      <c r="B131" s="7"/>
      <c r="C131" s="107"/>
      <c r="D131" s="107"/>
      <c r="E131" s="10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20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  <c r="AQ131" s="107"/>
      <c r="AR131" s="107"/>
      <c r="AS131" s="107"/>
      <c r="AT131" s="107"/>
      <c r="AU131" s="107"/>
      <c r="AV131" s="107"/>
      <c r="AW131" s="107"/>
      <c r="AX131" s="107"/>
      <c r="AY131" s="107"/>
      <c r="AZ131" s="107"/>
      <c r="BA131" s="107"/>
      <c r="BB131" s="107"/>
      <c r="BC131" s="107"/>
      <c r="BD131" s="107"/>
      <c r="BE131" s="107"/>
      <c r="BF131" s="107"/>
      <c r="BG131" s="107"/>
      <c r="BH131" s="107"/>
      <c r="BI131" s="107"/>
      <c r="BJ131" s="107"/>
      <c r="BK131" s="107"/>
      <c r="BL131" s="107"/>
      <c r="BM131" s="107"/>
      <c r="BN131" s="107"/>
      <c r="BO131" s="107"/>
      <c r="BP131" s="107"/>
      <c r="BQ131" s="107"/>
      <c r="BR131" s="107"/>
      <c r="BS131" s="107"/>
      <c r="BT131" s="107"/>
      <c r="BU131" s="107"/>
      <c r="BV131" s="107"/>
      <c r="BW131" s="108"/>
    </row>
    <row r="132">
      <c r="A132" s="121" t="s">
        <v>318</v>
      </c>
      <c r="B132" s="121"/>
      <c r="C132" s="121">
        <f t="shared" ref="C132:BV132" si="152">SUM(C124:C130)</f>
        <v>0</v>
      </c>
      <c r="D132" s="121">
        <f t="shared" si="152"/>
        <v>0</v>
      </c>
      <c r="E132" s="121">
        <f t="shared" si="152"/>
        <v>0</v>
      </c>
      <c r="F132" s="121">
        <f t="shared" si="152"/>
        <v>0</v>
      </c>
      <c r="G132" s="121">
        <f t="shared" si="152"/>
        <v>0</v>
      </c>
      <c r="H132" s="121">
        <f t="shared" si="152"/>
        <v>0</v>
      </c>
      <c r="I132" s="121">
        <f t="shared" si="152"/>
        <v>350</v>
      </c>
      <c r="J132" s="121">
        <f t="shared" si="152"/>
        <v>3570.52</v>
      </c>
      <c r="K132" s="121">
        <f t="shared" si="152"/>
        <v>36402.28</v>
      </c>
      <c r="L132" s="121">
        <f t="shared" si="152"/>
        <v>36990.12</v>
      </c>
      <c r="M132" s="121">
        <f t="shared" si="152"/>
        <v>37164.12</v>
      </c>
      <c r="N132" s="121">
        <f t="shared" si="152"/>
        <v>39676.24</v>
      </c>
      <c r="O132" s="121">
        <f t="shared" si="152"/>
        <v>41269.56</v>
      </c>
      <c r="P132" s="121">
        <f t="shared" si="152"/>
        <v>64023.76</v>
      </c>
      <c r="Q132" s="121">
        <f t="shared" si="152"/>
        <v>80615.52</v>
      </c>
      <c r="R132" s="121">
        <f t="shared" si="152"/>
        <v>100556.24</v>
      </c>
      <c r="S132" s="121">
        <f t="shared" si="152"/>
        <v>100881.4</v>
      </c>
      <c r="T132" s="121">
        <f t="shared" si="152"/>
        <v>287098.04</v>
      </c>
      <c r="U132" s="121">
        <f t="shared" si="152"/>
        <v>287617.76</v>
      </c>
      <c r="V132" s="121">
        <f t="shared" si="152"/>
        <v>373538.92</v>
      </c>
      <c r="W132" s="121">
        <f t="shared" si="152"/>
        <v>374338.96</v>
      </c>
      <c r="X132" s="121">
        <f t="shared" si="152"/>
        <v>375143</v>
      </c>
      <c r="Y132" s="121">
        <f t="shared" si="152"/>
        <v>375951.48</v>
      </c>
      <c r="Z132" s="121">
        <f t="shared" si="152"/>
        <v>376764.04</v>
      </c>
      <c r="AA132" s="121">
        <f t="shared" si="152"/>
        <v>441980.88</v>
      </c>
      <c r="AB132" s="121">
        <f t="shared" si="152"/>
        <v>442863.36</v>
      </c>
      <c r="AC132" s="121">
        <f t="shared" si="152"/>
        <v>461750.28</v>
      </c>
      <c r="AD132" s="121">
        <f t="shared" si="152"/>
        <v>462800.64</v>
      </c>
      <c r="AE132" s="121">
        <f t="shared" si="152"/>
        <v>463857.16</v>
      </c>
      <c r="AF132" s="121">
        <f t="shared" si="152"/>
        <v>464919.52</v>
      </c>
      <c r="AG132" s="121">
        <f t="shared" si="152"/>
        <v>465987.72</v>
      </c>
      <c r="AH132" s="121">
        <f t="shared" si="152"/>
        <v>467062.04</v>
      </c>
      <c r="AI132" s="121">
        <f t="shared" si="152"/>
        <v>468142.48</v>
      </c>
      <c r="AJ132" s="121">
        <f t="shared" si="152"/>
        <v>469229.12</v>
      </c>
      <c r="AK132" s="121">
        <f t="shared" si="152"/>
        <v>470322</v>
      </c>
      <c r="AL132" s="121">
        <f t="shared" si="152"/>
        <v>471421.28</v>
      </c>
      <c r="AM132" s="121">
        <f t="shared" si="152"/>
        <v>472526.6</v>
      </c>
      <c r="AN132" s="121">
        <f t="shared" si="152"/>
        <v>473638.48</v>
      </c>
      <c r="AO132" s="121">
        <f t="shared" si="152"/>
        <v>474756.84</v>
      </c>
      <c r="AP132" s="121">
        <f t="shared" si="152"/>
        <v>475881.72</v>
      </c>
      <c r="AQ132" s="121">
        <f t="shared" si="152"/>
        <v>477013</v>
      </c>
      <c r="AR132" s="121">
        <f t="shared" si="152"/>
        <v>478151.12</v>
      </c>
      <c r="AS132" s="121">
        <f t="shared" si="152"/>
        <v>479295.92</v>
      </c>
      <c r="AT132" s="121">
        <f t="shared" si="152"/>
        <v>480447.32</v>
      </c>
      <c r="AU132" s="121">
        <f t="shared" si="152"/>
        <v>481605.48</v>
      </c>
      <c r="AV132" s="121">
        <f t="shared" si="152"/>
        <v>482770.6</v>
      </c>
      <c r="AW132" s="121">
        <f t="shared" si="152"/>
        <v>483942.68</v>
      </c>
      <c r="AX132" s="121">
        <f t="shared" si="152"/>
        <v>485121.96</v>
      </c>
      <c r="AY132" s="121">
        <f t="shared" si="152"/>
        <v>486308</v>
      </c>
      <c r="AZ132" s="121">
        <f t="shared" si="152"/>
        <v>487501.2</v>
      </c>
      <c r="BA132" s="121">
        <f t="shared" si="152"/>
        <v>488701.8</v>
      </c>
      <c r="BB132" s="121">
        <f t="shared" si="152"/>
        <v>489909.4</v>
      </c>
      <c r="BC132" s="121">
        <f t="shared" si="152"/>
        <v>491124.4</v>
      </c>
      <c r="BD132" s="121">
        <f t="shared" si="152"/>
        <v>492346.96</v>
      </c>
      <c r="BE132" s="121">
        <f t="shared" si="152"/>
        <v>493576.88</v>
      </c>
      <c r="BF132" s="121">
        <f t="shared" si="152"/>
        <v>494814.24</v>
      </c>
      <c r="BG132" s="121">
        <f t="shared" si="152"/>
        <v>496059.24</v>
      </c>
      <c r="BH132" s="121">
        <f t="shared" si="152"/>
        <v>497312.04</v>
      </c>
      <c r="BI132" s="121">
        <f t="shared" si="152"/>
        <v>498572.48</v>
      </c>
      <c r="BJ132" s="121">
        <f t="shared" si="152"/>
        <v>499840.6</v>
      </c>
      <c r="BK132" s="121">
        <f t="shared" si="152"/>
        <v>501116.72</v>
      </c>
      <c r="BL132" s="121">
        <f t="shared" si="152"/>
        <v>502400.88</v>
      </c>
      <c r="BM132" s="121">
        <f t="shared" si="152"/>
        <v>503693.04</v>
      </c>
      <c r="BN132" s="121">
        <f t="shared" si="152"/>
        <v>504993.28</v>
      </c>
      <c r="BO132" s="121">
        <f t="shared" si="152"/>
        <v>506301.56</v>
      </c>
      <c r="BP132" s="121">
        <f t="shared" si="152"/>
        <v>507618.32</v>
      </c>
      <c r="BQ132" s="121">
        <f t="shared" si="152"/>
        <v>508943.4</v>
      </c>
      <c r="BR132" s="121">
        <f t="shared" si="152"/>
        <v>510276.92</v>
      </c>
      <c r="BS132" s="121">
        <f t="shared" si="152"/>
        <v>511618.72</v>
      </c>
      <c r="BT132" s="121">
        <f t="shared" si="152"/>
        <v>512969.2</v>
      </c>
      <c r="BU132" s="121">
        <f t="shared" si="152"/>
        <v>514328.36</v>
      </c>
      <c r="BV132" s="121">
        <f t="shared" si="152"/>
        <v>515696.2</v>
      </c>
      <c r="BW132" s="119"/>
    </row>
    <row r="133">
      <c r="A133" s="10"/>
      <c r="B133" s="7"/>
      <c r="C133" s="10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20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  <c r="AU133" s="107"/>
      <c r="AV133" s="107"/>
      <c r="AW133" s="107"/>
      <c r="AX133" s="107"/>
      <c r="AY133" s="107"/>
      <c r="AZ133" s="107"/>
      <c r="BA133" s="107"/>
      <c r="BB133" s="107"/>
      <c r="BC133" s="107"/>
      <c r="BD133" s="107"/>
      <c r="BE133" s="107"/>
      <c r="BF133" s="107"/>
      <c r="BG133" s="107"/>
      <c r="BH133" s="107"/>
      <c r="BI133" s="107"/>
      <c r="BJ133" s="107"/>
      <c r="BK133" s="107"/>
      <c r="BL133" s="107"/>
      <c r="BM133" s="107"/>
      <c r="BN133" s="107"/>
      <c r="BO133" s="107"/>
      <c r="BP133" s="107"/>
      <c r="BQ133" s="107"/>
      <c r="BR133" s="107"/>
      <c r="BS133" s="107"/>
      <c r="BT133" s="107"/>
      <c r="BU133" s="107"/>
      <c r="BV133" s="107"/>
      <c r="BW133" s="108"/>
    </row>
    <row r="134">
      <c r="A134" s="38" t="s">
        <v>319</v>
      </c>
      <c r="B134" s="39"/>
      <c r="C134" s="20" t="s">
        <v>231</v>
      </c>
      <c r="D134" s="107" t="s">
        <v>231</v>
      </c>
      <c r="E134" s="107" t="s">
        <v>231</v>
      </c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20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7"/>
      <c r="AP134" s="107"/>
      <c r="AQ134" s="107"/>
      <c r="AR134" s="107"/>
      <c r="AS134" s="107"/>
      <c r="AT134" s="107"/>
      <c r="AU134" s="107"/>
      <c r="AV134" s="107"/>
      <c r="AW134" s="107"/>
      <c r="AX134" s="107"/>
      <c r="AY134" s="107"/>
      <c r="AZ134" s="107"/>
      <c r="BA134" s="107"/>
      <c r="BB134" s="107"/>
      <c r="BC134" s="107"/>
      <c r="BD134" s="107"/>
      <c r="BE134" s="107"/>
      <c r="BF134" s="107"/>
      <c r="BG134" s="107"/>
      <c r="BH134" s="107"/>
      <c r="BI134" s="107"/>
      <c r="BJ134" s="107"/>
      <c r="BK134" s="107"/>
      <c r="BL134" s="107"/>
      <c r="BM134" s="107"/>
      <c r="BN134" s="107"/>
      <c r="BO134" s="107"/>
      <c r="BP134" s="107"/>
      <c r="BQ134" s="107"/>
      <c r="BR134" s="107"/>
      <c r="BS134" s="107"/>
      <c r="BT134" s="107"/>
      <c r="BU134" s="107"/>
      <c r="BV134" s="107"/>
      <c r="BW134" s="108"/>
    </row>
    <row r="135">
      <c r="A135" s="123" t="s">
        <v>320</v>
      </c>
      <c r="B135" s="7"/>
      <c r="C135" s="107">
        <v>0.0</v>
      </c>
      <c r="D135" s="107">
        <v>0.0</v>
      </c>
      <c r="E135" s="107">
        <v>0.0</v>
      </c>
      <c r="F135" s="107">
        <v>0.0</v>
      </c>
      <c r="G135" s="107">
        <v>0.0</v>
      </c>
      <c r="H135" s="107">
        <v>0.0</v>
      </c>
      <c r="I135" s="107">
        <v>0.0</v>
      </c>
      <c r="J135" s="107">
        <v>0.0</v>
      </c>
      <c r="K135" s="124">
        <v>1900.0</v>
      </c>
      <c r="L135" s="107">
        <f t="shared" ref="L135:BV135" si="153">K135</f>
        <v>1900</v>
      </c>
      <c r="M135" s="107">
        <f t="shared" si="153"/>
        <v>1900</v>
      </c>
      <c r="N135" s="107">
        <f t="shared" si="153"/>
        <v>1900</v>
      </c>
      <c r="O135" s="107">
        <f t="shared" si="153"/>
        <v>1900</v>
      </c>
      <c r="P135" s="107">
        <f t="shared" si="153"/>
        <v>1900</v>
      </c>
      <c r="Q135" s="107">
        <f t="shared" si="153"/>
        <v>1900</v>
      </c>
      <c r="R135" s="107">
        <f t="shared" si="153"/>
        <v>1900</v>
      </c>
      <c r="S135" s="107">
        <f t="shared" si="153"/>
        <v>1900</v>
      </c>
      <c r="T135" s="107">
        <f t="shared" si="153"/>
        <v>1900</v>
      </c>
      <c r="U135" s="107">
        <f t="shared" si="153"/>
        <v>1900</v>
      </c>
      <c r="V135" s="107">
        <f t="shared" si="153"/>
        <v>1900</v>
      </c>
      <c r="W135" s="107">
        <f t="shared" si="153"/>
        <v>1900</v>
      </c>
      <c r="X135" s="107">
        <f t="shared" si="153"/>
        <v>1900</v>
      </c>
      <c r="Y135" s="107">
        <f t="shared" si="153"/>
        <v>1900</v>
      </c>
      <c r="Z135" s="107">
        <f t="shared" si="153"/>
        <v>1900</v>
      </c>
      <c r="AA135" s="107">
        <f t="shared" si="153"/>
        <v>1900</v>
      </c>
      <c r="AB135" s="107">
        <f t="shared" si="153"/>
        <v>1900</v>
      </c>
      <c r="AC135" s="107">
        <f t="shared" si="153"/>
        <v>1900</v>
      </c>
      <c r="AD135" s="107">
        <f t="shared" si="153"/>
        <v>1900</v>
      </c>
      <c r="AE135" s="107">
        <f t="shared" si="153"/>
        <v>1900</v>
      </c>
      <c r="AF135" s="107">
        <f t="shared" si="153"/>
        <v>1900</v>
      </c>
      <c r="AG135" s="107">
        <f t="shared" si="153"/>
        <v>1900</v>
      </c>
      <c r="AH135" s="107">
        <f t="shared" si="153"/>
        <v>1900</v>
      </c>
      <c r="AI135" s="107">
        <f t="shared" si="153"/>
        <v>1900</v>
      </c>
      <c r="AJ135" s="107">
        <f t="shared" si="153"/>
        <v>1900</v>
      </c>
      <c r="AK135" s="107">
        <f t="shared" si="153"/>
        <v>1900</v>
      </c>
      <c r="AL135" s="107">
        <f t="shared" si="153"/>
        <v>1900</v>
      </c>
      <c r="AM135" s="107">
        <f t="shared" si="153"/>
        <v>1900</v>
      </c>
      <c r="AN135" s="107">
        <f t="shared" si="153"/>
        <v>1900</v>
      </c>
      <c r="AO135" s="107">
        <f t="shared" si="153"/>
        <v>1900</v>
      </c>
      <c r="AP135" s="107">
        <f t="shared" si="153"/>
        <v>1900</v>
      </c>
      <c r="AQ135" s="107">
        <f t="shared" si="153"/>
        <v>1900</v>
      </c>
      <c r="AR135" s="107">
        <f t="shared" si="153"/>
        <v>1900</v>
      </c>
      <c r="AS135" s="107">
        <f t="shared" si="153"/>
        <v>1900</v>
      </c>
      <c r="AT135" s="107">
        <f t="shared" si="153"/>
        <v>1900</v>
      </c>
      <c r="AU135" s="107">
        <f t="shared" si="153"/>
        <v>1900</v>
      </c>
      <c r="AV135" s="107">
        <f t="shared" si="153"/>
        <v>1900</v>
      </c>
      <c r="AW135" s="107">
        <f t="shared" si="153"/>
        <v>1900</v>
      </c>
      <c r="AX135" s="107">
        <f t="shared" si="153"/>
        <v>1900</v>
      </c>
      <c r="AY135" s="107">
        <f t="shared" si="153"/>
        <v>1900</v>
      </c>
      <c r="AZ135" s="107">
        <f t="shared" si="153"/>
        <v>1900</v>
      </c>
      <c r="BA135" s="107">
        <f t="shared" si="153"/>
        <v>1900</v>
      </c>
      <c r="BB135" s="107">
        <f t="shared" si="153"/>
        <v>1900</v>
      </c>
      <c r="BC135" s="107">
        <f t="shared" si="153"/>
        <v>1900</v>
      </c>
      <c r="BD135" s="107">
        <f t="shared" si="153"/>
        <v>1900</v>
      </c>
      <c r="BE135" s="107">
        <f t="shared" si="153"/>
        <v>1900</v>
      </c>
      <c r="BF135" s="107">
        <f t="shared" si="153"/>
        <v>1900</v>
      </c>
      <c r="BG135" s="107">
        <f t="shared" si="153"/>
        <v>1900</v>
      </c>
      <c r="BH135" s="107">
        <f t="shared" si="153"/>
        <v>1900</v>
      </c>
      <c r="BI135" s="107">
        <f t="shared" si="153"/>
        <v>1900</v>
      </c>
      <c r="BJ135" s="107">
        <f t="shared" si="153"/>
        <v>1900</v>
      </c>
      <c r="BK135" s="107">
        <f t="shared" si="153"/>
        <v>1900</v>
      </c>
      <c r="BL135" s="107">
        <f t="shared" si="153"/>
        <v>1900</v>
      </c>
      <c r="BM135" s="107">
        <f t="shared" si="153"/>
        <v>1900</v>
      </c>
      <c r="BN135" s="107">
        <f t="shared" si="153"/>
        <v>1900</v>
      </c>
      <c r="BO135" s="107">
        <f t="shared" si="153"/>
        <v>1900</v>
      </c>
      <c r="BP135" s="107">
        <f t="shared" si="153"/>
        <v>1900</v>
      </c>
      <c r="BQ135" s="107">
        <f t="shared" si="153"/>
        <v>1900</v>
      </c>
      <c r="BR135" s="107">
        <f t="shared" si="153"/>
        <v>1900</v>
      </c>
      <c r="BS135" s="107">
        <f t="shared" si="153"/>
        <v>1900</v>
      </c>
      <c r="BT135" s="107">
        <f t="shared" si="153"/>
        <v>1900</v>
      </c>
      <c r="BU135" s="107">
        <f t="shared" si="153"/>
        <v>1900</v>
      </c>
      <c r="BV135" s="107">
        <f t="shared" si="153"/>
        <v>1900</v>
      </c>
      <c r="BW135" s="108"/>
    </row>
    <row r="136">
      <c r="A136" s="123" t="s">
        <v>321</v>
      </c>
      <c r="B136" s="7"/>
      <c r="C136" s="107">
        <v>0.0</v>
      </c>
      <c r="D136" s="107">
        <v>0.0</v>
      </c>
      <c r="E136" s="107">
        <v>0.0</v>
      </c>
      <c r="F136" s="107">
        <v>0.0</v>
      </c>
      <c r="G136" s="107">
        <v>0.0</v>
      </c>
      <c r="H136" s="107">
        <v>0.0</v>
      </c>
      <c r="I136" s="107">
        <v>0.0</v>
      </c>
      <c r="J136" s="107">
        <v>0.0</v>
      </c>
      <c r="K136" s="124">
        <v>1600.0</v>
      </c>
      <c r="L136" s="107">
        <f t="shared" ref="L136:BV136" si="154">K136</f>
        <v>1600</v>
      </c>
      <c r="M136" s="107">
        <f t="shared" si="154"/>
        <v>1600</v>
      </c>
      <c r="N136" s="107">
        <f t="shared" si="154"/>
        <v>1600</v>
      </c>
      <c r="O136" s="107">
        <f t="shared" si="154"/>
        <v>1600</v>
      </c>
      <c r="P136" s="107">
        <f t="shared" si="154"/>
        <v>1600</v>
      </c>
      <c r="Q136" s="107">
        <f t="shared" si="154"/>
        <v>1600</v>
      </c>
      <c r="R136" s="107">
        <f t="shared" si="154"/>
        <v>1600</v>
      </c>
      <c r="S136" s="107">
        <f t="shared" si="154"/>
        <v>1600</v>
      </c>
      <c r="T136" s="107">
        <f t="shared" si="154"/>
        <v>1600</v>
      </c>
      <c r="U136" s="107">
        <f t="shared" si="154"/>
        <v>1600</v>
      </c>
      <c r="V136" s="107">
        <f t="shared" si="154"/>
        <v>1600</v>
      </c>
      <c r="W136" s="107">
        <f t="shared" si="154"/>
        <v>1600</v>
      </c>
      <c r="X136" s="107">
        <f t="shared" si="154"/>
        <v>1600</v>
      </c>
      <c r="Y136" s="107">
        <f t="shared" si="154"/>
        <v>1600</v>
      </c>
      <c r="Z136" s="107">
        <f t="shared" si="154"/>
        <v>1600</v>
      </c>
      <c r="AA136" s="107">
        <f t="shared" si="154"/>
        <v>1600</v>
      </c>
      <c r="AB136" s="107">
        <f t="shared" si="154"/>
        <v>1600</v>
      </c>
      <c r="AC136" s="107">
        <f t="shared" si="154"/>
        <v>1600</v>
      </c>
      <c r="AD136" s="107">
        <f t="shared" si="154"/>
        <v>1600</v>
      </c>
      <c r="AE136" s="107">
        <f t="shared" si="154"/>
        <v>1600</v>
      </c>
      <c r="AF136" s="107">
        <f t="shared" si="154"/>
        <v>1600</v>
      </c>
      <c r="AG136" s="107">
        <f t="shared" si="154"/>
        <v>1600</v>
      </c>
      <c r="AH136" s="107">
        <f t="shared" si="154"/>
        <v>1600</v>
      </c>
      <c r="AI136" s="107">
        <f t="shared" si="154"/>
        <v>1600</v>
      </c>
      <c r="AJ136" s="107">
        <f t="shared" si="154"/>
        <v>1600</v>
      </c>
      <c r="AK136" s="107">
        <f t="shared" si="154"/>
        <v>1600</v>
      </c>
      <c r="AL136" s="107">
        <f t="shared" si="154"/>
        <v>1600</v>
      </c>
      <c r="AM136" s="107">
        <f t="shared" si="154"/>
        <v>1600</v>
      </c>
      <c r="AN136" s="107">
        <f t="shared" si="154"/>
        <v>1600</v>
      </c>
      <c r="AO136" s="107">
        <f t="shared" si="154"/>
        <v>1600</v>
      </c>
      <c r="AP136" s="107">
        <f t="shared" si="154"/>
        <v>1600</v>
      </c>
      <c r="AQ136" s="107">
        <f t="shared" si="154"/>
        <v>1600</v>
      </c>
      <c r="AR136" s="107">
        <f t="shared" si="154"/>
        <v>1600</v>
      </c>
      <c r="AS136" s="107">
        <f t="shared" si="154"/>
        <v>1600</v>
      </c>
      <c r="AT136" s="107">
        <f t="shared" si="154"/>
        <v>1600</v>
      </c>
      <c r="AU136" s="107">
        <f t="shared" si="154"/>
        <v>1600</v>
      </c>
      <c r="AV136" s="107">
        <f t="shared" si="154"/>
        <v>1600</v>
      </c>
      <c r="AW136" s="107">
        <f t="shared" si="154"/>
        <v>1600</v>
      </c>
      <c r="AX136" s="107">
        <f t="shared" si="154"/>
        <v>1600</v>
      </c>
      <c r="AY136" s="107">
        <f t="shared" si="154"/>
        <v>1600</v>
      </c>
      <c r="AZ136" s="107">
        <f t="shared" si="154"/>
        <v>1600</v>
      </c>
      <c r="BA136" s="107">
        <f t="shared" si="154"/>
        <v>1600</v>
      </c>
      <c r="BB136" s="107">
        <f t="shared" si="154"/>
        <v>1600</v>
      </c>
      <c r="BC136" s="107">
        <f t="shared" si="154"/>
        <v>1600</v>
      </c>
      <c r="BD136" s="107">
        <f t="shared" si="154"/>
        <v>1600</v>
      </c>
      <c r="BE136" s="107">
        <f t="shared" si="154"/>
        <v>1600</v>
      </c>
      <c r="BF136" s="107">
        <f t="shared" si="154"/>
        <v>1600</v>
      </c>
      <c r="BG136" s="107">
        <f t="shared" si="154"/>
        <v>1600</v>
      </c>
      <c r="BH136" s="107">
        <f t="shared" si="154"/>
        <v>1600</v>
      </c>
      <c r="BI136" s="107">
        <f t="shared" si="154"/>
        <v>1600</v>
      </c>
      <c r="BJ136" s="107">
        <f t="shared" si="154"/>
        <v>1600</v>
      </c>
      <c r="BK136" s="107">
        <f t="shared" si="154"/>
        <v>1600</v>
      </c>
      <c r="BL136" s="107">
        <f t="shared" si="154"/>
        <v>1600</v>
      </c>
      <c r="BM136" s="107">
        <f t="shared" si="154"/>
        <v>1600</v>
      </c>
      <c r="BN136" s="107">
        <f t="shared" si="154"/>
        <v>1600</v>
      </c>
      <c r="BO136" s="107">
        <f t="shared" si="154"/>
        <v>1600</v>
      </c>
      <c r="BP136" s="107">
        <f t="shared" si="154"/>
        <v>1600</v>
      </c>
      <c r="BQ136" s="107">
        <f t="shared" si="154"/>
        <v>1600</v>
      </c>
      <c r="BR136" s="107">
        <f t="shared" si="154"/>
        <v>1600</v>
      </c>
      <c r="BS136" s="107">
        <f t="shared" si="154"/>
        <v>1600</v>
      </c>
      <c r="BT136" s="107">
        <f t="shared" si="154"/>
        <v>1600</v>
      </c>
      <c r="BU136" s="107">
        <f t="shared" si="154"/>
        <v>1600</v>
      </c>
      <c r="BV136" s="107">
        <f t="shared" si="154"/>
        <v>1600</v>
      </c>
      <c r="BW136" s="108"/>
    </row>
    <row r="137">
      <c r="A137" s="123" t="s">
        <v>322</v>
      </c>
      <c r="B137" s="7"/>
      <c r="C137" s="107">
        <v>0.0</v>
      </c>
      <c r="D137" s="107">
        <v>0.0</v>
      </c>
      <c r="E137" s="107">
        <v>0.0</v>
      </c>
      <c r="F137" s="107">
        <v>0.0</v>
      </c>
      <c r="G137" s="107">
        <v>0.0</v>
      </c>
      <c r="H137" s="107">
        <v>0.0</v>
      </c>
      <c r="I137" s="107">
        <v>0.0</v>
      </c>
      <c r="J137" s="107">
        <v>0.0</v>
      </c>
      <c r="K137" s="124">
        <v>350.0</v>
      </c>
      <c r="L137" s="107">
        <f t="shared" ref="L137:BV137" si="155">K137</f>
        <v>350</v>
      </c>
      <c r="M137" s="107">
        <f t="shared" si="155"/>
        <v>350</v>
      </c>
      <c r="N137" s="107">
        <f t="shared" si="155"/>
        <v>350</v>
      </c>
      <c r="O137" s="107">
        <f t="shared" si="155"/>
        <v>350</v>
      </c>
      <c r="P137" s="107">
        <f t="shared" si="155"/>
        <v>350</v>
      </c>
      <c r="Q137" s="107">
        <f t="shared" si="155"/>
        <v>350</v>
      </c>
      <c r="R137" s="107">
        <f t="shared" si="155"/>
        <v>350</v>
      </c>
      <c r="S137" s="107">
        <f t="shared" si="155"/>
        <v>350</v>
      </c>
      <c r="T137" s="107">
        <f t="shared" si="155"/>
        <v>350</v>
      </c>
      <c r="U137" s="107">
        <f t="shared" si="155"/>
        <v>350</v>
      </c>
      <c r="V137" s="107">
        <f t="shared" si="155"/>
        <v>350</v>
      </c>
      <c r="W137" s="107">
        <f t="shared" si="155"/>
        <v>350</v>
      </c>
      <c r="X137" s="107">
        <f t="shared" si="155"/>
        <v>350</v>
      </c>
      <c r="Y137" s="107">
        <f t="shared" si="155"/>
        <v>350</v>
      </c>
      <c r="Z137" s="107">
        <f t="shared" si="155"/>
        <v>350</v>
      </c>
      <c r="AA137" s="107">
        <f t="shared" si="155"/>
        <v>350</v>
      </c>
      <c r="AB137" s="107">
        <f t="shared" si="155"/>
        <v>350</v>
      </c>
      <c r="AC137" s="107">
        <f t="shared" si="155"/>
        <v>350</v>
      </c>
      <c r="AD137" s="107">
        <f t="shared" si="155"/>
        <v>350</v>
      </c>
      <c r="AE137" s="107">
        <f t="shared" si="155"/>
        <v>350</v>
      </c>
      <c r="AF137" s="107">
        <f t="shared" si="155"/>
        <v>350</v>
      </c>
      <c r="AG137" s="107">
        <f t="shared" si="155"/>
        <v>350</v>
      </c>
      <c r="AH137" s="107">
        <f t="shared" si="155"/>
        <v>350</v>
      </c>
      <c r="AI137" s="107">
        <f t="shared" si="155"/>
        <v>350</v>
      </c>
      <c r="AJ137" s="107">
        <f t="shared" si="155"/>
        <v>350</v>
      </c>
      <c r="AK137" s="107">
        <f t="shared" si="155"/>
        <v>350</v>
      </c>
      <c r="AL137" s="107">
        <f t="shared" si="155"/>
        <v>350</v>
      </c>
      <c r="AM137" s="107">
        <f t="shared" si="155"/>
        <v>350</v>
      </c>
      <c r="AN137" s="107">
        <f t="shared" si="155"/>
        <v>350</v>
      </c>
      <c r="AO137" s="107">
        <f t="shared" si="155"/>
        <v>350</v>
      </c>
      <c r="AP137" s="107">
        <f t="shared" si="155"/>
        <v>350</v>
      </c>
      <c r="AQ137" s="107">
        <f t="shared" si="155"/>
        <v>350</v>
      </c>
      <c r="AR137" s="107">
        <f t="shared" si="155"/>
        <v>350</v>
      </c>
      <c r="AS137" s="107">
        <f t="shared" si="155"/>
        <v>350</v>
      </c>
      <c r="AT137" s="107">
        <f t="shared" si="155"/>
        <v>350</v>
      </c>
      <c r="AU137" s="107">
        <f t="shared" si="155"/>
        <v>350</v>
      </c>
      <c r="AV137" s="107">
        <f t="shared" si="155"/>
        <v>350</v>
      </c>
      <c r="AW137" s="107">
        <f t="shared" si="155"/>
        <v>350</v>
      </c>
      <c r="AX137" s="107">
        <f t="shared" si="155"/>
        <v>350</v>
      </c>
      <c r="AY137" s="107">
        <f t="shared" si="155"/>
        <v>350</v>
      </c>
      <c r="AZ137" s="107">
        <f t="shared" si="155"/>
        <v>350</v>
      </c>
      <c r="BA137" s="107">
        <f t="shared" si="155"/>
        <v>350</v>
      </c>
      <c r="BB137" s="107">
        <f t="shared" si="155"/>
        <v>350</v>
      </c>
      <c r="BC137" s="107">
        <f t="shared" si="155"/>
        <v>350</v>
      </c>
      <c r="BD137" s="107">
        <f t="shared" si="155"/>
        <v>350</v>
      </c>
      <c r="BE137" s="107">
        <f t="shared" si="155"/>
        <v>350</v>
      </c>
      <c r="BF137" s="107">
        <f t="shared" si="155"/>
        <v>350</v>
      </c>
      <c r="BG137" s="107">
        <f t="shared" si="155"/>
        <v>350</v>
      </c>
      <c r="BH137" s="107">
        <f t="shared" si="155"/>
        <v>350</v>
      </c>
      <c r="BI137" s="107">
        <f t="shared" si="155"/>
        <v>350</v>
      </c>
      <c r="BJ137" s="107">
        <f t="shared" si="155"/>
        <v>350</v>
      </c>
      <c r="BK137" s="107">
        <f t="shared" si="155"/>
        <v>350</v>
      </c>
      <c r="BL137" s="107">
        <f t="shared" si="155"/>
        <v>350</v>
      </c>
      <c r="BM137" s="107">
        <f t="shared" si="155"/>
        <v>350</v>
      </c>
      <c r="BN137" s="107">
        <f t="shared" si="155"/>
        <v>350</v>
      </c>
      <c r="BO137" s="107">
        <f t="shared" si="155"/>
        <v>350</v>
      </c>
      <c r="BP137" s="107">
        <f t="shared" si="155"/>
        <v>350</v>
      </c>
      <c r="BQ137" s="107">
        <f t="shared" si="155"/>
        <v>350</v>
      </c>
      <c r="BR137" s="107">
        <f t="shared" si="155"/>
        <v>350</v>
      </c>
      <c r="BS137" s="107">
        <f t="shared" si="155"/>
        <v>350</v>
      </c>
      <c r="BT137" s="107">
        <f t="shared" si="155"/>
        <v>350</v>
      </c>
      <c r="BU137" s="107">
        <f t="shared" si="155"/>
        <v>350</v>
      </c>
      <c r="BV137" s="107">
        <f t="shared" si="155"/>
        <v>350</v>
      </c>
      <c r="BW137" s="108"/>
    </row>
    <row r="138">
      <c r="A138" s="123" t="s">
        <v>323</v>
      </c>
      <c r="B138" s="7"/>
      <c r="C138" s="107">
        <v>0.0</v>
      </c>
      <c r="D138" s="107">
        <v>0.0</v>
      </c>
      <c r="E138" s="107">
        <v>0.0</v>
      </c>
      <c r="F138" s="107">
        <v>0.0</v>
      </c>
      <c r="G138" s="107">
        <v>0.0</v>
      </c>
      <c r="H138" s="107">
        <v>0.0</v>
      </c>
      <c r="I138" s="107">
        <v>0.0</v>
      </c>
      <c r="J138" s="107">
        <v>0.0</v>
      </c>
      <c r="K138" s="124">
        <v>950.0</v>
      </c>
      <c r="L138" s="107">
        <f t="shared" ref="L138:BV138" si="156">K138</f>
        <v>950</v>
      </c>
      <c r="M138" s="107">
        <f t="shared" si="156"/>
        <v>950</v>
      </c>
      <c r="N138" s="107">
        <f t="shared" si="156"/>
        <v>950</v>
      </c>
      <c r="O138" s="107">
        <f t="shared" si="156"/>
        <v>950</v>
      </c>
      <c r="P138" s="107">
        <f t="shared" si="156"/>
        <v>950</v>
      </c>
      <c r="Q138" s="107">
        <f t="shared" si="156"/>
        <v>950</v>
      </c>
      <c r="R138" s="107">
        <f t="shared" si="156"/>
        <v>950</v>
      </c>
      <c r="S138" s="107">
        <f t="shared" si="156"/>
        <v>950</v>
      </c>
      <c r="T138" s="107">
        <f t="shared" si="156"/>
        <v>950</v>
      </c>
      <c r="U138" s="107">
        <f t="shared" si="156"/>
        <v>950</v>
      </c>
      <c r="V138" s="107">
        <f t="shared" si="156"/>
        <v>950</v>
      </c>
      <c r="W138" s="107">
        <f t="shared" si="156"/>
        <v>950</v>
      </c>
      <c r="X138" s="107">
        <f t="shared" si="156"/>
        <v>950</v>
      </c>
      <c r="Y138" s="107">
        <f t="shared" si="156"/>
        <v>950</v>
      </c>
      <c r="Z138" s="107">
        <f t="shared" si="156"/>
        <v>950</v>
      </c>
      <c r="AA138" s="107">
        <f t="shared" si="156"/>
        <v>950</v>
      </c>
      <c r="AB138" s="107">
        <f t="shared" si="156"/>
        <v>950</v>
      </c>
      <c r="AC138" s="107">
        <f t="shared" si="156"/>
        <v>950</v>
      </c>
      <c r="AD138" s="107">
        <f t="shared" si="156"/>
        <v>950</v>
      </c>
      <c r="AE138" s="107">
        <f t="shared" si="156"/>
        <v>950</v>
      </c>
      <c r="AF138" s="107">
        <f t="shared" si="156"/>
        <v>950</v>
      </c>
      <c r="AG138" s="107">
        <f t="shared" si="156"/>
        <v>950</v>
      </c>
      <c r="AH138" s="107">
        <f t="shared" si="156"/>
        <v>950</v>
      </c>
      <c r="AI138" s="107">
        <f t="shared" si="156"/>
        <v>950</v>
      </c>
      <c r="AJ138" s="107">
        <f t="shared" si="156"/>
        <v>950</v>
      </c>
      <c r="AK138" s="107">
        <f t="shared" si="156"/>
        <v>950</v>
      </c>
      <c r="AL138" s="107">
        <f t="shared" si="156"/>
        <v>950</v>
      </c>
      <c r="AM138" s="107">
        <f t="shared" si="156"/>
        <v>950</v>
      </c>
      <c r="AN138" s="107">
        <f t="shared" si="156"/>
        <v>950</v>
      </c>
      <c r="AO138" s="107">
        <f t="shared" si="156"/>
        <v>950</v>
      </c>
      <c r="AP138" s="107">
        <f t="shared" si="156"/>
        <v>950</v>
      </c>
      <c r="AQ138" s="107">
        <f t="shared" si="156"/>
        <v>950</v>
      </c>
      <c r="AR138" s="107">
        <f t="shared" si="156"/>
        <v>950</v>
      </c>
      <c r="AS138" s="107">
        <f t="shared" si="156"/>
        <v>950</v>
      </c>
      <c r="AT138" s="107">
        <f t="shared" si="156"/>
        <v>950</v>
      </c>
      <c r="AU138" s="107">
        <f t="shared" si="156"/>
        <v>950</v>
      </c>
      <c r="AV138" s="107">
        <f t="shared" si="156"/>
        <v>950</v>
      </c>
      <c r="AW138" s="107">
        <f t="shared" si="156"/>
        <v>950</v>
      </c>
      <c r="AX138" s="107">
        <f t="shared" si="156"/>
        <v>950</v>
      </c>
      <c r="AY138" s="107">
        <f t="shared" si="156"/>
        <v>950</v>
      </c>
      <c r="AZ138" s="107">
        <f t="shared" si="156"/>
        <v>950</v>
      </c>
      <c r="BA138" s="107">
        <f t="shared" si="156"/>
        <v>950</v>
      </c>
      <c r="BB138" s="107">
        <f t="shared" si="156"/>
        <v>950</v>
      </c>
      <c r="BC138" s="107">
        <f t="shared" si="156"/>
        <v>950</v>
      </c>
      <c r="BD138" s="107">
        <f t="shared" si="156"/>
        <v>950</v>
      </c>
      <c r="BE138" s="107">
        <f t="shared" si="156"/>
        <v>950</v>
      </c>
      <c r="BF138" s="107">
        <f t="shared" si="156"/>
        <v>950</v>
      </c>
      <c r="BG138" s="107">
        <f t="shared" si="156"/>
        <v>950</v>
      </c>
      <c r="BH138" s="107">
        <f t="shared" si="156"/>
        <v>950</v>
      </c>
      <c r="BI138" s="107">
        <f t="shared" si="156"/>
        <v>950</v>
      </c>
      <c r="BJ138" s="107">
        <f t="shared" si="156"/>
        <v>950</v>
      </c>
      <c r="BK138" s="107">
        <f t="shared" si="156"/>
        <v>950</v>
      </c>
      <c r="BL138" s="107">
        <f t="shared" si="156"/>
        <v>950</v>
      </c>
      <c r="BM138" s="107">
        <f t="shared" si="156"/>
        <v>950</v>
      </c>
      <c r="BN138" s="107">
        <f t="shared" si="156"/>
        <v>950</v>
      </c>
      <c r="BO138" s="107">
        <f t="shared" si="156"/>
        <v>950</v>
      </c>
      <c r="BP138" s="107">
        <f t="shared" si="156"/>
        <v>950</v>
      </c>
      <c r="BQ138" s="107">
        <f t="shared" si="156"/>
        <v>950</v>
      </c>
      <c r="BR138" s="107">
        <f t="shared" si="156"/>
        <v>950</v>
      </c>
      <c r="BS138" s="107">
        <f t="shared" si="156"/>
        <v>950</v>
      </c>
      <c r="BT138" s="107">
        <f t="shared" si="156"/>
        <v>950</v>
      </c>
      <c r="BU138" s="107">
        <f t="shared" si="156"/>
        <v>950</v>
      </c>
      <c r="BV138" s="107">
        <f t="shared" si="156"/>
        <v>950</v>
      </c>
      <c r="BW138" s="108"/>
    </row>
    <row r="139">
      <c r="A139" s="123" t="s">
        <v>324</v>
      </c>
      <c r="B139" s="7"/>
      <c r="C139" s="107">
        <v>0.0</v>
      </c>
      <c r="D139" s="107">
        <v>0.0</v>
      </c>
      <c r="E139" s="107">
        <v>0.0</v>
      </c>
      <c r="F139" s="107">
        <v>0.0</v>
      </c>
      <c r="G139" s="107">
        <v>0.0</v>
      </c>
      <c r="H139" s="107">
        <v>0.0</v>
      </c>
      <c r="I139" s="107">
        <v>0.0</v>
      </c>
      <c r="J139" s="107">
        <v>0.0</v>
      </c>
      <c r="K139" s="124">
        <v>400.0</v>
      </c>
      <c r="L139" s="107">
        <f t="shared" ref="L139:BV139" si="157">K139</f>
        <v>400</v>
      </c>
      <c r="M139" s="107">
        <f t="shared" si="157"/>
        <v>400</v>
      </c>
      <c r="N139" s="107">
        <f t="shared" si="157"/>
        <v>400</v>
      </c>
      <c r="O139" s="107">
        <f t="shared" si="157"/>
        <v>400</v>
      </c>
      <c r="P139" s="107">
        <f t="shared" si="157"/>
        <v>400</v>
      </c>
      <c r="Q139" s="107">
        <f t="shared" si="157"/>
        <v>400</v>
      </c>
      <c r="R139" s="107">
        <f t="shared" si="157"/>
        <v>400</v>
      </c>
      <c r="S139" s="107">
        <f t="shared" si="157"/>
        <v>400</v>
      </c>
      <c r="T139" s="107">
        <f t="shared" si="157"/>
        <v>400</v>
      </c>
      <c r="U139" s="107">
        <f t="shared" si="157"/>
        <v>400</v>
      </c>
      <c r="V139" s="107">
        <f t="shared" si="157"/>
        <v>400</v>
      </c>
      <c r="W139" s="107">
        <f t="shared" si="157"/>
        <v>400</v>
      </c>
      <c r="X139" s="107">
        <f t="shared" si="157"/>
        <v>400</v>
      </c>
      <c r="Y139" s="107">
        <f t="shared" si="157"/>
        <v>400</v>
      </c>
      <c r="Z139" s="107">
        <f t="shared" si="157"/>
        <v>400</v>
      </c>
      <c r="AA139" s="107">
        <f t="shared" si="157"/>
        <v>400</v>
      </c>
      <c r="AB139" s="107">
        <f t="shared" si="157"/>
        <v>400</v>
      </c>
      <c r="AC139" s="107">
        <f t="shared" si="157"/>
        <v>400</v>
      </c>
      <c r="AD139" s="107">
        <f t="shared" si="157"/>
        <v>400</v>
      </c>
      <c r="AE139" s="107">
        <f t="shared" si="157"/>
        <v>400</v>
      </c>
      <c r="AF139" s="107">
        <f t="shared" si="157"/>
        <v>400</v>
      </c>
      <c r="AG139" s="107">
        <f t="shared" si="157"/>
        <v>400</v>
      </c>
      <c r="AH139" s="107">
        <f t="shared" si="157"/>
        <v>400</v>
      </c>
      <c r="AI139" s="107">
        <f t="shared" si="157"/>
        <v>400</v>
      </c>
      <c r="AJ139" s="107">
        <f t="shared" si="157"/>
        <v>400</v>
      </c>
      <c r="AK139" s="107">
        <f t="shared" si="157"/>
        <v>400</v>
      </c>
      <c r="AL139" s="107">
        <f t="shared" si="157"/>
        <v>400</v>
      </c>
      <c r="AM139" s="107">
        <f t="shared" si="157"/>
        <v>400</v>
      </c>
      <c r="AN139" s="107">
        <f t="shared" si="157"/>
        <v>400</v>
      </c>
      <c r="AO139" s="107">
        <f t="shared" si="157"/>
        <v>400</v>
      </c>
      <c r="AP139" s="107">
        <f t="shared" si="157"/>
        <v>400</v>
      </c>
      <c r="AQ139" s="107">
        <f t="shared" si="157"/>
        <v>400</v>
      </c>
      <c r="AR139" s="107">
        <f t="shared" si="157"/>
        <v>400</v>
      </c>
      <c r="AS139" s="107">
        <f t="shared" si="157"/>
        <v>400</v>
      </c>
      <c r="AT139" s="107">
        <f t="shared" si="157"/>
        <v>400</v>
      </c>
      <c r="AU139" s="107">
        <f t="shared" si="157"/>
        <v>400</v>
      </c>
      <c r="AV139" s="107">
        <f t="shared" si="157"/>
        <v>400</v>
      </c>
      <c r="AW139" s="107">
        <f t="shared" si="157"/>
        <v>400</v>
      </c>
      <c r="AX139" s="107">
        <f t="shared" si="157"/>
        <v>400</v>
      </c>
      <c r="AY139" s="107">
        <f t="shared" si="157"/>
        <v>400</v>
      </c>
      <c r="AZ139" s="107">
        <f t="shared" si="157"/>
        <v>400</v>
      </c>
      <c r="BA139" s="107">
        <f t="shared" si="157"/>
        <v>400</v>
      </c>
      <c r="BB139" s="107">
        <f t="shared" si="157"/>
        <v>400</v>
      </c>
      <c r="BC139" s="107">
        <f t="shared" si="157"/>
        <v>400</v>
      </c>
      <c r="BD139" s="107">
        <f t="shared" si="157"/>
        <v>400</v>
      </c>
      <c r="BE139" s="107">
        <f t="shared" si="157"/>
        <v>400</v>
      </c>
      <c r="BF139" s="107">
        <f t="shared" si="157"/>
        <v>400</v>
      </c>
      <c r="BG139" s="107">
        <f t="shared" si="157"/>
        <v>400</v>
      </c>
      <c r="BH139" s="107">
        <f t="shared" si="157"/>
        <v>400</v>
      </c>
      <c r="BI139" s="107">
        <f t="shared" si="157"/>
        <v>400</v>
      </c>
      <c r="BJ139" s="107">
        <f t="shared" si="157"/>
        <v>400</v>
      </c>
      <c r="BK139" s="107">
        <f t="shared" si="157"/>
        <v>400</v>
      </c>
      <c r="BL139" s="107">
        <f t="shared" si="157"/>
        <v>400</v>
      </c>
      <c r="BM139" s="107">
        <f t="shared" si="157"/>
        <v>400</v>
      </c>
      <c r="BN139" s="107">
        <f t="shared" si="157"/>
        <v>400</v>
      </c>
      <c r="BO139" s="107">
        <f t="shared" si="157"/>
        <v>400</v>
      </c>
      <c r="BP139" s="107">
        <f t="shared" si="157"/>
        <v>400</v>
      </c>
      <c r="BQ139" s="107">
        <f t="shared" si="157"/>
        <v>400</v>
      </c>
      <c r="BR139" s="107">
        <f t="shared" si="157"/>
        <v>400</v>
      </c>
      <c r="BS139" s="107">
        <f t="shared" si="157"/>
        <v>400</v>
      </c>
      <c r="BT139" s="107">
        <f t="shared" si="157"/>
        <v>400</v>
      </c>
      <c r="BU139" s="107">
        <f t="shared" si="157"/>
        <v>400</v>
      </c>
      <c r="BV139" s="107">
        <f t="shared" si="157"/>
        <v>400</v>
      </c>
      <c r="BW139" s="108"/>
    </row>
    <row r="140">
      <c r="A140" s="123"/>
      <c r="B140" s="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107"/>
      <c r="AS140" s="107"/>
      <c r="AT140" s="107"/>
      <c r="AU140" s="107"/>
      <c r="AV140" s="107"/>
      <c r="AW140" s="107"/>
      <c r="AX140" s="107"/>
      <c r="AY140" s="107"/>
      <c r="AZ140" s="107"/>
      <c r="BA140" s="107"/>
      <c r="BB140" s="107"/>
      <c r="BC140" s="107"/>
      <c r="BD140" s="107"/>
      <c r="BE140" s="107"/>
      <c r="BF140" s="107"/>
      <c r="BG140" s="107"/>
      <c r="BH140" s="107"/>
      <c r="BI140" s="107"/>
      <c r="BJ140" s="107"/>
      <c r="BK140" s="107"/>
      <c r="BL140" s="107"/>
      <c r="BM140" s="107"/>
      <c r="BN140" s="107"/>
      <c r="BO140" s="107"/>
      <c r="BP140" s="107"/>
      <c r="BQ140" s="107"/>
      <c r="BR140" s="107"/>
      <c r="BS140" s="107"/>
      <c r="BT140" s="107"/>
      <c r="BU140" s="107"/>
      <c r="BV140" s="107"/>
      <c r="BW140" s="108"/>
    </row>
    <row r="141">
      <c r="A141" s="121" t="s">
        <v>325</v>
      </c>
      <c r="B141" s="121"/>
      <c r="C141" s="121">
        <f t="shared" ref="C141:BV141" si="158">SUM(C135:C139)</f>
        <v>0</v>
      </c>
      <c r="D141" s="121">
        <f t="shared" si="158"/>
        <v>0</v>
      </c>
      <c r="E141" s="121">
        <f t="shared" si="158"/>
        <v>0</v>
      </c>
      <c r="F141" s="121">
        <f t="shared" si="158"/>
        <v>0</v>
      </c>
      <c r="G141" s="121">
        <f t="shared" si="158"/>
        <v>0</v>
      </c>
      <c r="H141" s="121">
        <f t="shared" si="158"/>
        <v>0</v>
      </c>
      <c r="I141" s="121">
        <f t="shared" si="158"/>
        <v>0</v>
      </c>
      <c r="J141" s="121">
        <f t="shared" si="158"/>
        <v>0</v>
      </c>
      <c r="K141" s="121">
        <f t="shared" si="158"/>
        <v>5200</v>
      </c>
      <c r="L141" s="121">
        <f t="shared" si="158"/>
        <v>5200</v>
      </c>
      <c r="M141" s="121">
        <f t="shared" si="158"/>
        <v>5200</v>
      </c>
      <c r="N141" s="121">
        <f t="shared" si="158"/>
        <v>5200</v>
      </c>
      <c r="O141" s="121">
        <f t="shared" si="158"/>
        <v>5200</v>
      </c>
      <c r="P141" s="121">
        <f t="shared" si="158"/>
        <v>5200</v>
      </c>
      <c r="Q141" s="121">
        <f t="shared" si="158"/>
        <v>5200</v>
      </c>
      <c r="R141" s="121">
        <f t="shared" si="158"/>
        <v>5200</v>
      </c>
      <c r="S141" s="121">
        <f t="shared" si="158"/>
        <v>5200</v>
      </c>
      <c r="T141" s="121">
        <f t="shared" si="158"/>
        <v>5200</v>
      </c>
      <c r="U141" s="121">
        <f t="shared" si="158"/>
        <v>5200</v>
      </c>
      <c r="V141" s="121">
        <f t="shared" si="158"/>
        <v>5200</v>
      </c>
      <c r="W141" s="121">
        <f t="shared" si="158"/>
        <v>5200</v>
      </c>
      <c r="X141" s="121">
        <f t="shared" si="158"/>
        <v>5200</v>
      </c>
      <c r="Y141" s="121">
        <f t="shared" si="158"/>
        <v>5200</v>
      </c>
      <c r="Z141" s="121">
        <f t="shared" si="158"/>
        <v>5200</v>
      </c>
      <c r="AA141" s="121">
        <f t="shared" si="158"/>
        <v>5200</v>
      </c>
      <c r="AB141" s="121">
        <f t="shared" si="158"/>
        <v>5200</v>
      </c>
      <c r="AC141" s="121">
        <f t="shared" si="158"/>
        <v>5200</v>
      </c>
      <c r="AD141" s="121">
        <f t="shared" si="158"/>
        <v>5200</v>
      </c>
      <c r="AE141" s="121">
        <f t="shared" si="158"/>
        <v>5200</v>
      </c>
      <c r="AF141" s="121">
        <f t="shared" si="158"/>
        <v>5200</v>
      </c>
      <c r="AG141" s="121">
        <f t="shared" si="158"/>
        <v>5200</v>
      </c>
      <c r="AH141" s="121">
        <f t="shared" si="158"/>
        <v>5200</v>
      </c>
      <c r="AI141" s="121">
        <f t="shared" si="158"/>
        <v>5200</v>
      </c>
      <c r="AJ141" s="121">
        <f t="shared" si="158"/>
        <v>5200</v>
      </c>
      <c r="AK141" s="121">
        <f t="shared" si="158"/>
        <v>5200</v>
      </c>
      <c r="AL141" s="121">
        <f t="shared" si="158"/>
        <v>5200</v>
      </c>
      <c r="AM141" s="121">
        <f t="shared" si="158"/>
        <v>5200</v>
      </c>
      <c r="AN141" s="121">
        <f t="shared" si="158"/>
        <v>5200</v>
      </c>
      <c r="AO141" s="121">
        <f t="shared" si="158"/>
        <v>5200</v>
      </c>
      <c r="AP141" s="121">
        <f t="shared" si="158"/>
        <v>5200</v>
      </c>
      <c r="AQ141" s="121">
        <f t="shared" si="158"/>
        <v>5200</v>
      </c>
      <c r="AR141" s="121">
        <f t="shared" si="158"/>
        <v>5200</v>
      </c>
      <c r="AS141" s="121">
        <f t="shared" si="158"/>
        <v>5200</v>
      </c>
      <c r="AT141" s="121">
        <f t="shared" si="158"/>
        <v>5200</v>
      </c>
      <c r="AU141" s="121">
        <f t="shared" si="158"/>
        <v>5200</v>
      </c>
      <c r="AV141" s="121">
        <f t="shared" si="158"/>
        <v>5200</v>
      </c>
      <c r="AW141" s="121">
        <f t="shared" si="158"/>
        <v>5200</v>
      </c>
      <c r="AX141" s="121">
        <f t="shared" si="158"/>
        <v>5200</v>
      </c>
      <c r="AY141" s="121">
        <f t="shared" si="158"/>
        <v>5200</v>
      </c>
      <c r="AZ141" s="121">
        <f t="shared" si="158"/>
        <v>5200</v>
      </c>
      <c r="BA141" s="121">
        <f t="shared" si="158"/>
        <v>5200</v>
      </c>
      <c r="BB141" s="121">
        <f t="shared" si="158"/>
        <v>5200</v>
      </c>
      <c r="BC141" s="121">
        <f t="shared" si="158"/>
        <v>5200</v>
      </c>
      <c r="BD141" s="121">
        <f t="shared" si="158"/>
        <v>5200</v>
      </c>
      <c r="BE141" s="121">
        <f t="shared" si="158"/>
        <v>5200</v>
      </c>
      <c r="BF141" s="121">
        <f t="shared" si="158"/>
        <v>5200</v>
      </c>
      <c r="BG141" s="121">
        <f t="shared" si="158"/>
        <v>5200</v>
      </c>
      <c r="BH141" s="121">
        <f t="shared" si="158"/>
        <v>5200</v>
      </c>
      <c r="BI141" s="121">
        <f t="shared" si="158"/>
        <v>5200</v>
      </c>
      <c r="BJ141" s="121">
        <f t="shared" si="158"/>
        <v>5200</v>
      </c>
      <c r="BK141" s="121">
        <f t="shared" si="158"/>
        <v>5200</v>
      </c>
      <c r="BL141" s="121">
        <f t="shared" si="158"/>
        <v>5200</v>
      </c>
      <c r="BM141" s="121">
        <f t="shared" si="158"/>
        <v>5200</v>
      </c>
      <c r="BN141" s="121">
        <f t="shared" si="158"/>
        <v>5200</v>
      </c>
      <c r="BO141" s="121">
        <f t="shared" si="158"/>
        <v>5200</v>
      </c>
      <c r="BP141" s="121">
        <f t="shared" si="158"/>
        <v>5200</v>
      </c>
      <c r="BQ141" s="121">
        <f t="shared" si="158"/>
        <v>5200</v>
      </c>
      <c r="BR141" s="121">
        <f t="shared" si="158"/>
        <v>5200</v>
      </c>
      <c r="BS141" s="121">
        <f t="shared" si="158"/>
        <v>5200</v>
      </c>
      <c r="BT141" s="121">
        <f t="shared" si="158"/>
        <v>5200</v>
      </c>
      <c r="BU141" s="121">
        <f t="shared" si="158"/>
        <v>5200</v>
      </c>
      <c r="BV141" s="121">
        <f t="shared" si="158"/>
        <v>5200</v>
      </c>
      <c r="BW141" s="119"/>
    </row>
    <row r="142">
      <c r="A142" s="10"/>
      <c r="B142" s="7"/>
      <c r="C142" s="107"/>
      <c r="D142" s="107"/>
      <c r="E142" s="10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20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  <c r="AQ142" s="107"/>
      <c r="AR142" s="107"/>
      <c r="AS142" s="107"/>
      <c r="AT142" s="107"/>
      <c r="AU142" s="107"/>
      <c r="AV142" s="107"/>
      <c r="AW142" s="107"/>
      <c r="AX142" s="107"/>
      <c r="AY142" s="107"/>
      <c r="AZ142" s="107"/>
      <c r="BA142" s="107"/>
      <c r="BB142" s="107"/>
      <c r="BC142" s="107"/>
      <c r="BD142" s="107"/>
      <c r="BE142" s="107"/>
      <c r="BF142" s="107"/>
      <c r="BG142" s="107"/>
      <c r="BH142" s="107"/>
      <c r="BI142" s="107"/>
      <c r="BJ142" s="107"/>
      <c r="BK142" s="107"/>
      <c r="BL142" s="107"/>
      <c r="BM142" s="107"/>
      <c r="BN142" s="107"/>
      <c r="BO142" s="107"/>
      <c r="BP142" s="107"/>
      <c r="BQ142" s="107"/>
      <c r="BR142" s="107"/>
      <c r="BS142" s="107"/>
      <c r="BT142" s="107"/>
      <c r="BU142" s="107"/>
      <c r="BV142" s="107"/>
      <c r="BW142" s="108"/>
    </row>
    <row r="143">
      <c r="A143" s="10"/>
      <c r="B143" s="7"/>
      <c r="C143" s="10"/>
      <c r="D143" s="10"/>
      <c r="E143" s="10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20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  <c r="AS143" s="107"/>
      <c r="AT143" s="107"/>
      <c r="AU143" s="107"/>
      <c r="AV143" s="107"/>
      <c r="AW143" s="107"/>
      <c r="AX143" s="107"/>
      <c r="AY143" s="107"/>
      <c r="AZ143" s="107"/>
      <c r="BA143" s="107"/>
      <c r="BB143" s="107"/>
      <c r="BC143" s="107"/>
      <c r="BD143" s="107"/>
      <c r="BE143" s="107"/>
      <c r="BF143" s="107"/>
      <c r="BG143" s="107"/>
      <c r="BH143" s="107"/>
      <c r="BI143" s="107"/>
      <c r="BJ143" s="107"/>
      <c r="BK143" s="107"/>
      <c r="BL143" s="107"/>
      <c r="BM143" s="107"/>
      <c r="BN143" s="107"/>
      <c r="BO143" s="107"/>
      <c r="BP143" s="107"/>
      <c r="BQ143" s="107"/>
      <c r="BR143" s="107"/>
      <c r="BS143" s="107"/>
      <c r="BT143" s="107"/>
      <c r="BU143" s="107"/>
      <c r="BV143" s="107"/>
      <c r="BW143" s="108"/>
    </row>
    <row r="144">
      <c r="A144" s="125" t="s">
        <v>326</v>
      </c>
      <c r="B144" s="80"/>
      <c r="C144" s="80">
        <f t="shared" ref="C144:BV144" si="159">C121+C113+C70+C132+C141</f>
        <v>0</v>
      </c>
      <c r="D144" s="80">
        <f t="shared" si="159"/>
        <v>50</v>
      </c>
      <c r="E144" s="80">
        <f t="shared" si="159"/>
        <v>50</v>
      </c>
      <c r="F144" s="80">
        <f t="shared" si="159"/>
        <v>50</v>
      </c>
      <c r="G144" s="80">
        <f t="shared" si="159"/>
        <v>80</v>
      </c>
      <c r="H144" s="80">
        <f t="shared" si="159"/>
        <v>80</v>
      </c>
      <c r="I144" s="80">
        <f t="shared" si="159"/>
        <v>1650.74375</v>
      </c>
      <c r="J144" s="80">
        <f t="shared" si="159"/>
        <v>13884.36493</v>
      </c>
      <c r="K144" s="80">
        <f t="shared" si="159"/>
        <v>106590.6088</v>
      </c>
      <c r="L144" s="80">
        <f t="shared" si="159"/>
        <v>109014.2025</v>
      </c>
      <c r="M144" s="80">
        <f t="shared" si="159"/>
        <v>109595.5947</v>
      </c>
      <c r="N144" s="80">
        <f t="shared" si="159"/>
        <v>117932.9528</v>
      </c>
      <c r="O144" s="80">
        <f t="shared" si="159"/>
        <v>123656.3537</v>
      </c>
      <c r="P144" s="80">
        <f t="shared" si="159"/>
        <v>197905.591</v>
      </c>
      <c r="Q144" s="80">
        <f t="shared" si="159"/>
        <v>246816.7979</v>
      </c>
      <c r="R144" s="80">
        <f t="shared" si="159"/>
        <v>320333.2793</v>
      </c>
      <c r="S144" s="80">
        <f t="shared" si="159"/>
        <v>321201.077</v>
      </c>
      <c r="T144" s="80">
        <f t="shared" si="159"/>
        <v>751376.3253</v>
      </c>
      <c r="U144" s="80">
        <f t="shared" si="159"/>
        <v>752622.4813</v>
      </c>
      <c r="V144" s="80">
        <f t="shared" si="159"/>
        <v>918543.6621</v>
      </c>
      <c r="W144" s="80">
        <f t="shared" si="159"/>
        <v>920296.6892</v>
      </c>
      <c r="X144" s="80">
        <f t="shared" si="159"/>
        <v>944717.9312</v>
      </c>
      <c r="Y144" s="80">
        <f t="shared" si="159"/>
        <v>946500.0336</v>
      </c>
      <c r="Z144" s="80">
        <f t="shared" si="159"/>
        <v>948287.5284</v>
      </c>
      <c r="AA144" s="80">
        <f t="shared" si="159"/>
        <v>1082527.379</v>
      </c>
      <c r="AB144" s="80">
        <f t="shared" si="159"/>
        <v>1084443.009</v>
      </c>
      <c r="AC144" s="80">
        <f t="shared" si="159"/>
        <v>1118690.497</v>
      </c>
      <c r="AD144" s="80">
        <f t="shared" si="159"/>
        <v>1125904.824</v>
      </c>
      <c r="AE144" s="80">
        <f t="shared" si="159"/>
        <v>1128142.144</v>
      </c>
      <c r="AF144" s="80">
        <f t="shared" si="159"/>
        <v>1130309.113</v>
      </c>
      <c r="AG144" s="80">
        <f t="shared" si="159"/>
        <v>1132501.297</v>
      </c>
      <c r="AH144" s="80">
        <f t="shared" si="159"/>
        <v>1134710.089</v>
      </c>
      <c r="AI144" s="80">
        <f t="shared" si="159"/>
        <v>1136929.516</v>
      </c>
      <c r="AJ144" s="80">
        <f t="shared" si="159"/>
        <v>1139150.722</v>
      </c>
      <c r="AK144" s="80">
        <f t="shared" si="159"/>
        <v>1141388.686</v>
      </c>
      <c r="AL144" s="80">
        <f t="shared" si="159"/>
        <v>1143652.564</v>
      </c>
      <c r="AM144" s="80">
        <f t="shared" si="159"/>
        <v>1145903.091</v>
      </c>
      <c r="AN144" s="80">
        <f t="shared" si="159"/>
        <v>1148188.691</v>
      </c>
      <c r="AO144" s="80">
        <f t="shared" si="159"/>
        <v>1150482.391</v>
      </c>
      <c r="AP144" s="80">
        <f t="shared" si="159"/>
        <v>1152775.284</v>
      </c>
      <c r="AQ144" s="80">
        <f t="shared" si="159"/>
        <v>1155100.063</v>
      </c>
      <c r="AR144" s="80">
        <f t="shared" si="159"/>
        <v>1157427.421</v>
      </c>
      <c r="AS144" s="80">
        <f t="shared" si="159"/>
        <v>1159763.128</v>
      </c>
      <c r="AT144" s="80">
        <f t="shared" si="159"/>
        <v>1162125.001</v>
      </c>
      <c r="AU144" s="80">
        <f t="shared" si="159"/>
        <v>1164483.38</v>
      </c>
      <c r="AV144" s="80">
        <f t="shared" si="159"/>
        <v>1166874.346</v>
      </c>
      <c r="AW144" s="80">
        <f t="shared" si="159"/>
        <v>1169271.026</v>
      </c>
      <c r="AX144" s="80">
        <f t="shared" si="159"/>
        <v>1171667.748</v>
      </c>
      <c r="AY144" s="80">
        <f t="shared" si="159"/>
        <v>1174093.821</v>
      </c>
      <c r="AZ144" s="80">
        <f t="shared" si="159"/>
        <v>1176537.802</v>
      </c>
      <c r="BA144" s="80">
        <f t="shared" si="159"/>
        <v>1178976.104</v>
      </c>
      <c r="BB144" s="80">
        <f t="shared" si="159"/>
        <v>1181441.071</v>
      </c>
      <c r="BC144" s="80">
        <f t="shared" si="159"/>
        <v>1183921.259</v>
      </c>
      <c r="BD144" s="80">
        <f t="shared" si="159"/>
        <v>1186416.869</v>
      </c>
      <c r="BE144" s="80">
        <f t="shared" si="159"/>
        <v>1188927.651</v>
      </c>
      <c r="BF144" s="80">
        <f t="shared" si="159"/>
        <v>1191447.732</v>
      </c>
      <c r="BG144" s="80">
        <f t="shared" si="159"/>
        <v>1193983.336</v>
      </c>
      <c r="BH144" s="80">
        <f t="shared" si="159"/>
        <v>1196540.632</v>
      </c>
      <c r="BI144" s="80">
        <f t="shared" si="159"/>
        <v>1199107.479</v>
      </c>
      <c r="BJ144" s="80">
        <f t="shared" si="159"/>
        <v>1201695.869</v>
      </c>
      <c r="BK144" s="80">
        <f t="shared" si="159"/>
        <v>1204282.316</v>
      </c>
      <c r="BL144" s="80">
        <f t="shared" si="159"/>
        <v>1206893.741</v>
      </c>
      <c r="BM144" s="80">
        <f t="shared" si="159"/>
        <v>1209524.125</v>
      </c>
      <c r="BN144" s="80">
        <f t="shared" si="159"/>
        <v>1212176.551</v>
      </c>
      <c r="BO144" s="80">
        <f t="shared" si="159"/>
        <v>1214833.056</v>
      </c>
      <c r="BP144" s="80">
        <f t="shared" si="159"/>
        <v>1217512.105</v>
      </c>
      <c r="BQ144" s="80">
        <f t="shared" si="159"/>
        <v>1220204.539</v>
      </c>
      <c r="BR144" s="80">
        <f t="shared" si="159"/>
        <v>1222919.466</v>
      </c>
      <c r="BS144" s="80">
        <f t="shared" si="159"/>
        <v>1225641.758</v>
      </c>
      <c r="BT144" s="80">
        <f t="shared" si="159"/>
        <v>1227888.857</v>
      </c>
      <c r="BU144" s="80">
        <f t="shared" si="159"/>
        <v>1230650.764</v>
      </c>
      <c r="BV144" s="80">
        <f t="shared" si="159"/>
        <v>1233426.506</v>
      </c>
      <c r="BW144" s="119"/>
    </row>
    <row r="145">
      <c r="A145" s="10" t="s">
        <v>229</v>
      </c>
      <c r="B145" s="39"/>
      <c r="C145" s="20" t="s">
        <v>231</v>
      </c>
      <c r="D145" s="20" t="s">
        <v>231</v>
      </c>
      <c r="E145" s="20" t="s">
        <v>231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94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9"/>
    </row>
    <row r="146">
      <c r="A146" s="126" t="s">
        <v>327</v>
      </c>
      <c r="B146" s="127"/>
      <c r="C146" s="126">
        <v>0.0</v>
      </c>
      <c r="D146" s="126">
        <v>0.0</v>
      </c>
      <c r="E146" s="126">
        <v>0.0</v>
      </c>
      <c r="F146" s="126">
        <v>0.0</v>
      </c>
      <c r="G146" s="126">
        <v>0.0</v>
      </c>
      <c r="H146" s="126">
        <v>0.0</v>
      </c>
      <c r="I146" s="127">
        <f t="shared" ref="I146:BV146" si="160">I53-I70-I113-I121-I132-I141</f>
        <v>2330.50625</v>
      </c>
      <c r="J146" s="127">
        <f t="shared" si="160"/>
        <v>15848.32007</v>
      </c>
      <c r="K146" s="127">
        <f t="shared" si="160"/>
        <v>99647.1062</v>
      </c>
      <c r="L146" s="127">
        <f t="shared" si="160"/>
        <v>101175.0325</v>
      </c>
      <c r="M146" s="127">
        <f t="shared" si="160"/>
        <v>101490.8903</v>
      </c>
      <c r="N146" s="127">
        <f t="shared" si="160"/>
        <v>111289.5172</v>
      </c>
      <c r="O146" s="127">
        <f t="shared" si="160"/>
        <v>118324.9513</v>
      </c>
      <c r="P146" s="127">
        <f t="shared" si="160"/>
        <v>211494.439</v>
      </c>
      <c r="Q146" s="127">
        <f t="shared" si="160"/>
        <v>284551.2621</v>
      </c>
      <c r="R146" s="127">
        <f t="shared" si="160"/>
        <v>357697.1907</v>
      </c>
      <c r="S146" s="127">
        <f t="shared" si="160"/>
        <v>358829.748</v>
      </c>
      <c r="T146" s="127">
        <f t="shared" si="160"/>
        <v>871001.4197</v>
      </c>
      <c r="U146" s="127">
        <f t="shared" si="160"/>
        <v>872770.2987</v>
      </c>
      <c r="V146" s="127">
        <f t="shared" si="160"/>
        <v>1138195.973</v>
      </c>
      <c r="W146" s="127">
        <f t="shared" si="160"/>
        <v>1140848.941</v>
      </c>
      <c r="X146" s="127">
        <f t="shared" si="160"/>
        <v>1120860.194</v>
      </c>
      <c r="Y146" s="127">
        <f t="shared" si="160"/>
        <v>1123531.031</v>
      </c>
      <c r="Z146" s="127">
        <f t="shared" si="160"/>
        <v>1126218.967</v>
      </c>
      <c r="AA146" s="127">
        <f t="shared" si="160"/>
        <v>1318425.011</v>
      </c>
      <c r="AB146" s="127">
        <f t="shared" si="160"/>
        <v>1321325.071</v>
      </c>
      <c r="AC146" s="127">
        <f t="shared" si="160"/>
        <v>1379669.718</v>
      </c>
      <c r="AD146" s="127">
        <f t="shared" si="160"/>
        <v>1378094.096</v>
      </c>
      <c r="AE146" s="127">
        <f t="shared" si="160"/>
        <v>1381531.711</v>
      </c>
      <c r="AF146" s="127">
        <f t="shared" si="160"/>
        <v>1385066.947</v>
      </c>
      <c r="AG146" s="127">
        <f t="shared" si="160"/>
        <v>1388604.238</v>
      </c>
      <c r="AH146" s="127">
        <f t="shared" si="160"/>
        <v>1392157.156</v>
      </c>
      <c r="AI146" s="127">
        <f t="shared" si="160"/>
        <v>1395728.674</v>
      </c>
      <c r="AJ146" s="127">
        <f t="shared" si="160"/>
        <v>1399334.638</v>
      </c>
      <c r="AK146" s="127">
        <f t="shared" si="160"/>
        <v>1402955.064</v>
      </c>
      <c r="AL146" s="127">
        <f t="shared" si="160"/>
        <v>1406584.776</v>
      </c>
      <c r="AM146" s="127">
        <f t="shared" si="160"/>
        <v>1410252.084</v>
      </c>
      <c r="AN146" s="127">
        <f t="shared" si="160"/>
        <v>1413920.499</v>
      </c>
      <c r="AO146" s="127">
        <f t="shared" si="160"/>
        <v>1417616.004</v>
      </c>
      <c r="AP146" s="127">
        <f t="shared" si="160"/>
        <v>1421342.501</v>
      </c>
      <c r="AQ146" s="127">
        <f t="shared" si="160"/>
        <v>1425071.312</v>
      </c>
      <c r="AR146" s="127">
        <f t="shared" si="160"/>
        <v>1428832.689</v>
      </c>
      <c r="AS146" s="127">
        <f t="shared" si="160"/>
        <v>1432625.882</v>
      </c>
      <c r="AT146" s="127">
        <f t="shared" si="160"/>
        <v>1436421.084</v>
      </c>
      <c r="AU146" s="127">
        <f t="shared" si="160"/>
        <v>1440251.935</v>
      </c>
      <c r="AV146" s="127">
        <f t="shared" si="160"/>
        <v>1444090.329</v>
      </c>
      <c r="AW146" s="127">
        <f t="shared" si="160"/>
        <v>1447956.139</v>
      </c>
      <c r="AX146" s="127">
        <f t="shared" si="160"/>
        <v>1451860.007</v>
      </c>
      <c r="AY146" s="127">
        <f t="shared" si="160"/>
        <v>1455768.679</v>
      </c>
      <c r="AZ146" s="127">
        <f t="shared" si="160"/>
        <v>1459694.548</v>
      </c>
      <c r="BA146" s="127">
        <f t="shared" si="160"/>
        <v>1463666.171</v>
      </c>
      <c r="BB146" s="127">
        <f t="shared" si="160"/>
        <v>1467645.254</v>
      </c>
      <c r="BC146" s="127">
        <f t="shared" si="160"/>
        <v>1471651.191</v>
      </c>
      <c r="BD146" s="127">
        <f t="shared" si="160"/>
        <v>1475675.761</v>
      </c>
      <c r="BE146" s="127">
        <f t="shared" si="160"/>
        <v>1479724.239</v>
      </c>
      <c r="BF146" s="127">
        <f t="shared" si="160"/>
        <v>1483800.488</v>
      </c>
      <c r="BG146" s="127">
        <f t="shared" si="160"/>
        <v>1487899.259</v>
      </c>
      <c r="BH146" s="127">
        <f t="shared" si="160"/>
        <v>1492025.363</v>
      </c>
      <c r="BI146" s="127">
        <f t="shared" si="160"/>
        <v>1496169.961</v>
      </c>
      <c r="BJ146" s="127">
        <f t="shared" si="160"/>
        <v>1500332.056</v>
      </c>
      <c r="BK146" s="127">
        <f t="shared" si="160"/>
        <v>1504542.094</v>
      </c>
      <c r="BL146" s="127">
        <f t="shared" si="160"/>
        <v>1508764.149</v>
      </c>
      <c r="BM146" s="127">
        <f t="shared" si="160"/>
        <v>1513012.245</v>
      </c>
      <c r="BN146" s="127">
        <f t="shared" si="160"/>
        <v>1517275.289</v>
      </c>
      <c r="BO146" s="127">
        <f t="shared" si="160"/>
        <v>1521580.249</v>
      </c>
      <c r="BP146" s="127">
        <f t="shared" si="160"/>
        <v>1525900.605</v>
      </c>
      <c r="BQ146" s="127">
        <f t="shared" si="160"/>
        <v>1530256.536</v>
      </c>
      <c r="BR146" s="127">
        <f t="shared" si="160"/>
        <v>1534627.919</v>
      </c>
      <c r="BS146" s="127">
        <f t="shared" si="160"/>
        <v>1539034.902</v>
      </c>
      <c r="BT146" s="127">
        <f t="shared" si="160"/>
        <v>1543960.993</v>
      </c>
      <c r="BU146" s="127">
        <f t="shared" si="160"/>
        <v>1548418.191</v>
      </c>
      <c r="BV146" s="127">
        <f t="shared" si="160"/>
        <v>1552903.469</v>
      </c>
      <c r="BW146" s="128"/>
    </row>
    <row r="147">
      <c r="A147" s="129" t="s">
        <v>327</v>
      </c>
      <c r="B147" s="81"/>
      <c r="C147" s="129">
        <v>0.0</v>
      </c>
      <c r="D147" s="129">
        <v>0.0</v>
      </c>
      <c r="E147" s="129">
        <v>0.0</v>
      </c>
      <c r="F147" s="129">
        <v>0.0</v>
      </c>
      <c r="G147" s="129">
        <v>0.0</v>
      </c>
      <c r="H147" s="129">
        <v>0.0</v>
      </c>
      <c r="I147" s="81">
        <f t="shared" ref="I147:BV147" si="161">I146/I53</f>
        <v>0.5853704867</v>
      </c>
      <c r="J147" s="81">
        <f t="shared" si="161"/>
        <v>0.5330268715</v>
      </c>
      <c r="K147" s="81">
        <f t="shared" si="161"/>
        <v>0.4831662638</v>
      </c>
      <c r="L147" s="81">
        <f t="shared" si="161"/>
        <v>0.4813521133</v>
      </c>
      <c r="M147" s="81">
        <f t="shared" si="161"/>
        <v>0.4808024082</v>
      </c>
      <c r="N147" s="81">
        <f t="shared" si="161"/>
        <v>0.4855087603</v>
      </c>
      <c r="O147" s="81">
        <f t="shared" si="161"/>
        <v>0.4889838548</v>
      </c>
      <c r="P147" s="81">
        <f t="shared" si="161"/>
        <v>0.5165960516</v>
      </c>
      <c r="Q147" s="81">
        <f t="shared" si="161"/>
        <v>0.5355068992</v>
      </c>
      <c r="R147" s="81">
        <f t="shared" si="161"/>
        <v>0.5275532686</v>
      </c>
      <c r="S147" s="81">
        <f t="shared" si="161"/>
        <v>0.5276668863</v>
      </c>
      <c r="T147" s="81">
        <f t="shared" si="161"/>
        <v>0.5368672138</v>
      </c>
      <c r="U147" s="81">
        <f t="shared" si="161"/>
        <v>0.5369596257</v>
      </c>
      <c r="V147" s="81">
        <f t="shared" si="161"/>
        <v>0.553398181</v>
      </c>
      <c r="W147" s="81">
        <f t="shared" si="161"/>
        <v>0.5535023456</v>
      </c>
      <c r="X147" s="81">
        <f t="shared" si="161"/>
        <v>0.5426375213</v>
      </c>
      <c r="Y147" s="81">
        <f t="shared" si="161"/>
        <v>0.5427604688</v>
      </c>
      <c r="Z147" s="81">
        <f t="shared" si="161"/>
        <v>0.5428852449</v>
      </c>
      <c r="AA147" s="81">
        <f t="shared" si="161"/>
        <v>0.5491258454</v>
      </c>
      <c r="AB147" s="81">
        <f t="shared" si="161"/>
        <v>0.5492321066</v>
      </c>
      <c r="AC147" s="81">
        <f t="shared" si="161"/>
        <v>0.5522301028</v>
      </c>
      <c r="AD147" s="81">
        <f t="shared" si="161"/>
        <v>0.5503573043</v>
      </c>
      <c r="AE147" s="81">
        <f t="shared" si="161"/>
        <v>0.550482569</v>
      </c>
      <c r="AF147" s="81">
        <f t="shared" si="161"/>
        <v>0.5506401087</v>
      </c>
      <c r="AG147" s="81">
        <f t="shared" si="161"/>
        <v>0.5507917929</v>
      </c>
      <c r="AH147" s="81">
        <f t="shared" si="161"/>
        <v>0.5509419456</v>
      </c>
      <c r="AI147" s="81">
        <f t="shared" si="161"/>
        <v>0.5510923974</v>
      </c>
      <c r="AJ147" s="81">
        <f t="shared" si="161"/>
        <v>0.5512478661</v>
      </c>
      <c r="AK147" s="81">
        <f t="shared" si="161"/>
        <v>0.551401541</v>
      </c>
      <c r="AL147" s="81">
        <f t="shared" si="161"/>
        <v>0.5515505377</v>
      </c>
      <c r="AM147" s="81">
        <f t="shared" si="161"/>
        <v>0.5517083225</v>
      </c>
      <c r="AN147" s="81">
        <f t="shared" si="161"/>
        <v>0.5518580177</v>
      </c>
      <c r="AO147" s="81">
        <f t="shared" si="161"/>
        <v>0.5520100034</v>
      </c>
      <c r="AP147" s="81">
        <f t="shared" si="161"/>
        <v>0.552166847</v>
      </c>
      <c r="AQ147" s="81">
        <f t="shared" si="161"/>
        <v>0.5523165344</v>
      </c>
      <c r="AR147" s="81">
        <f t="shared" si="161"/>
        <v>0.5524706057</v>
      </c>
      <c r="AS147" s="81">
        <f t="shared" si="161"/>
        <v>0.5526276637</v>
      </c>
      <c r="AT147" s="81">
        <f t="shared" si="161"/>
        <v>0.5527787607</v>
      </c>
      <c r="AU147" s="81">
        <f t="shared" si="161"/>
        <v>0.5529360035</v>
      </c>
      <c r="AV147" s="81">
        <f t="shared" si="161"/>
        <v>0.553086889</v>
      </c>
      <c r="AW147" s="81">
        <f t="shared" si="161"/>
        <v>0.5532405283</v>
      </c>
      <c r="AX147" s="81">
        <f t="shared" si="161"/>
        <v>0.5533999037</v>
      </c>
      <c r="AY147" s="81">
        <f t="shared" si="161"/>
        <v>0.5535531529</v>
      </c>
      <c r="AZ147" s="81">
        <f t="shared" si="161"/>
        <v>0.5537048158</v>
      </c>
      <c r="BA147" s="81">
        <f t="shared" si="161"/>
        <v>0.5538646623</v>
      </c>
      <c r="BB147" s="81">
        <f t="shared" si="161"/>
        <v>0.5540194144</v>
      </c>
      <c r="BC147" s="81">
        <f t="shared" si="161"/>
        <v>0.5541747472</v>
      </c>
      <c r="BD147" s="81">
        <f t="shared" si="161"/>
        <v>0.5543292313</v>
      </c>
      <c r="BE147" s="81">
        <f t="shared" si="161"/>
        <v>0.5544837995</v>
      </c>
      <c r="BF147" s="81">
        <f t="shared" si="161"/>
        <v>0.5546403047</v>
      </c>
      <c r="BG147" s="81">
        <f t="shared" si="161"/>
        <v>0.554796568</v>
      </c>
      <c r="BH147" s="81">
        <f t="shared" si="161"/>
        <v>0.5549521067</v>
      </c>
      <c r="BI147" s="81">
        <f t="shared" si="161"/>
        <v>0.5551079599</v>
      </c>
      <c r="BJ147" s="81">
        <f t="shared" si="161"/>
        <v>0.5552614917</v>
      </c>
      <c r="BK147" s="81">
        <f t="shared" si="161"/>
        <v>0.5554225253</v>
      </c>
      <c r="BL147" s="81">
        <f t="shared" si="161"/>
        <v>0.555579609</v>
      </c>
      <c r="BM147" s="81">
        <f t="shared" si="161"/>
        <v>0.555736284</v>
      </c>
      <c r="BN147" s="81">
        <f t="shared" si="161"/>
        <v>0.5558901119</v>
      </c>
      <c r="BO147" s="81">
        <f t="shared" si="161"/>
        <v>0.5560491341</v>
      </c>
      <c r="BP147" s="81">
        <f t="shared" si="161"/>
        <v>0.5562052694</v>
      </c>
      <c r="BQ147" s="81">
        <f t="shared" si="161"/>
        <v>0.5563636403</v>
      </c>
      <c r="BR147" s="81">
        <f t="shared" si="161"/>
        <v>0.5565191471</v>
      </c>
      <c r="BS147" s="81">
        <f t="shared" si="161"/>
        <v>0.5566780826</v>
      </c>
      <c r="BT147" s="81">
        <f t="shared" si="161"/>
        <v>0.5570146568</v>
      </c>
      <c r="BU147" s="81">
        <f t="shared" si="161"/>
        <v>0.5571715622</v>
      </c>
      <c r="BV147" s="81">
        <f t="shared" si="161"/>
        <v>0.5573293481</v>
      </c>
      <c r="BW147" s="81"/>
    </row>
    <row r="148">
      <c r="A148" s="20"/>
      <c r="B148" s="39"/>
      <c r="C148" s="20"/>
      <c r="D148" s="20"/>
      <c r="E148" s="20"/>
      <c r="F148" s="2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94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9"/>
    </row>
    <row r="149">
      <c r="A149" s="20" t="s">
        <v>328</v>
      </c>
      <c r="B149" s="39"/>
      <c r="C149" s="20" t="s">
        <v>231</v>
      </c>
      <c r="D149" s="20" t="s">
        <v>231</v>
      </c>
      <c r="E149" s="20" t="s">
        <v>231</v>
      </c>
      <c r="F149" s="20" t="s">
        <v>231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94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9"/>
    </row>
    <row r="150">
      <c r="A150" s="10" t="s">
        <v>329</v>
      </c>
      <c r="B150" s="7"/>
      <c r="C150" s="107">
        <v>0.0</v>
      </c>
      <c r="D150" s="107">
        <v>0.0</v>
      </c>
      <c r="E150" s="107">
        <v>0.0</v>
      </c>
      <c r="F150" s="107">
        <v>0.0</v>
      </c>
      <c r="G150" s="107">
        <v>0.0</v>
      </c>
      <c r="H150" s="107">
        <v>0.0</v>
      </c>
      <c r="I150" s="107">
        <v>0.0</v>
      </c>
      <c r="J150" s="107">
        <v>0.0</v>
      </c>
      <c r="K150" s="107">
        <v>0.0</v>
      </c>
      <c r="L150" s="107">
        <v>0.0</v>
      </c>
      <c r="M150" s="107">
        <v>0.0</v>
      </c>
      <c r="N150" s="107">
        <v>0.0</v>
      </c>
      <c r="O150" s="107">
        <v>0.0</v>
      </c>
      <c r="P150" s="107">
        <v>0.0</v>
      </c>
      <c r="Q150" s="107">
        <v>0.0</v>
      </c>
      <c r="R150" s="107">
        <v>0.0</v>
      </c>
      <c r="S150" s="107">
        <v>0.0</v>
      </c>
      <c r="T150" s="107">
        <v>0.0</v>
      </c>
      <c r="U150" s="107">
        <v>0.0</v>
      </c>
      <c r="V150" s="107">
        <v>0.0</v>
      </c>
      <c r="W150" s="107">
        <v>0.0</v>
      </c>
      <c r="X150" s="107">
        <v>0.0</v>
      </c>
      <c r="Y150" s="107">
        <v>0.0</v>
      </c>
      <c r="Z150" s="107">
        <v>0.0</v>
      </c>
      <c r="AA150" s="120">
        <v>0.0</v>
      </c>
      <c r="AB150" s="107">
        <v>0.0</v>
      </c>
      <c r="AC150" s="107">
        <v>0.0</v>
      </c>
      <c r="AD150" s="107">
        <v>0.0</v>
      </c>
      <c r="AE150" s="107">
        <v>0.0</v>
      </c>
      <c r="AF150" s="107">
        <v>0.0</v>
      </c>
      <c r="AG150" s="107">
        <v>0.0</v>
      </c>
      <c r="AH150" s="107">
        <v>0.0</v>
      </c>
      <c r="AI150" s="107">
        <v>0.0</v>
      </c>
      <c r="AJ150" s="107">
        <v>0.0</v>
      </c>
      <c r="AK150" s="107">
        <v>0.0</v>
      </c>
      <c r="AL150" s="107">
        <v>0.0</v>
      </c>
      <c r="AM150" s="107">
        <v>0.0</v>
      </c>
      <c r="AN150" s="107">
        <v>0.0</v>
      </c>
      <c r="AO150" s="107">
        <v>0.0</v>
      </c>
      <c r="AP150" s="107">
        <v>0.0</v>
      </c>
      <c r="AQ150" s="107">
        <v>0.0</v>
      </c>
      <c r="AR150" s="107">
        <v>0.0</v>
      </c>
      <c r="AS150" s="107">
        <v>0.0</v>
      </c>
      <c r="AT150" s="107">
        <v>0.0</v>
      </c>
      <c r="AU150" s="107">
        <v>0.0</v>
      </c>
      <c r="AV150" s="107">
        <v>0.0</v>
      </c>
      <c r="AW150" s="107">
        <v>0.0</v>
      </c>
      <c r="AX150" s="107">
        <v>0.0</v>
      </c>
      <c r="AY150" s="107">
        <v>0.0</v>
      </c>
      <c r="AZ150" s="107">
        <v>0.0</v>
      </c>
      <c r="BA150" s="107">
        <v>0.0</v>
      </c>
      <c r="BB150" s="107">
        <v>0.0</v>
      </c>
      <c r="BC150" s="107">
        <v>0.0</v>
      </c>
      <c r="BD150" s="107">
        <v>0.0</v>
      </c>
      <c r="BE150" s="107">
        <v>0.0</v>
      </c>
      <c r="BF150" s="107">
        <v>0.0</v>
      </c>
      <c r="BG150" s="107">
        <v>0.0</v>
      </c>
      <c r="BH150" s="107">
        <v>0.0</v>
      </c>
      <c r="BI150" s="107">
        <v>0.0</v>
      </c>
      <c r="BJ150" s="107">
        <v>0.0</v>
      </c>
      <c r="BK150" s="107">
        <v>0.0</v>
      </c>
      <c r="BL150" s="107">
        <v>0.0</v>
      </c>
      <c r="BM150" s="107">
        <v>0.0</v>
      </c>
      <c r="BN150" s="107">
        <v>0.0</v>
      </c>
      <c r="BO150" s="107">
        <v>0.0</v>
      </c>
      <c r="BP150" s="107">
        <v>0.0</v>
      </c>
      <c r="BQ150" s="107">
        <v>0.0</v>
      </c>
      <c r="BR150" s="107">
        <v>0.0</v>
      </c>
      <c r="BS150" s="107">
        <v>0.0</v>
      </c>
      <c r="BT150" s="107">
        <v>0.0</v>
      </c>
      <c r="BU150" s="107">
        <v>0.0</v>
      </c>
      <c r="BV150" s="107">
        <v>0.0</v>
      </c>
      <c r="BW150" s="108"/>
    </row>
    <row r="151">
      <c r="A151" s="10" t="s">
        <v>330</v>
      </c>
      <c r="B151" s="7"/>
      <c r="C151" s="107">
        <v>0.0</v>
      </c>
      <c r="D151" s="107">
        <v>0.0</v>
      </c>
      <c r="E151" s="107">
        <v>0.0</v>
      </c>
      <c r="F151" s="107">
        <v>0.0</v>
      </c>
      <c r="G151" s="107">
        <v>0.0</v>
      </c>
      <c r="H151" s="107">
        <v>0.0</v>
      </c>
      <c r="I151" s="107">
        <v>0.0</v>
      </c>
      <c r="J151" s="107">
        <v>0.0</v>
      </c>
      <c r="K151" s="107">
        <v>0.0</v>
      </c>
      <c r="L151" s="107">
        <v>0.0</v>
      </c>
      <c r="M151" s="107">
        <v>0.0</v>
      </c>
      <c r="N151" s="107">
        <v>0.0</v>
      </c>
      <c r="O151" s="107">
        <v>0.0</v>
      </c>
      <c r="P151" s="107">
        <v>0.0</v>
      </c>
      <c r="Q151" s="107">
        <v>0.0</v>
      </c>
      <c r="R151" s="107">
        <v>0.0</v>
      </c>
      <c r="S151" s="107">
        <v>0.0</v>
      </c>
      <c r="T151" s="107">
        <v>0.0</v>
      </c>
      <c r="U151" s="107">
        <v>0.0</v>
      </c>
      <c r="V151" s="107">
        <v>0.0</v>
      </c>
      <c r="W151" s="107">
        <v>0.0</v>
      </c>
      <c r="X151" s="107">
        <v>0.0</v>
      </c>
      <c r="Y151" s="107">
        <v>0.0</v>
      </c>
      <c r="Z151" s="107">
        <v>0.0</v>
      </c>
      <c r="AA151" s="120">
        <v>0.0</v>
      </c>
      <c r="AB151" s="107">
        <v>0.0</v>
      </c>
      <c r="AC151" s="107">
        <v>0.0</v>
      </c>
      <c r="AD151" s="107">
        <v>0.0</v>
      </c>
      <c r="AE151" s="107">
        <v>0.0</v>
      </c>
      <c r="AF151" s="107">
        <v>0.0</v>
      </c>
      <c r="AG151" s="107">
        <v>0.0</v>
      </c>
      <c r="AH151" s="107">
        <v>0.0</v>
      </c>
      <c r="AI151" s="107">
        <v>0.0</v>
      </c>
      <c r="AJ151" s="107">
        <v>0.0</v>
      </c>
      <c r="AK151" s="107">
        <v>0.0</v>
      </c>
      <c r="AL151" s="107">
        <v>0.0</v>
      </c>
      <c r="AM151" s="107">
        <v>0.0</v>
      </c>
      <c r="AN151" s="107">
        <v>0.0</v>
      </c>
      <c r="AO151" s="107">
        <v>0.0</v>
      </c>
      <c r="AP151" s="107">
        <v>0.0</v>
      </c>
      <c r="AQ151" s="107">
        <v>0.0</v>
      </c>
      <c r="AR151" s="107">
        <v>0.0</v>
      </c>
      <c r="AS151" s="107">
        <v>0.0</v>
      </c>
      <c r="AT151" s="107">
        <v>0.0</v>
      </c>
      <c r="AU151" s="107">
        <v>0.0</v>
      </c>
      <c r="AV151" s="107">
        <v>0.0</v>
      </c>
      <c r="AW151" s="107">
        <v>0.0</v>
      </c>
      <c r="AX151" s="107">
        <v>0.0</v>
      </c>
      <c r="AY151" s="107">
        <v>0.0</v>
      </c>
      <c r="AZ151" s="107">
        <v>0.0</v>
      </c>
      <c r="BA151" s="107">
        <v>0.0</v>
      </c>
      <c r="BB151" s="107">
        <v>0.0</v>
      </c>
      <c r="BC151" s="107">
        <v>0.0</v>
      </c>
      <c r="BD151" s="107">
        <v>0.0</v>
      </c>
      <c r="BE151" s="107">
        <v>0.0</v>
      </c>
      <c r="BF151" s="107">
        <v>0.0</v>
      </c>
      <c r="BG151" s="107">
        <v>0.0</v>
      </c>
      <c r="BH151" s="107">
        <v>0.0</v>
      </c>
      <c r="BI151" s="107">
        <v>0.0</v>
      </c>
      <c r="BJ151" s="107">
        <v>0.0</v>
      </c>
      <c r="BK151" s="107">
        <v>0.0</v>
      </c>
      <c r="BL151" s="107">
        <v>0.0</v>
      </c>
      <c r="BM151" s="107">
        <v>0.0</v>
      </c>
      <c r="BN151" s="107">
        <v>0.0</v>
      </c>
      <c r="BO151" s="107">
        <v>0.0</v>
      </c>
      <c r="BP151" s="107">
        <v>0.0</v>
      </c>
      <c r="BQ151" s="107">
        <v>0.0</v>
      </c>
      <c r="BR151" s="107">
        <v>0.0</v>
      </c>
      <c r="BS151" s="107">
        <v>0.0</v>
      </c>
      <c r="BT151" s="107">
        <v>0.0</v>
      </c>
      <c r="BU151" s="107">
        <v>0.0</v>
      </c>
      <c r="BV151" s="107">
        <v>0.0</v>
      </c>
      <c r="BW151" s="108"/>
    </row>
    <row r="152">
      <c r="A152" s="130" t="s">
        <v>331</v>
      </c>
      <c r="B152" s="131"/>
      <c r="C152" s="132">
        <v>0.0</v>
      </c>
      <c r="D152" s="130">
        <v>50000.0</v>
      </c>
      <c r="E152" s="130">
        <v>50000.0</v>
      </c>
      <c r="F152" s="132">
        <f>E152</f>
        <v>50000</v>
      </c>
      <c r="G152" s="130">
        <v>50000.0</v>
      </c>
      <c r="H152" s="130">
        <v>50000.0</v>
      </c>
      <c r="I152" s="130">
        <v>50000.0</v>
      </c>
      <c r="J152" s="130">
        <v>0.0</v>
      </c>
      <c r="K152" s="132">
        <f t="shared" ref="K152:U152" si="162">J152</f>
        <v>0</v>
      </c>
      <c r="L152" s="132">
        <f t="shared" si="162"/>
        <v>0</v>
      </c>
      <c r="M152" s="132">
        <f t="shared" si="162"/>
        <v>0</v>
      </c>
      <c r="N152" s="132">
        <f t="shared" si="162"/>
        <v>0</v>
      </c>
      <c r="O152" s="132">
        <f t="shared" si="162"/>
        <v>0</v>
      </c>
      <c r="P152" s="132">
        <f t="shared" si="162"/>
        <v>0</v>
      </c>
      <c r="Q152" s="132">
        <f t="shared" si="162"/>
        <v>0</v>
      </c>
      <c r="R152" s="132">
        <f t="shared" si="162"/>
        <v>0</v>
      </c>
      <c r="S152" s="132">
        <f t="shared" si="162"/>
        <v>0</v>
      </c>
      <c r="T152" s="132">
        <f t="shared" si="162"/>
        <v>0</v>
      </c>
      <c r="U152" s="132">
        <f t="shared" si="162"/>
        <v>0</v>
      </c>
      <c r="V152" s="130">
        <v>5000000.0</v>
      </c>
      <c r="W152" s="130">
        <v>0.0</v>
      </c>
      <c r="X152" s="132">
        <f t="shared" ref="X152:AC152" si="163">W152</f>
        <v>0</v>
      </c>
      <c r="Y152" s="132">
        <f t="shared" si="163"/>
        <v>0</v>
      </c>
      <c r="Z152" s="132">
        <f t="shared" si="163"/>
        <v>0</v>
      </c>
      <c r="AA152" s="132">
        <f t="shared" si="163"/>
        <v>0</v>
      </c>
      <c r="AB152" s="132">
        <f t="shared" si="163"/>
        <v>0</v>
      </c>
      <c r="AC152" s="132">
        <f t="shared" si="163"/>
        <v>0</v>
      </c>
      <c r="AD152" s="133">
        <v>0.0</v>
      </c>
      <c r="AE152" s="133">
        <v>0.0</v>
      </c>
      <c r="AF152" s="133">
        <v>0.0</v>
      </c>
      <c r="AG152" s="133">
        <v>0.0</v>
      </c>
      <c r="AH152" s="133">
        <v>0.0</v>
      </c>
      <c r="AI152" s="133">
        <v>0.0</v>
      </c>
      <c r="AJ152" s="133">
        <v>0.0</v>
      </c>
      <c r="AK152" s="133">
        <v>0.0</v>
      </c>
      <c r="AL152" s="133">
        <v>0.0</v>
      </c>
      <c r="AM152" s="133">
        <v>0.0</v>
      </c>
      <c r="AN152" s="133">
        <v>0.0</v>
      </c>
      <c r="AO152" s="133">
        <v>0.0</v>
      </c>
      <c r="AP152" s="133">
        <v>0.0</v>
      </c>
      <c r="AQ152" s="133">
        <v>0.0</v>
      </c>
      <c r="AR152" s="133">
        <v>0.0</v>
      </c>
      <c r="AS152" s="133">
        <v>0.0</v>
      </c>
      <c r="AT152" s="133">
        <v>0.0</v>
      </c>
      <c r="AU152" s="133">
        <v>0.0</v>
      </c>
      <c r="AV152" s="133">
        <v>0.0</v>
      </c>
      <c r="AW152" s="133">
        <v>0.0</v>
      </c>
      <c r="AX152" s="133">
        <v>0.0</v>
      </c>
      <c r="AY152" s="133">
        <v>0.0</v>
      </c>
      <c r="AZ152" s="133">
        <v>0.0</v>
      </c>
      <c r="BA152" s="133">
        <v>0.0</v>
      </c>
      <c r="BB152" s="133">
        <v>0.0</v>
      </c>
      <c r="BC152" s="133">
        <v>0.0</v>
      </c>
      <c r="BD152" s="133">
        <v>0.0</v>
      </c>
      <c r="BE152" s="133">
        <v>0.0</v>
      </c>
      <c r="BF152" s="133">
        <v>0.0</v>
      </c>
      <c r="BG152" s="133">
        <v>0.0</v>
      </c>
      <c r="BH152" s="133">
        <v>0.0</v>
      </c>
      <c r="BI152" s="133">
        <v>0.0</v>
      </c>
      <c r="BJ152" s="133">
        <v>0.0</v>
      </c>
      <c r="BK152" s="133">
        <v>0.0</v>
      </c>
      <c r="BL152" s="133">
        <v>0.0</v>
      </c>
      <c r="BM152" s="133">
        <v>0.0</v>
      </c>
      <c r="BN152" s="133">
        <v>0.0</v>
      </c>
      <c r="BO152" s="133">
        <v>0.0</v>
      </c>
      <c r="BP152" s="133">
        <v>0.0</v>
      </c>
      <c r="BQ152" s="133">
        <v>0.0</v>
      </c>
      <c r="BR152" s="133">
        <v>0.0</v>
      </c>
      <c r="BS152" s="133">
        <v>0.0</v>
      </c>
      <c r="BT152" s="133">
        <v>0.0</v>
      </c>
      <c r="BU152" s="133">
        <v>0.0</v>
      </c>
      <c r="BV152" s="133">
        <v>0.0</v>
      </c>
      <c r="BW152" s="134"/>
    </row>
    <row r="153">
      <c r="A153" s="10" t="s">
        <v>332</v>
      </c>
      <c r="B153" s="7"/>
      <c r="C153" s="107">
        <v>0.0</v>
      </c>
      <c r="D153" s="107">
        <v>0.0</v>
      </c>
      <c r="E153" s="107">
        <v>0.0</v>
      </c>
      <c r="F153" s="107">
        <v>0.0</v>
      </c>
      <c r="G153" s="107">
        <v>0.0</v>
      </c>
      <c r="H153" s="107">
        <v>0.0</v>
      </c>
      <c r="I153" s="107">
        <v>0.0</v>
      </c>
      <c r="J153" s="107">
        <v>0.0</v>
      </c>
      <c r="K153" s="107">
        <v>0.0</v>
      </c>
      <c r="L153" s="107">
        <v>0.0</v>
      </c>
      <c r="M153" s="107">
        <v>0.0</v>
      </c>
      <c r="N153" s="107">
        <v>0.0</v>
      </c>
      <c r="O153" s="107">
        <v>0.0</v>
      </c>
      <c r="P153" s="107">
        <v>0.0</v>
      </c>
      <c r="Q153" s="107">
        <v>0.0</v>
      </c>
      <c r="R153" s="107">
        <v>0.0</v>
      </c>
      <c r="S153" s="107">
        <v>0.0</v>
      </c>
      <c r="T153" s="107">
        <v>0.0</v>
      </c>
      <c r="U153" s="107">
        <v>0.0</v>
      </c>
      <c r="V153" s="107">
        <v>0.0</v>
      </c>
      <c r="W153" s="107">
        <v>0.0</v>
      </c>
      <c r="X153" s="107">
        <v>0.0</v>
      </c>
      <c r="Y153" s="107">
        <v>0.0</v>
      </c>
      <c r="Z153" s="107">
        <v>0.0</v>
      </c>
      <c r="AA153" s="107">
        <v>0.0</v>
      </c>
      <c r="AB153" s="107">
        <v>0.0</v>
      </c>
      <c r="AC153" s="107">
        <v>0.0</v>
      </c>
      <c r="AD153" s="107">
        <v>0.0</v>
      </c>
      <c r="AE153" s="107">
        <v>0.0</v>
      </c>
      <c r="AF153" s="107">
        <v>0.0</v>
      </c>
      <c r="AG153" s="107">
        <v>0.0</v>
      </c>
      <c r="AH153" s="107">
        <v>0.0</v>
      </c>
      <c r="AI153" s="107">
        <v>0.0</v>
      </c>
      <c r="AJ153" s="107">
        <v>0.0</v>
      </c>
      <c r="AK153" s="107">
        <v>0.0</v>
      </c>
      <c r="AL153" s="107">
        <v>0.0</v>
      </c>
      <c r="AM153" s="107">
        <v>0.0</v>
      </c>
      <c r="AN153" s="107">
        <v>0.0</v>
      </c>
      <c r="AO153" s="107">
        <v>0.0</v>
      </c>
      <c r="AP153" s="107">
        <v>0.0</v>
      </c>
      <c r="AQ153" s="107">
        <v>0.0</v>
      </c>
      <c r="AR153" s="107">
        <v>0.0</v>
      </c>
      <c r="AS153" s="107">
        <v>0.0</v>
      </c>
      <c r="AT153" s="107">
        <v>0.0</v>
      </c>
      <c r="AU153" s="107">
        <v>0.0</v>
      </c>
      <c r="AV153" s="107">
        <v>0.0</v>
      </c>
      <c r="AW153" s="107">
        <v>0.0</v>
      </c>
      <c r="AX153" s="107">
        <v>0.0</v>
      </c>
      <c r="AY153" s="107">
        <v>0.0</v>
      </c>
      <c r="AZ153" s="107">
        <v>0.0</v>
      </c>
      <c r="BA153" s="107">
        <v>0.0</v>
      </c>
      <c r="BB153" s="107">
        <v>0.0</v>
      </c>
      <c r="BC153" s="107">
        <v>0.0</v>
      </c>
      <c r="BD153" s="107">
        <v>0.0</v>
      </c>
      <c r="BE153" s="107">
        <v>0.0</v>
      </c>
      <c r="BF153" s="107">
        <v>0.0</v>
      </c>
      <c r="BG153" s="107">
        <v>0.0</v>
      </c>
      <c r="BH153" s="107">
        <v>0.0</v>
      </c>
      <c r="BI153" s="107">
        <v>0.0</v>
      </c>
      <c r="BJ153" s="107">
        <v>0.0</v>
      </c>
      <c r="BK153" s="107">
        <v>0.0</v>
      </c>
      <c r="BL153" s="107">
        <v>0.0</v>
      </c>
      <c r="BM153" s="107">
        <v>0.0</v>
      </c>
      <c r="BN153" s="107">
        <v>0.0</v>
      </c>
      <c r="BO153" s="107">
        <v>0.0</v>
      </c>
      <c r="BP153" s="107">
        <v>0.0</v>
      </c>
      <c r="BQ153" s="107">
        <v>0.0</v>
      </c>
      <c r="BR153" s="107">
        <v>0.0</v>
      </c>
      <c r="BS153" s="107">
        <v>0.0</v>
      </c>
      <c r="BT153" s="107">
        <v>0.0</v>
      </c>
      <c r="BU153" s="107">
        <v>0.0</v>
      </c>
      <c r="BV153" s="107">
        <v>0.0</v>
      </c>
      <c r="BW153" s="108"/>
    </row>
    <row r="154">
      <c r="A154" s="135" t="s">
        <v>333</v>
      </c>
      <c r="B154" s="136"/>
      <c r="C154" s="137">
        <f t="shared" ref="C154:BV154" si="164">SUM(C150:C153)</f>
        <v>0</v>
      </c>
      <c r="D154" s="137">
        <f t="shared" si="164"/>
        <v>50000</v>
      </c>
      <c r="E154" s="137">
        <f t="shared" si="164"/>
        <v>50000</v>
      </c>
      <c r="F154" s="137">
        <f t="shared" si="164"/>
        <v>50000</v>
      </c>
      <c r="G154" s="137">
        <f t="shared" si="164"/>
        <v>50000</v>
      </c>
      <c r="H154" s="137">
        <f t="shared" si="164"/>
        <v>50000</v>
      </c>
      <c r="I154" s="137">
        <f t="shared" si="164"/>
        <v>50000</v>
      </c>
      <c r="J154" s="137">
        <f t="shared" si="164"/>
        <v>0</v>
      </c>
      <c r="K154" s="137">
        <f t="shared" si="164"/>
        <v>0</v>
      </c>
      <c r="L154" s="137">
        <f t="shared" si="164"/>
        <v>0</v>
      </c>
      <c r="M154" s="137">
        <f t="shared" si="164"/>
        <v>0</v>
      </c>
      <c r="N154" s="137">
        <f t="shared" si="164"/>
        <v>0</v>
      </c>
      <c r="O154" s="137">
        <f t="shared" si="164"/>
        <v>0</v>
      </c>
      <c r="P154" s="137">
        <f t="shared" si="164"/>
        <v>0</v>
      </c>
      <c r="Q154" s="137">
        <f t="shared" si="164"/>
        <v>0</v>
      </c>
      <c r="R154" s="137">
        <f t="shared" si="164"/>
        <v>0</v>
      </c>
      <c r="S154" s="137">
        <f t="shared" si="164"/>
        <v>0</v>
      </c>
      <c r="T154" s="137">
        <f t="shared" si="164"/>
        <v>0</v>
      </c>
      <c r="U154" s="137">
        <f t="shared" si="164"/>
        <v>0</v>
      </c>
      <c r="V154" s="137">
        <f t="shared" si="164"/>
        <v>5000000</v>
      </c>
      <c r="W154" s="137">
        <f t="shared" si="164"/>
        <v>0</v>
      </c>
      <c r="X154" s="137">
        <f t="shared" si="164"/>
        <v>0</v>
      </c>
      <c r="Y154" s="137">
        <f t="shared" si="164"/>
        <v>0</v>
      </c>
      <c r="Z154" s="137">
        <f t="shared" si="164"/>
        <v>0</v>
      </c>
      <c r="AA154" s="137">
        <f t="shared" si="164"/>
        <v>0</v>
      </c>
      <c r="AB154" s="137">
        <f t="shared" si="164"/>
        <v>0</v>
      </c>
      <c r="AC154" s="137">
        <f t="shared" si="164"/>
        <v>0</v>
      </c>
      <c r="AD154" s="137">
        <f t="shared" si="164"/>
        <v>0</v>
      </c>
      <c r="AE154" s="137">
        <f t="shared" si="164"/>
        <v>0</v>
      </c>
      <c r="AF154" s="137">
        <f t="shared" si="164"/>
        <v>0</v>
      </c>
      <c r="AG154" s="137">
        <f t="shared" si="164"/>
        <v>0</v>
      </c>
      <c r="AH154" s="137">
        <f t="shared" si="164"/>
        <v>0</v>
      </c>
      <c r="AI154" s="137">
        <f t="shared" si="164"/>
        <v>0</v>
      </c>
      <c r="AJ154" s="137">
        <f t="shared" si="164"/>
        <v>0</v>
      </c>
      <c r="AK154" s="137">
        <f t="shared" si="164"/>
        <v>0</v>
      </c>
      <c r="AL154" s="137">
        <f t="shared" si="164"/>
        <v>0</v>
      </c>
      <c r="AM154" s="137">
        <f t="shared" si="164"/>
        <v>0</v>
      </c>
      <c r="AN154" s="137">
        <f t="shared" si="164"/>
        <v>0</v>
      </c>
      <c r="AO154" s="137">
        <f t="shared" si="164"/>
        <v>0</v>
      </c>
      <c r="AP154" s="137">
        <f t="shared" si="164"/>
        <v>0</v>
      </c>
      <c r="AQ154" s="137">
        <f t="shared" si="164"/>
        <v>0</v>
      </c>
      <c r="AR154" s="137">
        <f t="shared" si="164"/>
        <v>0</v>
      </c>
      <c r="AS154" s="137">
        <f t="shared" si="164"/>
        <v>0</v>
      </c>
      <c r="AT154" s="137">
        <f t="shared" si="164"/>
        <v>0</v>
      </c>
      <c r="AU154" s="137">
        <f t="shared" si="164"/>
        <v>0</v>
      </c>
      <c r="AV154" s="137">
        <f t="shared" si="164"/>
        <v>0</v>
      </c>
      <c r="AW154" s="137">
        <f t="shared" si="164"/>
        <v>0</v>
      </c>
      <c r="AX154" s="137">
        <f t="shared" si="164"/>
        <v>0</v>
      </c>
      <c r="AY154" s="137">
        <f t="shared" si="164"/>
        <v>0</v>
      </c>
      <c r="AZ154" s="137">
        <f t="shared" si="164"/>
        <v>0</v>
      </c>
      <c r="BA154" s="137">
        <f t="shared" si="164"/>
        <v>0</v>
      </c>
      <c r="BB154" s="137">
        <f t="shared" si="164"/>
        <v>0</v>
      </c>
      <c r="BC154" s="137">
        <f t="shared" si="164"/>
        <v>0</v>
      </c>
      <c r="BD154" s="137">
        <f t="shared" si="164"/>
        <v>0</v>
      </c>
      <c r="BE154" s="137">
        <f t="shared" si="164"/>
        <v>0</v>
      </c>
      <c r="BF154" s="137">
        <f t="shared" si="164"/>
        <v>0</v>
      </c>
      <c r="BG154" s="137">
        <f t="shared" si="164"/>
        <v>0</v>
      </c>
      <c r="BH154" s="137">
        <f t="shared" si="164"/>
        <v>0</v>
      </c>
      <c r="BI154" s="137">
        <f t="shared" si="164"/>
        <v>0</v>
      </c>
      <c r="BJ154" s="137">
        <f t="shared" si="164"/>
        <v>0</v>
      </c>
      <c r="BK154" s="137">
        <f t="shared" si="164"/>
        <v>0</v>
      </c>
      <c r="BL154" s="137">
        <f t="shared" si="164"/>
        <v>0</v>
      </c>
      <c r="BM154" s="137">
        <f t="shared" si="164"/>
        <v>0</v>
      </c>
      <c r="BN154" s="137">
        <f t="shared" si="164"/>
        <v>0</v>
      </c>
      <c r="BO154" s="137">
        <f t="shared" si="164"/>
        <v>0</v>
      </c>
      <c r="BP154" s="137">
        <f t="shared" si="164"/>
        <v>0</v>
      </c>
      <c r="BQ154" s="137">
        <f t="shared" si="164"/>
        <v>0</v>
      </c>
      <c r="BR154" s="137">
        <f t="shared" si="164"/>
        <v>0</v>
      </c>
      <c r="BS154" s="137">
        <f t="shared" si="164"/>
        <v>0</v>
      </c>
      <c r="BT154" s="137">
        <f t="shared" si="164"/>
        <v>0</v>
      </c>
      <c r="BU154" s="137">
        <f t="shared" si="164"/>
        <v>0</v>
      </c>
      <c r="BV154" s="137">
        <f t="shared" si="164"/>
        <v>0</v>
      </c>
      <c r="BW154" s="137"/>
    </row>
    <row r="155">
      <c r="A155" s="10" t="s">
        <v>229</v>
      </c>
      <c r="B155" s="7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94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9"/>
    </row>
    <row r="156">
      <c r="A156" s="138" t="s">
        <v>334</v>
      </c>
      <c r="B156" s="139"/>
      <c r="C156" s="140">
        <f t="shared" ref="C156:AB156" si="165">(C53+C154)-C144</f>
        <v>0</v>
      </c>
      <c r="D156" s="140">
        <f t="shared" si="165"/>
        <v>49950</v>
      </c>
      <c r="E156" s="140">
        <f t="shared" si="165"/>
        <v>49950</v>
      </c>
      <c r="F156" s="140">
        <f t="shared" si="165"/>
        <v>49950</v>
      </c>
      <c r="G156" s="140">
        <f t="shared" si="165"/>
        <v>49920</v>
      </c>
      <c r="H156" s="140">
        <f t="shared" si="165"/>
        <v>49920</v>
      </c>
      <c r="I156" s="140">
        <f t="shared" si="165"/>
        <v>52330.50625</v>
      </c>
      <c r="J156" s="140">
        <f t="shared" si="165"/>
        <v>15848.32007</v>
      </c>
      <c r="K156" s="140">
        <f t="shared" si="165"/>
        <v>99647.1062</v>
      </c>
      <c r="L156" s="140">
        <f t="shared" si="165"/>
        <v>101175.0325</v>
      </c>
      <c r="M156" s="140">
        <f t="shared" si="165"/>
        <v>101490.8903</v>
      </c>
      <c r="N156" s="140">
        <f t="shared" si="165"/>
        <v>111289.5172</v>
      </c>
      <c r="O156" s="140">
        <f t="shared" si="165"/>
        <v>118324.9513</v>
      </c>
      <c r="P156" s="140">
        <f t="shared" si="165"/>
        <v>211494.439</v>
      </c>
      <c r="Q156" s="140">
        <f t="shared" si="165"/>
        <v>284551.2621</v>
      </c>
      <c r="R156" s="140">
        <f t="shared" si="165"/>
        <v>357697.1907</v>
      </c>
      <c r="S156" s="140">
        <f t="shared" si="165"/>
        <v>358829.748</v>
      </c>
      <c r="T156" s="140">
        <f t="shared" si="165"/>
        <v>871001.4197</v>
      </c>
      <c r="U156" s="140">
        <f t="shared" si="165"/>
        <v>872770.2987</v>
      </c>
      <c r="V156" s="140">
        <f t="shared" si="165"/>
        <v>6138195.973</v>
      </c>
      <c r="W156" s="140">
        <f t="shared" si="165"/>
        <v>1140848.941</v>
      </c>
      <c r="X156" s="140">
        <f t="shared" si="165"/>
        <v>1120860.194</v>
      </c>
      <c r="Y156" s="140">
        <f t="shared" si="165"/>
        <v>1123531.031</v>
      </c>
      <c r="Z156" s="140">
        <f t="shared" si="165"/>
        <v>1126218.967</v>
      </c>
      <c r="AA156" s="140">
        <f t="shared" si="165"/>
        <v>1318425.011</v>
      </c>
      <c r="AB156" s="140">
        <f t="shared" si="165"/>
        <v>1321325.071</v>
      </c>
      <c r="AC156" s="140">
        <f>AC53-AC144</f>
        <v>1379669.718</v>
      </c>
      <c r="AD156" s="140">
        <f t="shared" ref="AD156:BV156" si="166">(AD53+AD154)-AD144</f>
        <v>1378094.096</v>
      </c>
      <c r="AE156" s="140">
        <f t="shared" si="166"/>
        <v>1381531.711</v>
      </c>
      <c r="AF156" s="140">
        <f t="shared" si="166"/>
        <v>1385066.947</v>
      </c>
      <c r="AG156" s="140">
        <f t="shared" si="166"/>
        <v>1388604.238</v>
      </c>
      <c r="AH156" s="140">
        <f t="shared" si="166"/>
        <v>1392157.156</v>
      </c>
      <c r="AI156" s="140">
        <f t="shared" si="166"/>
        <v>1395728.674</v>
      </c>
      <c r="AJ156" s="140">
        <f t="shared" si="166"/>
        <v>1399334.638</v>
      </c>
      <c r="AK156" s="140">
        <f t="shared" si="166"/>
        <v>1402955.064</v>
      </c>
      <c r="AL156" s="140">
        <f t="shared" si="166"/>
        <v>1406584.776</v>
      </c>
      <c r="AM156" s="140">
        <f t="shared" si="166"/>
        <v>1410252.084</v>
      </c>
      <c r="AN156" s="140">
        <f t="shared" si="166"/>
        <v>1413920.499</v>
      </c>
      <c r="AO156" s="140">
        <f t="shared" si="166"/>
        <v>1417616.004</v>
      </c>
      <c r="AP156" s="140">
        <f t="shared" si="166"/>
        <v>1421342.501</v>
      </c>
      <c r="AQ156" s="140">
        <f t="shared" si="166"/>
        <v>1425071.312</v>
      </c>
      <c r="AR156" s="140">
        <f t="shared" si="166"/>
        <v>1428832.689</v>
      </c>
      <c r="AS156" s="140">
        <f t="shared" si="166"/>
        <v>1432625.882</v>
      </c>
      <c r="AT156" s="140">
        <f t="shared" si="166"/>
        <v>1436421.084</v>
      </c>
      <c r="AU156" s="140">
        <f t="shared" si="166"/>
        <v>1440251.935</v>
      </c>
      <c r="AV156" s="140">
        <f t="shared" si="166"/>
        <v>1444090.329</v>
      </c>
      <c r="AW156" s="140">
        <f t="shared" si="166"/>
        <v>1447956.139</v>
      </c>
      <c r="AX156" s="140">
        <f t="shared" si="166"/>
        <v>1451860.007</v>
      </c>
      <c r="AY156" s="140">
        <f t="shared" si="166"/>
        <v>1455768.679</v>
      </c>
      <c r="AZ156" s="140">
        <f t="shared" si="166"/>
        <v>1459694.548</v>
      </c>
      <c r="BA156" s="140">
        <f t="shared" si="166"/>
        <v>1463666.171</v>
      </c>
      <c r="BB156" s="140">
        <f t="shared" si="166"/>
        <v>1467645.254</v>
      </c>
      <c r="BC156" s="140">
        <f t="shared" si="166"/>
        <v>1471651.191</v>
      </c>
      <c r="BD156" s="140">
        <f t="shared" si="166"/>
        <v>1475675.761</v>
      </c>
      <c r="BE156" s="140">
        <f t="shared" si="166"/>
        <v>1479724.239</v>
      </c>
      <c r="BF156" s="140">
        <f t="shared" si="166"/>
        <v>1483800.488</v>
      </c>
      <c r="BG156" s="140">
        <f t="shared" si="166"/>
        <v>1487899.259</v>
      </c>
      <c r="BH156" s="140">
        <f t="shared" si="166"/>
        <v>1492025.363</v>
      </c>
      <c r="BI156" s="140">
        <f t="shared" si="166"/>
        <v>1496169.961</v>
      </c>
      <c r="BJ156" s="140">
        <f t="shared" si="166"/>
        <v>1500332.056</v>
      </c>
      <c r="BK156" s="140">
        <f t="shared" si="166"/>
        <v>1504542.094</v>
      </c>
      <c r="BL156" s="140">
        <f t="shared" si="166"/>
        <v>1508764.149</v>
      </c>
      <c r="BM156" s="140">
        <f t="shared" si="166"/>
        <v>1513012.245</v>
      </c>
      <c r="BN156" s="140">
        <f t="shared" si="166"/>
        <v>1517275.289</v>
      </c>
      <c r="BO156" s="140">
        <f t="shared" si="166"/>
        <v>1521580.249</v>
      </c>
      <c r="BP156" s="140">
        <f t="shared" si="166"/>
        <v>1525900.605</v>
      </c>
      <c r="BQ156" s="140">
        <f t="shared" si="166"/>
        <v>1530256.536</v>
      </c>
      <c r="BR156" s="140">
        <f t="shared" si="166"/>
        <v>1534627.919</v>
      </c>
      <c r="BS156" s="140">
        <f t="shared" si="166"/>
        <v>1539034.902</v>
      </c>
      <c r="BT156" s="140">
        <f t="shared" si="166"/>
        <v>1543960.993</v>
      </c>
      <c r="BU156" s="140">
        <f t="shared" si="166"/>
        <v>1548418.191</v>
      </c>
      <c r="BV156" s="140">
        <f t="shared" si="166"/>
        <v>1552903.469</v>
      </c>
      <c r="BW156" s="86">
        <f>SUM(C156:BV156)</f>
        <v>84249842.97</v>
      </c>
    </row>
    <row r="157">
      <c r="A157" s="10"/>
      <c r="B157" s="7"/>
      <c r="C157" s="107"/>
      <c r="D157" s="107"/>
      <c r="E157" s="107"/>
      <c r="F157" s="107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94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9"/>
    </row>
    <row r="158">
      <c r="A158" s="10"/>
      <c r="B158" s="7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9"/>
    </row>
    <row r="159">
      <c r="A159" s="10"/>
      <c r="B159" s="7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9"/>
    </row>
    <row r="160">
      <c r="A160" s="10"/>
      <c r="B160" s="7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9"/>
    </row>
    <row r="161">
      <c r="A161" s="10"/>
      <c r="B161" s="7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9"/>
    </row>
    <row r="162">
      <c r="A162" s="10"/>
      <c r="B162" s="7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9"/>
    </row>
    <row r="163">
      <c r="A163" s="10"/>
      <c r="B163" s="7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9"/>
    </row>
    <row r="164">
      <c r="A164" s="10"/>
      <c r="B164" s="7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9"/>
    </row>
    <row r="165">
      <c r="A165" s="10"/>
      <c r="B165" s="7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9"/>
    </row>
    <row r="166">
      <c r="A166" s="10"/>
      <c r="B166" s="7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9"/>
    </row>
    <row r="167">
      <c r="A167" s="10"/>
      <c r="B167" s="7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9"/>
    </row>
    <row r="168">
      <c r="A168" s="10"/>
      <c r="B168" s="7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9"/>
    </row>
    <row r="169">
      <c r="A169" s="10"/>
      <c r="B169" s="7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9"/>
    </row>
    <row r="170">
      <c r="A170" s="10"/>
      <c r="B170" s="7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9"/>
    </row>
    <row r="171">
      <c r="A171" s="10"/>
      <c r="B171" s="7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9"/>
    </row>
    <row r="172">
      <c r="A172" s="10"/>
      <c r="B172" s="7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9"/>
    </row>
    <row r="173">
      <c r="A173" s="10"/>
      <c r="B173" s="7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9"/>
    </row>
    <row r="174">
      <c r="A174" s="10"/>
      <c r="B174" s="7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9"/>
    </row>
    <row r="175">
      <c r="A175" s="10"/>
      <c r="B175" s="7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9"/>
    </row>
    <row r="176">
      <c r="A176" s="10"/>
      <c r="B176" s="7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9"/>
    </row>
    <row r="177">
      <c r="A177" s="10"/>
      <c r="B177" s="7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9"/>
    </row>
    <row r="178">
      <c r="A178" s="10"/>
      <c r="B178" s="7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9"/>
    </row>
    <row r="179">
      <c r="A179" s="10"/>
      <c r="B179" s="7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9"/>
    </row>
    <row r="180">
      <c r="A180" s="10"/>
      <c r="B180" s="7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9"/>
    </row>
    <row r="181">
      <c r="A181" s="10"/>
      <c r="B181" s="7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9"/>
    </row>
    <row r="182">
      <c r="A182" s="10"/>
      <c r="B182" s="7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9"/>
    </row>
    <row r="183">
      <c r="A183" s="10"/>
      <c r="B183" s="7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9"/>
    </row>
    <row r="184">
      <c r="A184" s="10"/>
      <c r="B184" s="7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9"/>
    </row>
    <row r="185">
      <c r="A185" s="10"/>
      <c r="B185" s="7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9"/>
    </row>
    <row r="186">
      <c r="A186" s="10"/>
      <c r="B186" s="7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9"/>
    </row>
    <row r="187">
      <c r="A187" s="10"/>
      <c r="B187" s="7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9"/>
    </row>
    <row r="188">
      <c r="A188" s="10"/>
      <c r="B188" s="7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9"/>
    </row>
    <row r="189">
      <c r="A189" s="10"/>
      <c r="B189" s="7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9"/>
    </row>
    <row r="190">
      <c r="A190" s="10"/>
      <c r="B190" s="7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9"/>
    </row>
    <row r="191">
      <c r="A191" s="10"/>
      <c r="B191" s="7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9"/>
    </row>
    <row r="192">
      <c r="A192" s="10"/>
      <c r="B192" s="7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9"/>
    </row>
    <row r="193">
      <c r="A193" s="10"/>
      <c r="B193" s="7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9"/>
    </row>
    <row r="194">
      <c r="A194" s="10"/>
      <c r="B194" s="7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9"/>
    </row>
    <row r="195">
      <c r="A195" s="10"/>
      <c r="B195" s="7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9"/>
    </row>
    <row r="196">
      <c r="A196" s="10"/>
      <c r="B196" s="7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9"/>
    </row>
    <row r="197">
      <c r="A197" s="10"/>
      <c r="B197" s="7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9"/>
    </row>
    <row r="198">
      <c r="A198" s="10"/>
      <c r="B198" s="7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9"/>
    </row>
    <row r="199">
      <c r="A199" s="10"/>
      <c r="B199" s="7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9"/>
    </row>
    <row r="200">
      <c r="A200" s="10"/>
      <c r="B200" s="7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9"/>
    </row>
    <row r="201">
      <c r="A201" s="10"/>
      <c r="B201" s="7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9"/>
    </row>
    <row r="202">
      <c r="A202" s="10"/>
      <c r="B202" s="7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9"/>
    </row>
    <row r="203">
      <c r="A203" s="10"/>
      <c r="B203" s="7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9"/>
    </row>
    <row r="204">
      <c r="A204" s="10"/>
      <c r="B204" s="7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9"/>
    </row>
    <row r="205">
      <c r="A205" s="10"/>
      <c r="B205" s="7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9"/>
    </row>
    <row r="206">
      <c r="A206" s="10"/>
      <c r="B206" s="7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9"/>
    </row>
    <row r="207">
      <c r="A207" s="10"/>
      <c r="B207" s="7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9"/>
    </row>
    <row r="208">
      <c r="A208" s="10"/>
      <c r="B208" s="7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9"/>
    </row>
    <row r="209">
      <c r="A209" s="10"/>
      <c r="B209" s="7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9"/>
    </row>
    <row r="210">
      <c r="A210" s="10"/>
      <c r="B210" s="7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9"/>
    </row>
    <row r="211">
      <c r="A211" s="10"/>
      <c r="B211" s="7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9"/>
    </row>
    <row r="212">
      <c r="A212" s="10"/>
      <c r="B212" s="7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9"/>
    </row>
    <row r="213">
      <c r="A213" s="10"/>
      <c r="B213" s="7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9"/>
    </row>
    <row r="214">
      <c r="A214" s="10"/>
      <c r="B214" s="7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9"/>
    </row>
    <row r="215">
      <c r="A215" s="10"/>
      <c r="B215" s="7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9"/>
    </row>
    <row r="216">
      <c r="A216" s="10"/>
      <c r="B216" s="7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9"/>
    </row>
    <row r="217">
      <c r="A217" s="10"/>
      <c r="B217" s="7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9"/>
    </row>
    <row r="218">
      <c r="A218" s="10"/>
      <c r="B218" s="7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9"/>
    </row>
    <row r="219">
      <c r="A219" s="10"/>
      <c r="B219" s="7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9"/>
    </row>
    <row r="220">
      <c r="A220" s="10"/>
      <c r="B220" s="7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9"/>
    </row>
    <row r="221">
      <c r="A221" s="10"/>
      <c r="B221" s="7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9"/>
    </row>
    <row r="222">
      <c r="A222" s="10"/>
      <c r="B222" s="7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9"/>
    </row>
    <row r="223">
      <c r="A223" s="10"/>
      <c r="B223" s="7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9"/>
    </row>
    <row r="224">
      <c r="A224" s="10"/>
      <c r="B224" s="7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9"/>
    </row>
    <row r="225">
      <c r="A225" s="10"/>
      <c r="B225" s="7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9"/>
    </row>
    <row r="226">
      <c r="A226" s="10"/>
      <c r="B226" s="7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9"/>
    </row>
    <row r="227">
      <c r="A227" s="10"/>
      <c r="B227" s="7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9"/>
    </row>
    <row r="228">
      <c r="A228" s="10"/>
      <c r="B228" s="7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9"/>
    </row>
    <row r="229">
      <c r="A229" s="10"/>
      <c r="B229" s="7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9"/>
    </row>
    <row r="230">
      <c r="A230" s="10"/>
      <c r="B230" s="7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9"/>
    </row>
    <row r="231">
      <c r="A231" s="10"/>
      <c r="B231" s="7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9"/>
    </row>
    <row r="232">
      <c r="A232" s="10"/>
      <c r="B232" s="7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9"/>
    </row>
    <row r="233">
      <c r="A233" s="10"/>
      <c r="B233" s="7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9"/>
    </row>
    <row r="234">
      <c r="A234" s="10"/>
      <c r="B234" s="7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9"/>
    </row>
    <row r="235">
      <c r="A235" s="10"/>
      <c r="B235" s="7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9"/>
    </row>
    <row r="236">
      <c r="A236" s="10"/>
      <c r="B236" s="7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9"/>
    </row>
    <row r="237">
      <c r="A237" s="10"/>
      <c r="B237" s="7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9"/>
    </row>
    <row r="238">
      <c r="A238" s="10"/>
      <c r="B238" s="7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9"/>
    </row>
    <row r="239">
      <c r="A239" s="10"/>
      <c r="B239" s="7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9"/>
    </row>
    <row r="240">
      <c r="A240" s="10"/>
      <c r="B240" s="7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9"/>
    </row>
    <row r="241">
      <c r="A241" s="10"/>
      <c r="B241" s="7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9"/>
    </row>
    <row r="242">
      <c r="A242" s="10"/>
      <c r="B242" s="7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9"/>
    </row>
    <row r="243">
      <c r="A243" s="10"/>
      <c r="B243" s="7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9"/>
    </row>
    <row r="244">
      <c r="A244" s="10"/>
      <c r="B244" s="7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9"/>
    </row>
    <row r="245">
      <c r="A245" s="10"/>
      <c r="B245" s="7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9"/>
    </row>
    <row r="246">
      <c r="A246" s="10"/>
      <c r="B246" s="7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9"/>
    </row>
    <row r="247">
      <c r="A247" s="10"/>
      <c r="B247" s="7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9"/>
    </row>
    <row r="248">
      <c r="A248" s="10"/>
      <c r="B248" s="7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9"/>
    </row>
    <row r="249">
      <c r="A249" s="10"/>
      <c r="B249" s="7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9"/>
    </row>
    <row r="250">
      <c r="A250" s="10"/>
      <c r="B250" s="7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9"/>
    </row>
    <row r="251">
      <c r="A251" s="10"/>
      <c r="B251" s="7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9"/>
    </row>
    <row r="252">
      <c r="A252" s="10"/>
      <c r="B252" s="7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9"/>
    </row>
    <row r="253">
      <c r="A253" s="10"/>
      <c r="B253" s="7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9"/>
    </row>
    <row r="254">
      <c r="A254" s="10"/>
      <c r="B254" s="7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9"/>
    </row>
    <row r="255">
      <c r="A255" s="10"/>
      <c r="B255" s="7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9"/>
    </row>
    <row r="256">
      <c r="A256" s="10"/>
      <c r="B256" s="7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9"/>
    </row>
    <row r="257">
      <c r="A257" s="10"/>
      <c r="B257" s="7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9"/>
    </row>
    <row r="258">
      <c r="A258" s="10"/>
      <c r="B258" s="7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9"/>
    </row>
    <row r="259">
      <c r="A259" s="10"/>
      <c r="B259" s="7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9"/>
    </row>
    <row r="260">
      <c r="A260" s="10"/>
      <c r="B260" s="7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9"/>
    </row>
    <row r="261">
      <c r="A261" s="10"/>
      <c r="B261" s="7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9"/>
    </row>
    <row r="262">
      <c r="A262" s="10"/>
      <c r="B262" s="7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9"/>
    </row>
    <row r="263">
      <c r="A263" s="10"/>
      <c r="B263" s="7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9"/>
    </row>
    <row r="264">
      <c r="A264" s="10"/>
      <c r="B264" s="7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9"/>
    </row>
    <row r="265">
      <c r="A265" s="10"/>
      <c r="B265" s="7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9"/>
    </row>
    <row r="266">
      <c r="A266" s="10"/>
      <c r="B266" s="7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9"/>
    </row>
    <row r="267">
      <c r="A267" s="10"/>
      <c r="B267" s="7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9"/>
    </row>
    <row r="268">
      <c r="A268" s="10"/>
      <c r="B268" s="7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9"/>
    </row>
    <row r="269">
      <c r="A269" s="10"/>
      <c r="B269" s="7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9"/>
    </row>
    <row r="270">
      <c r="A270" s="10"/>
      <c r="B270" s="7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9"/>
    </row>
    <row r="271">
      <c r="A271" s="10"/>
      <c r="B271" s="7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9"/>
    </row>
    <row r="272">
      <c r="A272" s="10"/>
      <c r="B272" s="7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9"/>
    </row>
    <row r="273">
      <c r="A273" s="10"/>
      <c r="B273" s="7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9"/>
    </row>
    <row r="274">
      <c r="A274" s="10"/>
      <c r="B274" s="7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9"/>
    </row>
    <row r="275">
      <c r="A275" s="10"/>
      <c r="B275" s="7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9"/>
    </row>
    <row r="276">
      <c r="A276" s="10"/>
      <c r="B276" s="7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9"/>
    </row>
    <row r="277">
      <c r="A277" s="10"/>
      <c r="B277" s="7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9"/>
    </row>
    <row r="278">
      <c r="A278" s="10"/>
      <c r="B278" s="7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9"/>
    </row>
    <row r="279">
      <c r="A279" s="10"/>
      <c r="B279" s="7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9"/>
    </row>
    <row r="280">
      <c r="A280" s="10"/>
      <c r="B280" s="7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9"/>
    </row>
    <row r="281">
      <c r="A281" s="10"/>
      <c r="B281" s="7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9"/>
    </row>
    <row r="282">
      <c r="A282" s="10"/>
      <c r="B282" s="7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9"/>
    </row>
    <row r="283">
      <c r="A283" s="10"/>
      <c r="B283" s="7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9"/>
    </row>
    <row r="284">
      <c r="A284" s="10"/>
      <c r="B284" s="7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9"/>
    </row>
    <row r="285">
      <c r="A285" s="10"/>
      <c r="B285" s="7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9"/>
    </row>
    <row r="286">
      <c r="A286" s="10"/>
      <c r="B286" s="7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9"/>
    </row>
    <row r="287">
      <c r="A287" s="10"/>
      <c r="B287" s="7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9"/>
    </row>
    <row r="288">
      <c r="A288" s="10"/>
      <c r="B288" s="7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9"/>
    </row>
    <row r="289">
      <c r="A289" s="10"/>
      <c r="B289" s="7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9"/>
    </row>
    <row r="290">
      <c r="A290" s="10"/>
      <c r="B290" s="7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9"/>
    </row>
    <row r="291">
      <c r="A291" s="10"/>
      <c r="B291" s="7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9"/>
    </row>
    <row r="292">
      <c r="A292" s="10"/>
      <c r="B292" s="7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9"/>
    </row>
    <row r="293">
      <c r="A293" s="10"/>
      <c r="B293" s="7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9"/>
    </row>
    <row r="294">
      <c r="A294" s="10"/>
      <c r="B294" s="7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9"/>
    </row>
    <row r="295">
      <c r="A295" s="10"/>
      <c r="B295" s="7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9"/>
    </row>
    <row r="296">
      <c r="A296" s="10"/>
      <c r="B296" s="7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9"/>
    </row>
    <row r="297">
      <c r="A297" s="10"/>
      <c r="B297" s="7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9"/>
    </row>
    <row r="298">
      <c r="A298" s="10"/>
      <c r="B298" s="7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9"/>
    </row>
    <row r="299">
      <c r="A299" s="10"/>
      <c r="B299" s="7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9"/>
    </row>
    <row r="300">
      <c r="A300" s="10"/>
      <c r="B300" s="7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9"/>
    </row>
    <row r="301">
      <c r="A301" s="10"/>
      <c r="B301" s="7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9"/>
    </row>
    <row r="302">
      <c r="A302" s="10"/>
      <c r="B302" s="7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9"/>
    </row>
    <row r="303">
      <c r="A303" s="10"/>
      <c r="B303" s="7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9"/>
    </row>
    <row r="304">
      <c r="A304" s="10"/>
      <c r="B304" s="7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9"/>
    </row>
    <row r="305">
      <c r="A305" s="10"/>
      <c r="B305" s="7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9"/>
    </row>
    <row r="306">
      <c r="A306" s="10"/>
      <c r="B306" s="7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9"/>
    </row>
    <row r="307">
      <c r="A307" s="10"/>
      <c r="B307" s="7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9"/>
    </row>
    <row r="308">
      <c r="A308" s="10"/>
      <c r="B308" s="7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9"/>
    </row>
    <row r="309">
      <c r="A309" s="10"/>
      <c r="B309" s="7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9"/>
    </row>
    <row r="310">
      <c r="A310" s="10"/>
      <c r="B310" s="7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9"/>
    </row>
    <row r="311">
      <c r="A311" s="10"/>
      <c r="B311" s="7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9"/>
    </row>
    <row r="312">
      <c r="A312" s="10"/>
      <c r="B312" s="7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9"/>
    </row>
    <row r="313">
      <c r="A313" s="10"/>
      <c r="B313" s="7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9"/>
    </row>
    <row r="314">
      <c r="A314" s="10"/>
      <c r="B314" s="7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9"/>
    </row>
    <row r="315">
      <c r="A315" s="10"/>
      <c r="B315" s="7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9"/>
    </row>
    <row r="316">
      <c r="A316" s="10"/>
      <c r="B316" s="7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9"/>
    </row>
    <row r="317">
      <c r="A317" s="10"/>
      <c r="B317" s="7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9"/>
    </row>
    <row r="318">
      <c r="A318" s="10"/>
      <c r="B318" s="7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9"/>
    </row>
    <row r="319">
      <c r="A319" s="10"/>
      <c r="B319" s="7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9"/>
    </row>
    <row r="320">
      <c r="A320" s="10"/>
      <c r="B320" s="7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9"/>
    </row>
    <row r="321">
      <c r="A321" s="10"/>
      <c r="B321" s="7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9"/>
    </row>
    <row r="322">
      <c r="A322" s="10"/>
      <c r="B322" s="7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9"/>
    </row>
    <row r="323">
      <c r="A323" s="10"/>
      <c r="B323" s="7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9"/>
    </row>
    <row r="324">
      <c r="A324" s="10"/>
      <c r="B324" s="7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9"/>
    </row>
    <row r="325">
      <c r="A325" s="10"/>
      <c r="B325" s="7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9"/>
    </row>
    <row r="326">
      <c r="A326" s="10"/>
      <c r="B326" s="7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9"/>
    </row>
    <row r="327">
      <c r="A327" s="10"/>
      <c r="B327" s="7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9"/>
    </row>
    <row r="328">
      <c r="A328" s="10"/>
      <c r="B328" s="7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9"/>
    </row>
    <row r="329">
      <c r="A329" s="10"/>
      <c r="B329" s="7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9"/>
    </row>
    <row r="330">
      <c r="A330" s="10"/>
      <c r="B330" s="7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9"/>
    </row>
    <row r="331">
      <c r="A331" s="10"/>
      <c r="B331" s="7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9"/>
    </row>
    <row r="332">
      <c r="A332" s="10"/>
      <c r="B332" s="7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9"/>
    </row>
    <row r="333">
      <c r="A333" s="10"/>
      <c r="B333" s="7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9"/>
    </row>
    <row r="334">
      <c r="A334" s="10"/>
      <c r="B334" s="7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9"/>
    </row>
    <row r="335">
      <c r="A335" s="10"/>
      <c r="B335" s="7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9"/>
    </row>
    <row r="336">
      <c r="A336" s="10"/>
      <c r="B336" s="7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9"/>
    </row>
    <row r="337">
      <c r="A337" s="10"/>
      <c r="B337" s="7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9"/>
    </row>
    <row r="338">
      <c r="A338" s="10"/>
      <c r="B338" s="7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9"/>
    </row>
    <row r="339">
      <c r="A339" s="10"/>
      <c r="B339" s="7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9"/>
    </row>
    <row r="340">
      <c r="A340" s="10"/>
      <c r="B340" s="7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9"/>
    </row>
    <row r="341">
      <c r="A341" s="10"/>
      <c r="B341" s="7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9"/>
    </row>
    <row r="342">
      <c r="A342" s="10"/>
      <c r="B342" s="7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9"/>
    </row>
    <row r="343">
      <c r="A343" s="10"/>
      <c r="B343" s="7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9"/>
    </row>
    <row r="344">
      <c r="A344" s="10"/>
      <c r="B344" s="7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9"/>
    </row>
    <row r="345">
      <c r="A345" s="10"/>
      <c r="B345" s="7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9"/>
    </row>
    <row r="346">
      <c r="A346" s="10"/>
      <c r="B346" s="7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9"/>
    </row>
    <row r="347">
      <c r="A347" s="10"/>
      <c r="B347" s="7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9"/>
    </row>
    <row r="348">
      <c r="A348" s="10"/>
      <c r="B348" s="7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9"/>
    </row>
    <row r="349">
      <c r="A349" s="10"/>
      <c r="B349" s="7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9"/>
    </row>
    <row r="350">
      <c r="A350" s="10"/>
      <c r="B350" s="7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9"/>
    </row>
    <row r="351">
      <c r="A351" s="10"/>
      <c r="B351" s="7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9"/>
    </row>
    <row r="352">
      <c r="A352" s="10"/>
      <c r="B352" s="7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9"/>
    </row>
    <row r="353">
      <c r="A353" s="10"/>
      <c r="B353" s="7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9"/>
    </row>
    <row r="354">
      <c r="A354" s="10"/>
      <c r="B354" s="7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9"/>
    </row>
    <row r="355">
      <c r="A355" s="10"/>
      <c r="B355" s="7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9"/>
    </row>
    <row r="356">
      <c r="A356" s="10"/>
      <c r="B356" s="7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9"/>
    </row>
    <row r="357">
      <c r="A357" s="10"/>
      <c r="B357" s="7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9"/>
    </row>
    <row r="358">
      <c r="A358" s="10"/>
      <c r="B358" s="7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9"/>
    </row>
    <row r="359">
      <c r="A359" s="10"/>
      <c r="B359" s="7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9"/>
    </row>
    <row r="360">
      <c r="A360" s="10"/>
      <c r="B360" s="7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9"/>
    </row>
    <row r="361">
      <c r="A361" s="10"/>
      <c r="B361" s="7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9"/>
    </row>
    <row r="362">
      <c r="A362" s="10"/>
      <c r="B362" s="7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9"/>
    </row>
    <row r="363">
      <c r="A363" s="10"/>
      <c r="B363" s="7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9"/>
    </row>
    <row r="364">
      <c r="A364" s="10"/>
      <c r="B364" s="7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9"/>
    </row>
    <row r="365">
      <c r="A365" s="10"/>
      <c r="B365" s="7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9"/>
    </row>
    <row r="366">
      <c r="A366" s="10"/>
      <c r="B366" s="7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9"/>
    </row>
    <row r="367">
      <c r="A367" s="10"/>
      <c r="B367" s="7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9"/>
    </row>
    <row r="368">
      <c r="A368" s="10"/>
      <c r="B368" s="7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9"/>
    </row>
    <row r="369">
      <c r="A369" s="10"/>
      <c r="B369" s="7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9"/>
    </row>
    <row r="370">
      <c r="A370" s="10"/>
      <c r="B370" s="7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94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9"/>
    </row>
    <row r="371">
      <c r="A371" s="10"/>
      <c r="B371" s="7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94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9"/>
    </row>
    <row r="372">
      <c r="A372" s="10"/>
      <c r="B372" s="7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94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9"/>
    </row>
    <row r="373">
      <c r="A373" s="10"/>
      <c r="B373" s="7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94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9"/>
    </row>
    <row r="374">
      <c r="A374" s="10"/>
      <c r="B374" s="7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94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9"/>
    </row>
    <row r="375">
      <c r="A375" s="10"/>
      <c r="B375" s="7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94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9"/>
    </row>
    <row r="376">
      <c r="A376" s="10"/>
      <c r="B376" s="7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94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9"/>
    </row>
    <row r="377">
      <c r="A377" s="10"/>
      <c r="B377" s="7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94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9"/>
    </row>
    <row r="378">
      <c r="A378" s="10"/>
      <c r="B378" s="7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94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9"/>
    </row>
    <row r="379">
      <c r="A379" s="10"/>
      <c r="B379" s="7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94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9"/>
    </row>
    <row r="380">
      <c r="A380" s="10"/>
      <c r="B380" s="7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94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9"/>
    </row>
    <row r="381">
      <c r="A381" s="10"/>
      <c r="B381" s="7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94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9"/>
    </row>
    <row r="382">
      <c r="A382" s="10"/>
      <c r="B382" s="7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94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9"/>
    </row>
    <row r="383">
      <c r="A383" s="10"/>
      <c r="B383" s="7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94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9"/>
    </row>
    <row r="384">
      <c r="A384" s="10"/>
      <c r="B384" s="7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94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9"/>
    </row>
    <row r="385">
      <c r="A385" s="10"/>
      <c r="B385" s="7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94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9"/>
    </row>
    <row r="386">
      <c r="A386" s="10"/>
      <c r="B386" s="7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94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9"/>
    </row>
    <row r="387">
      <c r="A387" s="10"/>
      <c r="B387" s="7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94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9"/>
    </row>
    <row r="388">
      <c r="A388" s="10"/>
      <c r="B388" s="7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94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9"/>
    </row>
    <row r="389">
      <c r="A389" s="10"/>
      <c r="B389" s="7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94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9"/>
    </row>
    <row r="390">
      <c r="A390" s="10"/>
      <c r="B390" s="7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94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9"/>
    </row>
    <row r="391">
      <c r="A391" s="10"/>
      <c r="B391" s="7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94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9"/>
    </row>
    <row r="392">
      <c r="A392" s="10"/>
      <c r="B392" s="7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94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9"/>
    </row>
    <row r="393">
      <c r="A393" s="10"/>
      <c r="B393" s="7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94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9"/>
    </row>
    <row r="394">
      <c r="A394" s="10"/>
      <c r="B394" s="7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94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9"/>
    </row>
    <row r="395">
      <c r="A395" s="10"/>
      <c r="B395" s="7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94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9"/>
    </row>
    <row r="396">
      <c r="A396" s="10"/>
      <c r="B396" s="7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94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9"/>
    </row>
    <row r="397">
      <c r="A397" s="10"/>
      <c r="B397" s="7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94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9"/>
    </row>
    <row r="398">
      <c r="A398" s="10"/>
      <c r="B398" s="7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94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9"/>
    </row>
    <row r="399">
      <c r="A399" s="10"/>
      <c r="B399" s="7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94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9"/>
    </row>
    <row r="400">
      <c r="A400" s="10"/>
      <c r="B400" s="7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94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9"/>
    </row>
    <row r="401">
      <c r="A401" s="10"/>
      <c r="B401" s="7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94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9"/>
    </row>
    <row r="402">
      <c r="A402" s="10"/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94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9"/>
    </row>
    <row r="403">
      <c r="A403" s="10"/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94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9"/>
    </row>
    <row r="404">
      <c r="A404" s="10"/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94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9"/>
    </row>
    <row r="405">
      <c r="A405" s="10"/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94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9"/>
    </row>
    <row r="406">
      <c r="A406" s="10"/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94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9"/>
    </row>
    <row r="407">
      <c r="A407" s="10"/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94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9"/>
    </row>
    <row r="408">
      <c r="A408" s="10"/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94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9"/>
    </row>
    <row r="409">
      <c r="A409" s="10"/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94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9"/>
    </row>
    <row r="410">
      <c r="A410" s="10"/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94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9"/>
    </row>
    <row r="411">
      <c r="A411" s="10"/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94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9"/>
    </row>
    <row r="412">
      <c r="A412" s="10"/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94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9"/>
    </row>
    <row r="413">
      <c r="A413" s="10"/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94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9"/>
    </row>
    <row r="414">
      <c r="A414" s="10"/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94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9"/>
    </row>
    <row r="415">
      <c r="A415" s="10"/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94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9"/>
    </row>
    <row r="416">
      <c r="A416" s="10"/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94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9"/>
    </row>
    <row r="417">
      <c r="A417" s="10"/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94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9"/>
    </row>
    <row r="418">
      <c r="A418" s="10"/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94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9"/>
    </row>
    <row r="419">
      <c r="A419" s="10"/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94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9"/>
    </row>
    <row r="420">
      <c r="A420" s="10"/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94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9"/>
    </row>
    <row r="421">
      <c r="A421" s="10"/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94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9"/>
    </row>
    <row r="422">
      <c r="A422" s="10"/>
      <c r="B422" s="7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94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9"/>
    </row>
    <row r="423">
      <c r="A423" s="10"/>
      <c r="B423" s="7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94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9"/>
    </row>
    <row r="424">
      <c r="A424" s="10"/>
      <c r="B424" s="7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94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9"/>
    </row>
    <row r="425">
      <c r="A425" s="10"/>
      <c r="B425" s="7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94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9"/>
    </row>
    <row r="426">
      <c r="A426" s="10"/>
      <c r="B426" s="7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94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9"/>
    </row>
    <row r="427">
      <c r="A427" s="10"/>
      <c r="B427" s="7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94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9"/>
    </row>
    <row r="428">
      <c r="A428" s="10"/>
      <c r="B428" s="7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94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9"/>
    </row>
    <row r="429">
      <c r="A429" s="10"/>
      <c r="B429" s="7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94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9"/>
    </row>
    <row r="430">
      <c r="A430" s="10"/>
      <c r="B430" s="7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94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9"/>
    </row>
    <row r="431">
      <c r="A431" s="10"/>
      <c r="B431" s="7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94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9"/>
    </row>
    <row r="432">
      <c r="A432" s="10"/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94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9"/>
    </row>
    <row r="433">
      <c r="A433" s="10"/>
      <c r="B433" s="7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94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9"/>
    </row>
    <row r="434">
      <c r="A434" s="10"/>
      <c r="B434" s="7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94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9"/>
    </row>
    <row r="435">
      <c r="A435" s="10"/>
      <c r="B435" s="7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94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9"/>
    </row>
    <row r="436">
      <c r="A436" s="10"/>
      <c r="B436" s="7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94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9"/>
    </row>
    <row r="437">
      <c r="A437" s="10"/>
      <c r="B437" s="7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94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9"/>
    </row>
    <row r="438">
      <c r="A438" s="10"/>
      <c r="B438" s="7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94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9"/>
    </row>
    <row r="439">
      <c r="A439" s="10"/>
      <c r="B439" s="7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94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9"/>
    </row>
    <row r="440">
      <c r="A440" s="10"/>
      <c r="B440" s="7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94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9"/>
    </row>
    <row r="441">
      <c r="A441" s="10"/>
      <c r="B441" s="7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94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9"/>
    </row>
    <row r="442">
      <c r="A442" s="10"/>
      <c r="B442" s="7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94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9"/>
    </row>
    <row r="443">
      <c r="A443" s="10"/>
      <c r="B443" s="7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94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9"/>
    </row>
    <row r="444">
      <c r="A444" s="10"/>
      <c r="B444" s="7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94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9"/>
    </row>
    <row r="445">
      <c r="A445" s="10"/>
      <c r="B445" s="7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94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9"/>
    </row>
    <row r="446">
      <c r="A446" s="10"/>
      <c r="B446" s="7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94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9"/>
    </row>
    <row r="447">
      <c r="A447" s="10"/>
      <c r="B447" s="7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94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9"/>
    </row>
    <row r="448">
      <c r="A448" s="10"/>
      <c r="B448" s="7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94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9"/>
    </row>
    <row r="449">
      <c r="A449" s="10"/>
      <c r="B449" s="7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94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9"/>
    </row>
    <row r="450">
      <c r="A450" s="10"/>
      <c r="B450" s="7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94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9"/>
    </row>
    <row r="451">
      <c r="A451" s="10"/>
      <c r="B451" s="7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94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9"/>
    </row>
    <row r="452">
      <c r="A452" s="10"/>
      <c r="B452" s="7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94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9"/>
    </row>
    <row r="453">
      <c r="A453" s="10"/>
      <c r="B453" s="7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94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9"/>
    </row>
    <row r="454">
      <c r="A454" s="10"/>
      <c r="B454" s="7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94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9"/>
    </row>
    <row r="455">
      <c r="A455" s="10"/>
      <c r="B455" s="7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94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9"/>
    </row>
    <row r="456">
      <c r="A456" s="10"/>
      <c r="B456" s="7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94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9"/>
    </row>
    <row r="457">
      <c r="A457" s="10"/>
      <c r="B457" s="7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94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9"/>
    </row>
    <row r="458">
      <c r="A458" s="10"/>
      <c r="B458" s="7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94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9"/>
    </row>
    <row r="459">
      <c r="A459" s="10"/>
      <c r="B459" s="7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94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9"/>
    </row>
    <row r="460">
      <c r="A460" s="10"/>
      <c r="B460" s="7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94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9"/>
    </row>
    <row r="461">
      <c r="A461" s="10"/>
      <c r="B461" s="7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94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9"/>
    </row>
    <row r="462">
      <c r="A462" s="10"/>
      <c r="B462" s="7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94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9"/>
    </row>
    <row r="463">
      <c r="A463" s="10"/>
      <c r="B463" s="7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94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9"/>
    </row>
    <row r="464">
      <c r="A464" s="10"/>
      <c r="B464" s="7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94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9"/>
    </row>
    <row r="465">
      <c r="A465" s="10"/>
      <c r="B465" s="7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94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9"/>
    </row>
    <row r="466">
      <c r="A466" s="10"/>
      <c r="B466" s="7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94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9"/>
    </row>
    <row r="467">
      <c r="A467" s="10"/>
      <c r="B467" s="7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94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9"/>
    </row>
    <row r="468">
      <c r="A468" s="10"/>
      <c r="B468" s="7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94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9"/>
    </row>
    <row r="469">
      <c r="A469" s="10"/>
      <c r="B469" s="7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94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9"/>
    </row>
    <row r="470">
      <c r="A470" s="10"/>
      <c r="B470" s="7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94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9"/>
    </row>
    <row r="471">
      <c r="A471" s="10"/>
      <c r="B471" s="7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94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9"/>
    </row>
    <row r="472">
      <c r="A472" s="10"/>
      <c r="B472" s="7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94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9"/>
    </row>
    <row r="473">
      <c r="A473" s="10"/>
      <c r="B473" s="7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94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9"/>
    </row>
    <row r="474">
      <c r="A474" s="10"/>
      <c r="B474" s="7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94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9"/>
    </row>
    <row r="475">
      <c r="A475" s="10"/>
      <c r="B475" s="7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94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9"/>
    </row>
    <row r="476">
      <c r="A476" s="10"/>
      <c r="B476" s="7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94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9"/>
    </row>
    <row r="477">
      <c r="A477" s="10"/>
      <c r="B477" s="7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94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9"/>
    </row>
    <row r="478">
      <c r="A478" s="10"/>
      <c r="B478" s="7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94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9"/>
    </row>
    <row r="479">
      <c r="A479" s="10"/>
      <c r="B479" s="7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94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9"/>
    </row>
    <row r="480">
      <c r="A480" s="10"/>
      <c r="B480" s="7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94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9"/>
    </row>
    <row r="481">
      <c r="A481" s="10"/>
      <c r="B481" s="7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94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9"/>
    </row>
    <row r="482">
      <c r="A482" s="10"/>
      <c r="B482" s="7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94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9"/>
    </row>
    <row r="483">
      <c r="A483" s="10"/>
      <c r="B483" s="7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94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9"/>
    </row>
    <row r="484">
      <c r="A484" s="10"/>
      <c r="B484" s="7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94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9"/>
    </row>
    <row r="485">
      <c r="A485" s="10"/>
      <c r="B485" s="7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94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9"/>
    </row>
    <row r="486">
      <c r="A486" s="10"/>
      <c r="B486" s="7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94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9"/>
    </row>
    <row r="487">
      <c r="A487" s="10"/>
      <c r="B487" s="7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94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9"/>
    </row>
    <row r="488">
      <c r="A488" s="10"/>
      <c r="B488" s="7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94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9"/>
    </row>
    <row r="489">
      <c r="A489" s="10"/>
      <c r="B489" s="7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94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9"/>
    </row>
    <row r="490">
      <c r="A490" s="10"/>
      <c r="B490" s="7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94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9"/>
    </row>
    <row r="491">
      <c r="A491" s="10"/>
      <c r="B491" s="7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94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9"/>
    </row>
    <row r="492">
      <c r="A492" s="10"/>
      <c r="B492" s="7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94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9"/>
    </row>
    <row r="493">
      <c r="A493" s="10"/>
      <c r="B493" s="7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94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9"/>
    </row>
    <row r="494">
      <c r="A494" s="10"/>
      <c r="B494" s="7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94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9"/>
    </row>
    <row r="495">
      <c r="A495" s="10"/>
      <c r="B495" s="7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94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9"/>
    </row>
    <row r="496">
      <c r="A496" s="10"/>
      <c r="B496" s="7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94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9"/>
    </row>
    <row r="497">
      <c r="A497" s="10"/>
      <c r="B497" s="7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94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9"/>
    </row>
    <row r="498">
      <c r="A498" s="10"/>
      <c r="B498" s="7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94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9"/>
    </row>
    <row r="499">
      <c r="A499" s="10"/>
      <c r="B499" s="7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94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9"/>
    </row>
    <row r="500">
      <c r="A500" s="10"/>
      <c r="B500" s="7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94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9"/>
    </row>
    <row r="501">
      <c r="A501" s="10"/>
      <c r="B501" s="7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94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9"/>
    </row>
    <row r="502">
      <c r="A502" s="10"/>
      <c r="B502" s="7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94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9"/>
    </row>
    <row r="503">
      <c r="A503" s="10"/>
      <c r="B503" s="7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94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9"/>
    </row>
    <row r="504">
      <c r="A504" s="10"/>
      <c r="B504" s="7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94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9"/>
    </row>
    <row r="505">
      <c r="A505" s="10"/>
      <c r="B505" s="7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94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9"/>
    </row>
    <row r="506">
      <c r="A506" s="10"/>
      <c r="B506" s="7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94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9"/>
    </row>
    <row r="507">
      <c r="A507" s="10"/>
      <c r="B507" s="7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94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9"/>
    </row>
    <row r="508">
      <c r="A508" s="10"/>
      <c r="B508" s="7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94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9"/>
    </row>
    <row r="509">
      <c r="A509" s="10"/>
      <c r="B509" s="7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94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9"/>
    </row>
    <row r="510">
      <c r="A510" s="10"/>
      <c r="B510" s="7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94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9"/>
    </row>
    <row r="511">
      <c r="A511" s="10"/>
      <c r="B511" s="7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94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9"/>
    </row>
    <row r="512">
      <c r="A512" s="10"/>
      <c r="B512" s="7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94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9"/>
    </row>
    <row r="513">
      <c r="A513" s="10"/>
      <c r="B513" s="7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94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9"/>
    </row>
    <row r="514">
      <c r="A514" s="10"/>
      <c r="B514" s="7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94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9"/>
    </row>
    <row r="515">
      <c r="A515" s="10"/>
      <c r="B515" s="7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94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9"/>
    </row>
    <row r="516">
      <c r="A516" s="10"/>
      <c r="B516" s="7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94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9"/>
    </row>
    <row r="517">
      <c r="A517" s="10"/>
      <c r="B517" s="7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94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9"/>
    </row>
    <row r="518">
      <c r="A518" s="10"/>
      <c r="B518" s="7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94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9"/>
    </row>
    <row r="519">
      <c r="A519" s="10"/>
      <c r="B519" s="7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94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9"/>
    </row>
    <row r="520">
      <c r="A520" s="10"/>
      <c r="B520" s="7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94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9"/>
    </row>
    <row r="521">
      <c r="A521" s="10"/>
      <c r="B521" s="7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94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9"/>
    </row>
    <row r="522">
      <c r="A522" s="10"/>
      <c r="B522" s="7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94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9"/>
    </row>
    <row r="523">
      <c r="A523" s="10"/>
      <c r="B523" s="7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94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9"/>
    </row>
    <row r="524">
      <c r="A524" s="10"/>
      <c r="B524" s="7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94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9"/>
    </row>
    <row r="525">
      <c r="A525" s="10"/>
      <c r="B525" s="7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94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9"/>
    </row>
    <row r="526">
      <c r="A526" s="10"/>
      <c r="B526" s="7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94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9"/>
    </row>
    <row r="527">
      <c r="A527" s="10"/>
      <c r="B527" s="7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94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9"/>
    </row>
    <row r="528">
      <c r="A528" s="10"/>
      <c r="B528" s="7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94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9"/>
    </row>
    <row r="529">
      <c r="A529" s="10"/>
      <c r="B529" s="7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94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9"/>
    </row>
    <row r="530">
      <c r="A530" s="10"/>
      <c r="B530" s="7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94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9"/>
    </row>
    <row r="531">
      <c r="A531" s="10"/>
      <c r="B531" s="7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94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9"/>
    </row>
    <row r="532">
      <c r="A532" s="10"/>
      <c r="B532" s="7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94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9"/>
    </row>
    <row r="533">
      <c r="A533" s="10"/>
      <c r="B533" s="7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94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9"/>
    </row>
    <row r="534">
      <c r="A534" s="10"/>
      <c r="B534" s="7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94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9"/>
    </row>
    <row r="535">
      <c r="A535" s="10"/>
      <c r="B535" s="7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94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9"/>
    </row>
    <row r="536">
      <c r="A536" s="10"/>
      <c r="B536" s="7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94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9"/>
    </row>
    <row r="537">
      <c r="A537" s="10"/>
      <c r="B537" s="7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94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9"/>
    </row>
    <row r="538">
      <c r="A538" s="10"/>
      <c r="B538" s="7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94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9"/>
    </row>
    <row r="539">
      <c r="A539" s="10"/>
      <c r="B539" s="7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94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9"/>
    </row>
    <row r="540">
      <c r="A540" s="10"/>
      <c r="B540" s="7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94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9"/>
    </row>
    <row r="541">
      <c r="A541" s="10"/>
      <c r="B541" s="7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94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9"/>
    </row>
    <row r="542">
      <c r="A542" s="10"/>
      <c r="B542" s="7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94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9"/>
    </row>
    <row r="543">
      <c r="A543" s="10"/>
      <c r="B543" s="7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94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9"/>
    </row>
    <row r="544">
      <c r="A544" s="10"/>
      <c r="B544" s="7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94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9"/>
    </row>
    <row r="545">
      <c r="A545" s="10"/>
      <c r="B545" s="7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94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9"/>
    </row>
    <row r="546">
      <c r="A546" s="10"/>
      <c r="B546" s="7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94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9"/>
    </row>
    <row r="547">
      <c r="A547" s="10"/>
      <c r="B547" s="7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94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9"/>
    </row>
    <row r="548">
      <c r="A548" s="10"/>
      <c r="B548" s="7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94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9"/>
    </row>
    <row r="549">
      <c r="A549" s="10"/>
      <c r="B549" s="7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94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9"/>
    </row>
    <row r="550">
      <c r="A550" s="10"/>
      <c r="B550" s="7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94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9"/>
    </row>
    <row r="551">
      <c r="A551" s="10"/>
      <c r="B551" s="7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94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9"/>
    </row>
    <row r="552">
      <c r="A552" s="10"/>
      <c r="B552" s="7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94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9"/>
    </row>
    <row r="553">
      <c r="A553" s="10"/>
      <c r="B553" s="7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94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9"/>
    </row>
    <row r="554">
      <c r="A554" s="10"/>
      <c r="B554" s="7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94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9"/>
    </row>
    <row r="555">
      <c r="A555" s="10"/>
      <c r="B555" s="7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94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9"/>
    </row>
    <row r="556">
      <c r="A556" s="10"/>
      <c r="B556" s="7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94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9"/>
    </row>
    <row r="557">
      <c r="A557" s="10"/>
      <c r="B557" s="7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94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9"/>
    </row>
    <row r="558">
      <c r="A558" s="10"/>
      <c r="B558" s="7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94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9"/>
    </row>
    <row r="559">
      <c r="A559" s="10"/>
      <c r="B559" s="7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94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9"/>
    </row>
    <row r="560">
      <c r="A560" s="10"/>
      <c r="B560" s="7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94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9"/>
    </row>
    <row r="561">
      <c r="A561" s="10"/>
      <c r="B561" s="7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94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9"/>
    </row>
    <row r="562">
      <c r="A562" s="10"/>
      <c r="B562" s="7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94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9"/>
    </row>
    <row r="563">
      <c r="A563" s="10"/>
      <c r="B563" s="7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94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9"/>
    </row>
    <row r="564">
      <c r="A564" s="10"/>
      <c r="B564" s="7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94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9"/>
    </row>
    <row r="565">
      <c r="A565" s="10"/>
      <c r="B565" s="7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94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9"/>
    </row>
    <row r="566">
      <c r="A566" s="10"/>
      <c r="B566" s="7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94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9"/>
    </row>
    <row r="567">
      <c r="A567" s="10"/>
      <c r="B567" s="7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94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9"/>
    </row>
    <row r="568">
      <c r="A568" s="10"/>
      <c r="B568" s="7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94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9"/>
    </row>
    <row r="569">
      <c r="A569" s="10"/>
      <c r="B569" s="7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94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9"/>
    </row>
    <row r="570">
      <c r="A570" s="10"/>
      <c r="B570" s="7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94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9"/>
    </row>
    <row r="571">
      <c r="A571" s="10"/>
      <c r="B571" s="7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94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9"/>
    </row>
    <row r="572">
      <c r="A572" s="10"/>
      <c r="B572" s="7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94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9"/>
    </row>
    <row r="573">
      <c r="A573" s="10"/>
      <c r="B573" s="7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94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9"/>
    </row>
    <row r="574">
      <c r="A574" s="10"/>
      <c r="B574" s="7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94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9"/>
    </row>
    <row r="575">
      <c r="A575" s="10"/>
      <c r="B575" s="7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94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9"/>
    </row>
    <row r="576">
      <c r="A576" s="10"/>
      <c r="B576" s="7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94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9"/>
    </row>
    <row r="577">
      <c r="A577" s="10"/>
      <c r="B577" s="7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94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9"/>
    </row>
    <row r="578">
      <c r="A578" s="10"/>
      <c r="B578" s="7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94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9"/>
    </row>
    <row r="579">
      <c r="A579" s="10"/>
      <c r="B579" s="7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94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9"/>
    </row>
    <row r="580">
      <c r="A580" s="10"/>
      <c r="B580" s="7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94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9"/>
    </row>
    <row r="581">
      <c r="A581" s="10"/>
      <c r="B581" s="7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94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9"/>
    </row>
    <row r="582">
      <c r="A582" s="10"/>
      <c r="B582" s="7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94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9"/>
    </row>
    <row r="583">
      <c r="A583" s="10"/>
      <c r="B583" s="7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94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9"/>
    </row>
    <row r="584">
      <c r="A584" s="10"/>
      <c r="B584" s="7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94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9"/>
    </row>
    <row r="585">
      <c r="A585" s="10"/>
      <c r="B585" s="7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94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9"/>
    </row>
    <row r="586">
      <c r="A586" s="10"/>
      <c r="B586" s="7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94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9"/>
    </row>
    <row r="587">
      <c r="A587" s="10"/>
      <c r="B587" s="7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94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9"/>
    </row>
    <row r="588">
      <c r="A588" s="10"/>
      <c r="B588" s="7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94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9"/>
    </row>
    <row r="589">
      <c r="A589" s="10"/>
      <c r="B589" s="7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94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9"/>
    </row>
    <row r="590">
      <c r="A590" s="10"/>
      <c r="B590" s="7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94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9"/>
    </row>
    <row r="591">
      <c r="A591" s="10"/>
      <c r="B591" s="7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94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9"/>
    </row>
    <row r="592">
      <c r="A592" s="10"/>
      <c r="B592" s="7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94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9"/>
    </row>
    <row r="593">
      <c r="A593" s="10"/>
      <c r="B593" s="7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94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9"/>
    </row>
    <row r="594">
      <c r="A594" s="10"/>
      <c r="B594" s="7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94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9"/>
    </row>
    <row r="595">
      <c r="A595" s="10"/>
      <c r="B595" s="7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94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9"/>
    </row>
    <row r="596">
      <c r="A596" s="10"/>
      <c r="B596" s="7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94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9"/>
    </row>
    <row r="597">
      <c r="A597" s="10"/>
      <c r="B597" s="7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94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9"/>
    </row>
    <row r="598">
      <c r="A598" s="10"/>
      <c r="B598" s="7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94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9"/>
    </row>
    <row r="599">
      <c r="A599" s="10"/>
      <c r="B599" s="7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94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9"/>
    </row>
    <row r="600">
      <c r="A600" s="10"/>
      <c r="B600" s="7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94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9"/>
    </row>
    <row r="601">
      <c r="A601" s="10"/>
      <c r="B601" s="7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94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9"/>
    </row>
    <row r="602">
      <c r="A602" s="10"/>
      <c r="B602" s="7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94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9"/>
    </row>
    <row r="603">
      <c r="A603" s="10"/>
      <c r="B603" s="7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94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9"/>
    </row>
    <row r="604">
      <c r="A604" s="10"/>
      <c r="B604" s="7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94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9"/>
    </row>
    <row r="605">
      <c r="A605" s="10"/>
      <c r="B605" s="7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94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9"/>
    </row>
    <row r="606">
      <c r="A606" s="10"/>
      <c r="B606" s="7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94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9"/>
    </row>
    <row r="607">
      <c r="A607" s="10"/>
      <c r="B607" s="7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94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9"/>
    </row>
    <row r="608">
      <c r="A608" s="10"/>
      <c r="B608" s="7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94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9"/>
    </row>
    <row r="609">
      <c r="A609" s="10"/>
      <c r="B609" s="7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94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9"/>
    </row>
    <row r="610">
      <c r="A610" s="10"/>
      <c r="B610" s="7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94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9"/>
    </row>
    <row r="611">
      <c r="A611" s="10"/>
      <c r="B611" s="7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94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9"/>
    </row>
    <row r="612">
      <c r="A612" s="10"/>
      <c r="B612" s="7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94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9"/>
    </row>
    <row r="613">
      <c r="A613" s="10"/>
      <c r="B613" s="7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94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9"/>
    </row>
    <row r="614">
      <c r="A614" s="10"/>
      <c r="B614" s="7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94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9"/>
    </row>
    <row r="615">
      <c r="A615" s="10"/>
      <c r="B615" s="7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94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9"/>
    </row>
    <row r="616">
      <c r="A616" s="10"/>
      <c r="B616" s="7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94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9"/>
    </row>
    <row r="617">
      <c r="A617" s="10"/>
      <c r="B617" s="7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94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9"/>
    </row>
    <row r="618">
      <c r="A618" s="10"/>
      <c r="B618" s="7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94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9"/>
    </row>
    <row r="619">
      <c r="A619" s="10"/>
      <c r="B619" s="7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94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9"/>
    </row>
    <row r="620">
      <c r="A620" s="10"/>
      <c r="B620" s="7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94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9"/>
    </row>
    <row r="621">
      <c r="A621" s="10"/>
      <c r="B621" s="7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94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9"/>
    </row>
    <row r="622">
      <c r="A622" s="10"/>
      <c r="B622" s="7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94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9"/>
    </row>
    <row r="623">
      <c r="A623" s="10"/>
      <c r="B623" s="7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94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9"/>
    </row>
    <row r="624">
      <c r="A624" s="10"/>
      <c r="B624" s="7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94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9"/>
    </row>
    <row r="625">
      <c r="A625" s="10"/>
      <c r="B625" s="7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94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9"/>
    </row>
    <row r="626">
      <c r="A626" s="10"/>
      <c r="B626" s="7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94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9"/>
    </row>
    <row r="627">
      <c r="A627" s="10"/>
      <c r="B627" s="7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94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9"/>
    </row>
    <row r="628">
      <c r="A628" s="10"/>
      <c r="B628" s="7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94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9"/>
    </row>
    <row r="629">
      <c r="A629" s="10"/>
      <c r="B629" s="7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94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9"/>
    </row>
    <row r="630">
      <c r="A630" s="10"/>
      <c r="B630" s="7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94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9"/>
    </row>
    <row r="631">
      <c r="A631" s="10"/>
      <c r="B631" s="7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94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9"/>
    </row>
    <row r="632">
      <c r="A632" s="10"/>
      <c r="B632" s="7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94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9"/>
    </row>
    <row r="633">
      <c r="A633" s="10"/>
      <c r="B633" s="7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94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9"/>
    </row>
    <row r="634">
      <c r="A634" s="10"/>
      <c r="B634" s="7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94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9"/>
    </row>
    <row r="635">
      <c r="A635" s="10"/>
      <c r="B635" s="7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94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9"/>
    </row>
    <row r="636">
      <c r="A636" s="10"/>
      <c r="B636" s="7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94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9"/>
    </row>
    <row r="637">
      <c r="A637" s="10"/>
      <c r="B637" s="7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94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9"/>
    </row>
    <row r="638">
      <c r="A638" s="10"/>
      <c r="B638" s="7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94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9"/>
    </row>
    <row r="639">
      <c r="A639" s="10"/>
      <c r="B639" s="7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94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9"/>
    </row>
    <row r="640">
      <c r="A640" s="10"/>
      <c r="B640" s="7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94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9"/>
    </row>
    <row r="641">
      <c r="A641" s="10"/>
      <c r="B641" s="7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94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9"/>
    </row>
    <row r="642">
      <c r="A642" s="10"/>
      <c r="B642" s="7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94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9"/>
    </row>
    <row r="643">
      <c r="A643" s="10"/>
      <c r="B643" s="7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94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9"/>
    </row>
    <row r="644">
      <c r="A644" s="10"/>
      <c r="B644" s="7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94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9"/>
    </row>
    <row r="645">
      <c r="A645" s="10"/>
      <c r="B645" s="7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94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9"/>
    </row>
    <row r="646">
      <c r="A646" s="10"/>
      <c r="B646" s="7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94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9"/>
    </row>
    <row r="647">
      <c r="A647" s="10"/>
      <c r="B647" s="7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94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9"/>
    </row>
    <row r="648">
      <c r="A648" s="10"/>
      <c r="B648" s="7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94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9"/>
    </row>
    <row r="649">
      <c r="A649" s="10"/>
      <c r="B649" s="7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94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9"/>
    </row>
    <row r="650">
      <c r="A650" s="10"/>
      <c r="B650" s="7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94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9"/>
    </row>
    <row r="651">
      <c r="A651" s="10"/>
      <c r="B651" s="7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94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9"/>
    </row>
    <row r="652">
      <c r="A652" s="10"/>
      <c r="B652" s="7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94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9"/>
    </row>
    <row r="653">
      <c r="A653" s="10"/>
      <c r="B653" s="7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94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9"/>
    </row>
    <row r="654">
      <c r="A654" s="10"/>
      <c r="B654" s="7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94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9"/>
    </row>
    <row r="655">
      <c r="A655" s="10"/>
      <c r="B655" s="7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94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9"/>
    </row>
    <row r="656">
      <c r="A656" s="10"/>
      <c r="B656" s="7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94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9"/>
    </row>
    <row r="657">
      <c r="A657" s="10"/>
      <c r="B657" s="7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94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9"/>
    </row>
    <row r="658">
      <c r="A658" s="10"/>
      <c r="B658" s="7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94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9"/>
    </row>
    <row r="659">
      <c r="A659" s="10"/>
      <c r="B659" s="7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94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9"/>
    </row>
    <row r="660">
      <c r="A660" s="10"/>
      <c r="B660" s="7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94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9"/>
    </row>
    <row r="661">
      <c r="A661" s="10"/>
      <c r="B661" s="7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94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9"/>
    </row>
    <row r="662">
      <c r="A662" s="10"/>
      <c r="B662" s="7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94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9"/>
    </row>
    <row r="663">
      <c r="A663" s="10"/>
      <c r="B663" s="7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94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9"/>
    </row>
    <row r="664">
      <c r="A664" s="10"/>
      <c r="B664" s="7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94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9"/>
    </row>
    <row r="665">
      <c r="A665" s="10"/>
      <c r="B665" s="7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94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9"/>
    </row>
    <row r="666">
      <c r="A666" s="10"/>
      <c r="B666" s="7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94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9"/>
    </row>
    <row r="667">
      <c r="A667" s="10"/>
      <c r="B667" s="7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94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9"/>
    </row>
    <row r="668">
      <c r="A668" s="10"/>
      <c r="B668" s="7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94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9"/>
    </row>
    <row r="669">
      <c r="A669" s="10"/>
      <c r="B669" s="7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94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9"/>
    </row>
    <row r="670">
      <c r="A670" s="10"/>
      <c r="B670" s="7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94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9"/>
    </row>
    <row r="671">
      <c r="A671" s="10"/>
      <c r="B671" s="7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94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9"/>
    </row>
    <row r="672">
      <c r="A672" s="10"/>
      <c r="B672" s="7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94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9"/>
    </row>
    <row r="673">
      <c r="A673" s="10"/>
      <c r="B673" s="7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94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9"/>
    </row>
    <row r="674">
      <c r="A674" s="10"/>
      <c r="B674" s="7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94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9"/>
    </row>
    <row r="675">
      <c r="A675" s="10"/>
      <c r="B675" s="7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94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9"/>
    </row>
    <row r="676">
      <c r="A676" s="10"/>
      <c r="B676" s="7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94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9"/>
    </row>
    <row r="677">
      <c r="A677" s="10"/>
      <c r="B677" s="7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94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9"/>
    </row>
    <row r="678">
      <c r="A678" s="10"/>
      <c r="B678" s="7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94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9"/>
    </row>
    <row r="679">
      <c r="A679" s="10"/>
      <c r="B679" s="7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94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9"/>
    </row>
    <row r="680">
      <c r="A680" s="10"/>
      <c r="B680" s="7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94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9"/>
    </row>
    <row r="681">
      <c r="A681" s="10"/>
      <c r="B681" s="7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94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9"/>
    </row>
    <row r="682">
      <c r="A682" s="10"/>
      <c r="B682" s="7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94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9"/>
    </row>
    <row r="683">
      <c r="A683" s="10"/>
      <c r="B683" s="7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94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9"/>
    </row>
    <row r="684">
      <c r="A684" s="10"/>
      <c r="B684" s="7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94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9"/>
    </row>
    <row r="685">
      <c r="A685" s="10"/>
      <c r="B685" s="7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94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9"/>
    </row>
    <row r="686">
      <c r="A686" s="10"/>
      <c r="B686" s="7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94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9"/>
    </row>
    <row r="687">
      <c r="A687" s="10"/>
      <c r="B687" s="7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94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9"/>
    </row>
    <row r="688">
      <c r="A688" s="10"/>
      <c r="B688" s="7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94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9"/>
    </row>
    <row r="689">
      <c r="A689" s="10"/>
      <c r="B689" s="7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94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9"/>
    </row>
    <row r="690">
      <c r="A690" s="10"/>
      <c r="B690" s="7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94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9"/>
    </row>
    <row r="691">
      <c r="A691" s="10"/>
      <c r="B691" s="7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94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9"/>
    </row>
    <row r="692">
      <c r="A692" s="10"/>
      <c r="B692" s="7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94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9"/>
    </row>
    <row r="693">
      <c r="A693" s="10"/>
      <c r="B693" s="7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94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9"/>
    </row>
    <row r="694">
      <c r="A694" s="10"/>
      <c r="B694" s="7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94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9"/>
    </row>
    <row r="695">
      <c r="A695" s="10"/>
      <c r="B695" s="7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94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9"/>
    </row>
    <row r="696">
      <c r="A696" s="10"/>
      <c r="B696" s="7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94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9"/>
    </row>
    <row r="697">
      <c r="A697" s="10"/>
      <c r="B697" s="7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94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9"/>
    </row>
    <row r="698">
      <c r="A698" s="10"/>
      <c r="B698" s="7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94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9"/>
    </row>
    <row r="699">
      <c r="A699" s="10"/>
      <c r="B699" s="7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94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9"/>
    </row>
    <row r="700">
      <c r="A700" s="10"/>
      <c r="B700" s="7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94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9"/>
    </row>
    <row r="701">
      <c r="A701" s="10"/>
      <c r="B701" s="7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94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9"/>
    </row>
    <row r="702">
      <c r="A702" s="10"/>
      <c r="B702" s="7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94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9"/>
    </row>
    <row r="703">
      <c r="A703" s="10"/>
      <c r="B703" s="7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94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9"/>
    </row>
    <row r="704">
      <c r="A704" s="10"/>
      <c r="B704" s="7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94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9"/>
    </row>
    <row r="705">
      <c r="A705" s="10"/>
      <c r="B705" s="7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94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9"/>
    </row>
    <row r="706">
      <c r="A706" s="10"/>
      <c r="B706" s="7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94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9"/>
    </row>
    <row r="707">
      <c r="A707" s="10"/>
      <c r="B707" s="7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94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9"/>
    </row>
    <row r="708">
      <c r="A708" s="10"/>
      <c r="B708" s="7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94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9"/>
    </row>
    <row r="709">
      <c r="A709" s="10"/>
      <c r="B709" s="7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94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9"/>
    </row>
    <row r="710">
      <c r="A710" s="10"/>
      <c r="B710" s="7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94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9"/>
    </row>
    <row r="711">
      <c r="A711" s="10"/>
      <c r="B711" s="7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94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9"/>
    </row>
    <row r="712">
      <c r="A712" s="10"/>
      <c r="B712" s="7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94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9"/>
    </row>
    <row r="713">
      <c r="A713" s="10"/>
      <c r="B713" s="7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94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9"/>
    </row>
    <row r="714">
      <c r="A714" s="10"/>
      <c r="B714" s="7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94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9"/>
    </row>
    <row r="715">
      <c r="A715" s="10"/>
      <c r="B715" s="7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94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9"/>
    </row>
    <row r="716">
      <c r="A716" s="10"/>
      <c r="B716" s="7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94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9"/>
    </row>
    <row r="717">
      <c r="A717" s="10"/>
      <c r="B717" s="7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94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9"/>
    </row>
    <row r="718">
      <c r="A718" s="10"/>
      <c r="B718" s="7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94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9"/>
    </row>
    <row r="719">
      <c r="A719" s="10"/>
      <c r="B719" s="7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94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9"/>
    </row>
    <row r="720">
      <c r="A720" s="10"/>
      <c r="B720" s="7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94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9"/>
    </row>
    <row r="721">
      <c r="A721" s="10"/>
      <c r="B721" s="7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94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9"/>
    </row>
    <row r="722">
      <c r="A722" s="10"/>
      <c r="B722" s="7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94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9"/>
    </row>
    <row r="723">
      <c r="A723" s="10"/>
      <c r="B723" s="7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94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9"/>
    </row>
    <row r="724">
      <c r="A724" s="10"/>
      <c r="B724" s="7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94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9"/>
    </row>
    <row r="725">
      <c r="A725" s="10"/>
      <c r="B725" s="7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94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9"/>
    </row>
    <row r="726">
      <c r="A726" s="10"/>
      <c r="B726" s="7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94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9"/>
    </row>
    <row r="727">
      <c r="A727" s="10"/>
      <c r="B727" s="7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94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9"/>
    </row>
    <row r="728">
      <c r="A728" s="10"/>
      <c r="B728" s="7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94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9"/>
    </row>
    <row r="729">
      <c r="A729" s="10"/>
      <c r="B729" s="7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94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9"/>
    </row>
    <row r="730">
      <c r="A730" s="10"/>
      <c r="B730" s="7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94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9"/>
    </row>
    <row r="731">
      <c r="A731" s="10"/>
      <c r="B731" s="7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94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9"/>
    </row>
    <row r="732">
      <c r="A732" s="10"/>
      <c r="B732" s="7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94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9"/>
    </row>
    <row r="733">
      <c r="A733" s="10"/>
      <c r="B733" s="7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94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9"/>
    </row>
    <row r="734">
      <c r="A734" s="10"/>
      <c r="B734" s="7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94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9"/>
    </row>
    <row r="735">
      <c r="A735" s="10"/>
      <c r="B735" s="7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94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9"/>
    </row>
    <row r="736">
      <c r="A736" s="10"/>
      <c r="B736" s="7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94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9"/>
    </row>
    <row r="737">
      <c r="A737" s="10"/>
      <c r="B737" s="7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94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9"/>
    </row>
    <row r="738">
      <c r="A738" s="10"/>
      <c r="B738" s="7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94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9"/>
    </row>
    <row r="739">
      <c r="A739" s="10"/>
      <c r="B739" s="7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94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9"/>
    </row>
    <row r="740">
      <c r="A740" s="10"/>
      <c r="B740" s="7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94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9"/>
    </row>
    <row r="741">
      <c r="A741" s="10"/>
      <c r="B741" s="7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94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9"/>
    </row>
    <row r="742">
      <c r="A742" s="10"/>
      <c r="B742" s="7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94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9"/>
    </row>
    <row r="743">
      <c r="A743" s="10"/>
      <c r="B743" s="7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94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9"/>
    </row>
    <row r="744">
      <c r="A744" s="10"/>
      <c r="B744" s="7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94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9"/>
    </row>
    <row r="745">
      <c r="A745" s="10"/>
      <c r="B745" s="7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94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9"/>
    </row>
    <row r="746">
      <c r="A746" s="10"/>
      <c r="B746" s="7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94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9"/>
    </row>
    <row r="747">
      <c r="A747" s="10"/>
      <c r="B747" s="7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94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9"/>
    </row>
    <row r="748">
      <c r="A748" s="10"/>
      <c r="B748" s="7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94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9"/>
    </row>
    <row r="749">
      <c r="A749" s="10"/>
      <c r="B749" s="7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94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9"/>
    </row>
    <row r="750">
      <c r="A750" s="10"/>
      <c r="B750" s="7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94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9"/>
    </row>
    <row r="751">
      <c r="A751" s="10"/>
      <c r="B751" s="7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94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9"/>
    </row>
    <row r="752">
      <c r="A752" s="10"/>
      <c r="B752" s="7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94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9"/>
    </row>
    <row r="753">
      <c r="A753" s="10"/>
      <c r="B753" s="7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94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9"/>
    </row>
    <row r="754">
      <c r="A754" s="10"/>
      <c r="B754" s="7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94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9"/>
    </row>
    <row r="755">
      <c r="A755" s="10"/>
      <c r="B755" s="7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94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9"/>
    </row>
    <row r="756">
      <c r="A756" s="10"/>
      <c r="B756" s="7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94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9"/>
    </row>
    <row r="757">
      <c r="A757" s="10"/>
      <c r="B757" s="7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94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9"/>
    </row>
    <row r="758">
      <c r="A758" s="10"/>
      <c r="B758" s="7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94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9"/>
    </row>
    <row r="759">
      <c r="A759" s="10"/>
      <c r="B759" s="7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94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9"/>
    </row>
    <row r="760">
      <c r="A760" s="10"/>
      <c r="B760" s="7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94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9"/>
    </row>
    <row r="761">
      <c r="A761" s="10"/>
      <c r="B761" s="7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94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9"/>
    </row>
    <row r="762">
      <c r="A762" s="10"/>
      <c r="B762" s="7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94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9"/>
    </row>
    <row r="763">
      <c r="A763" s="10"/>
      <c r="B763" s="7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94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9"/>
    </row>
    <row r="764">
      <c r="A764" s="10"/>
      <c r="B764" s="7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94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9"/>
    </row>
    <row r="765">
      <c r="A765" s="10"/>
      <c r="B765" s="7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94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9"/>
    </row>
    <row r="766">
      <c r="A766" s="10"/>
      <c r="B766" s="7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94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9"/>
    </row>
    <row r="767">
      <c r="A767" s="10"/>
      <c r="B767" s="7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94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9"/>
    </row>
    <row r="768">
      <c r="A768" s="10"/>
      <c r="B768" s="7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94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9"/>
    </row>
    <row r="769">
      <c r="A769" s="10"/>
      <c r="B769" s="7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94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9"/>
    </row>
    <row r="770">
      <c r="A770" s="10"/>
      <c r="B770" s="7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94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9"/>
    </row>
    <row r="771">
      <c r="A771" s="10"/>
      <c r="B771" s="7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94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9"/>
    </row>
    <row r="772">
      <c r="A772" s="10"/>
      <c r="B772" s="7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94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9"/>
    </row>
    <row r="773">
      <c r="A773" s="10"/>
      <c r="B773" s="7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94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9"/>
    </row>
    <row r="774">
      <c r="A774" s="10"/>
      <c r="B774" s="7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94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9"/>
    </row>
    <row r="775">
      <c r="A775" s="10"/>
      <c r="B775" s="7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94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9"/>
    </row>
    <row r="776">
      <c r="A776" s="10"/>
      <c r="B776" s="7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94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9"/>
    </row>
    <row r="777">
      <c r="A777" s="10"/>
      <c r="B777" s="7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94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9"/>
    </row>
    <row r="778">
      <c r="A778" s="10"/>
      <c r="B778" s="7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94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9"/>
    </row>
    <row r="779">
      <c r="A779" s="10"/>
      <c r="B779" s="7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94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9"/>
    </row>
    <row r="780">
      <c r="A780" s="10"/>
      <c r="B780" s="7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94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9"/>
    </row>
    <row r="781">
      <c r="A781" s="10"/>
      <c r="B781" s="7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94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9"/>
    </row>
    <row r="782">
      <c r="A782" s="10"/>
      <c r="B782" s="7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94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9"/>
    </row>
    <row r="783">
      <c r="A783" s="10"/>
      <c r="B783" s="7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94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9"/>
    </row>
    <row r="784">
      <c r="A784" s="10"/>
      <c r="B784" s="7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94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9"/>
    </row>
    <row r="785">
      <c r="A785" s="10"/>
      <c r="B785" s="7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94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9"/>
    </row>
    <row r="786">
      <c r="A786" s="10"/>
      <c r="B786" s="7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94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9"/>
    </row>
    <row r="787">
      <c r="A787" s="10"/>
      <c r="B787" s="7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94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9"/>
    </row>
    <row r="788">
      <c r="A788" s="10"/>
      <c r="B788" s="7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94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9"/>
    </row>
    <row r="789">
      <c r="A789" s="10"/>
      <c r="B789" s="7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94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9"/>
    </row>
    <row r="790">
      <c r="A790" s="10"/>
      <c r="B790" s="7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94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9"/>
    </row>
    <row r="791">
      <c r="A791" s="10"/>
      <c r="B791" s="7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94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9"/>
    </row>
    <row r="792">
      <c r="A792" s="10"/>
      <c r="B792" s="7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94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9"/>
    </row>
    <row r="793">
      <c r="A793" s="10"/>
      <c r="B793" s="7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94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9"/>
    </row>
    <row r="794">
      <c r="A794" s="10"/>
      <c r="B794" s="7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94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9"/>
    </row>
    <row r="795">
      <c r="A795" s="10"/>
      <c r="B795" s="7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94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9"/>
    </row>
    <row r="796">
      <c r="A796" s="10"/>
      <c r="B796" s="7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94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9"/>
    </row>
    <row r="797">
      <c r="A797" s="10"/>
      <c r="B797" s="7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94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9"/>
    </row>
    <row r="798">
      <c r="A798" s="10"/>
      <c r="B798" s="7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94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9"/>
    </row>
    <row r="799">
      <c r="A799" s="10"/>
      <c r="B799" s="7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94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9"/>
    </row>
    <row r="800">
      <c r="A800" s="10"/>
      <c r="B800" s="7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94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9"/>
    </row>
    <row r="801">
      <c r="A801" s="10"/>
      <c r="B801" s="7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94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9"/>
    </row>
    <row r="802">
      <c r="A802" s="10"/>
      <c r="B802" s="7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94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9"/>
    </row>
    <row r="803">
      <c r="A803" s="10"/>
      <c r="B803" s="7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94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9"/>
    </row>
    <row r="804">
      <c r="A804" s="10"/>
      <c r="B804" s="7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94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9"/>
    </row>
    <row r="805">
      <c r="A805" s="10"/>
      <c r="B805" s="7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94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9"/>
    </row>
    <row r="806">
      <c r="A806" s="10"/>
      <c r="B806" s="7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94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9"/>
    </row>
    <row r="807">
      <c r="A807" s="10"/>
      <c r="B807" s="7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94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9"/>
    </row>
    <row r="808">
      <c r="A808" s="10"/>
      <c r="B808" s="7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94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9"/>
    </row>
    <row r="809">
      <c r="A809" s="10"/>
      <c r="B809" s="7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94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9"/>
    </row>
    <row r="810">
      <c r="A810" s="10"/>
      <c r="B810" s="7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94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9"/>
    </row>
    <row r="811">
      <c r="A811" s="10"/>
      <c r="B811" s="7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94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9"/>
    </row>
    <row r="812">
      <c r="A812" s="10"/>
      <c r="B812" s="7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94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9"/>
    </row>
    <row r="813">
      <c r="A813" s="10"/>
      <c r="B813" s="7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94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9"/>
    </row>
    <row r="814">
      <c r="A814" s="10"/>
      <c r="B814" s="7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94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9"/>
    </row>
    <row r="815">
      <c r="A815" s="10"/>
      <c r="B815" s="7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94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9"/>
    </row>
    <row r="816">
      <c r="A816" s="10"/>
      <c r="B816" s="7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94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9"/>
    </row>
    <row r="817">
      <c r="A817" s="10"/>
      <c r="B817" s="7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94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9"/>
    </row>
    <row r="818">
      <c r="A818" s="10"/>
      <c r="B818" s="7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94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9"/>
    </row>
    <row r="819">
      <c r="A819" s="10"/>
      <c r="B819" s="7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94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9"/>
    </row>
    <row r="820">
      <c r="A820" s="10"/>
      <c r="B820" s="7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94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9"/>
    </row>
    <row r="821">
      <c r="A821" s="10"/>
      <c r="B821" s="7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94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9"/>
    </row>
    <row r="822">
      <c r="A822" s="10"/>
      <c r="B822" s="7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94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9"/>
    </row>
    <row r="823">
      <c r="A823" s="10"/>
      <c r="B823" s="7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94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9"/>
    </row>
    <row r="824">
      <c r="A824" s="10"/>
      <c r="B824" s="7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94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9"/>
    </row>
    <row r="825">
      <c r="A825" s="10"/>
      <c r="B825" s="7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94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9"/>
    </row>
    <row r="826">
      <c r="A826" s="10"/>
      <c r="B826" s="7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94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9"/>
    </row>
    <row r="827">
      <c r="A827" s="10"/>
      <c r="B827" s="7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94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9"/>
    </row>
    <row r="828">
      <c r="A828" s="10"/>
      <c r="B828" s="7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94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9"/>
    </row>
    <row r="829">
      <c r="A829" s="10"/>
      <c r="B829" s="7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94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9"/>
    </row>
    <row r="830">
      <c r="A830" s="10"/>
      <c r="B830" s="7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94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9"/>
    </row>
    <row r="831">
      <c r="A831" s="10"/>
      <c r="B831" s="7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94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9"/>
    </row>
    <row r="832">
      <c r="A832" s="10"/>
      <c r="B832" s="7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94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9"/>
    </row>
    <row r="833">
      <c r="A833" s="10"/>
      <c r="B833" s="7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94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9"/>
    </row>
    <row r="834">
      <c r="A834" s="10"/>
      <c r="B834" s="7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94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9"/>
    </row>
    <row r="835">
      <c r="A835" s="10"/>
      <c r="B835" s="7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94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9"/>
    </row>
    <row r="836">
      <c r="A836" s="10"/>
      <c r="B836" s="7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94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9"/>
    </row>
    <row r="837">
      <c r="A837" s="10"/>
      <c r="B837" s="7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94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9"/>
    </row>
    <row r="838">
      <c r="A838" s="10"/>
      <c r="B838" s="7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94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9"/>
    </row>
    <row r="839">
      <c r="A839" s="10"/>
      <c r="B839" s="7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94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9"/>
    </row>
    <row r="840">
      <c r="A840" s="10"/>
      <c r="B840" s="7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94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9"/>
    </row>
    <row r="841">
      <c r="A841" s="10"/>
      <c r="B841" s="7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94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9"/>
    </row>
    <row r="842">
      <c r="A842" s="10"/>
      <c r="B842" s="7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94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9"/>
    </row>
    <row r="843">
      <c r="A843" s="10"/>
      <c r="B843" s="7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94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9"/>
    </row>
    <row r="844">
      <c r="A844" s="10"/>
      <c r="B844" s="7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94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9"/>
    </row>
    <row r="845">
      <c r="A845" s="10"/>
      <c r="B845" s="7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94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9"/>
    </row>
    <row r="846">
      <c r="A846" s="10"/>
      <c r="B846" s="7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94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9"/>
    </row>
    <row r="847">
      <c r="A847" s="10"/>
      <c r="B847" s="7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94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9"/>
    </row>
    <row r="848">
      <c r="A848" s="10"/>
      <c r="B848" s="7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94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9"/>
    </row>
    <row r="849">
      <c r="A849" s="10"/>
      <c r="B849" s="7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94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9"/>
    </row>
    <row r="850">
      <c r="A850" s="10"/>
      <c r="B850" s="7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94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9"/>
    </row>
    <row r="851">
      <c r="A851" s="10"/>
      <c r="B851" s="7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94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9"/>
    </row>
    <row r="852">
      <c r="A852" s="10"/>
      <c r="B852" s="7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94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9"/>
    </row>
    <row r="853">
      <c r="A853" s="10"/>
      <c r="B853" s="7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94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9"/>
    </row>
    <row r="854">
      <c r="A854" s="10"/>
      <c r="B854" s="7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94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9"/>
    </row>
    <row r="855">
      <c r="A855" s="10"/>
      <c r="B855" s="7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94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9"/>
    </row>
    <row r="856">
      <c r="A856" s="10"/>
      <c r="B856" s="7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94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9"/>
    </row>
    <row r="857">
      <c r="A857" s="10"/>
      <c r="B857" s="7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94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9"/>
    </row>
    <row r="858">
      <c r="A858" s="10"/>
      <c r="B858" s="7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94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9"/>
    </row>
    <row r="859">
      <c r="A859" s="10"/>
      <c r="B859" s="7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94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9"/>
    </row>
    <row r="860">
      <c r="A860" s="10"/>
      <c r="B860" s="7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94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9"/>
    </row>
    <row r="861">
      <c r="A861" s="10"/>
      <c r="B861" s="7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94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9"/>
    </row>
    <row r="862">
      <c r="A862" s="10"/>
      <c r="B862" s="7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94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9"/>
    </row>
    <row r="863">
      <c r="A863" s="10"/>
      <c r="B863" s="7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94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9"/>
    </row>
    <row r="864">
      <c r="A864" s="10"/>
      <c r="B864" s="7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94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9"/>
    </row>
    <row r="865">
      <c r="A865" s="10"/>
      <c r="B865" s="7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94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9"/>
    </row>
    <row r="866">
      <c r="A866" s="10"/>
      <c r="B866" s="7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94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9"/>
    </row>
    <row r="867">
      <c r="A867" s="10"/>
      <c r="B867" s="7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94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9"/>
    </row>
    <row r="868">
      <c r="A868" s="10"/>
      <c r="B868" s="7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94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9"/>
    </row>
    <row r="869">
      <c r="A869" s="10"/>
      <c r="B869" s="7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94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9"/>
    </row>
    <row r="870">
      <c r="A870" s="10"/>
      <c r="B870" s="7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94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9"/>
    </row>
    <row r="871">
      <c r="A871" s="10"/>
      <c r="B871" s="7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94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9"/>
    </row>
    <row r="872">
      <c r="A872" s="10"/>
      <c r="B872" s="7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94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9"/>
    </row>
    <row r="873">
      <c r="A873" s="10"/>
      <c r="B873" s="7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94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9"/>
    </row>
    <row r="874">
      <c r="A874" s="10"/>
      <c r="B874" s="7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94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9"/>
    </row>
    <row r="875">
      <c r="A875" s="10"/>
      <c r="B875" s="7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94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9"/>
    </row>
    <row r="876">
      <c r="A876" s="10"/>
      <c r="B876" s="7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94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9"/>
    </row>
    <row r="877">
      <c r="A877" s="10"/>
      <c r="B877" s="7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94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9"/>
    </row>
    <row r="878">
      <c r="A878" s="10"/>
      <c r="B878" s="7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94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9"/>
    </row>
    <row r="879">
      <c r="A879" s="10"/>
      <c r="B879" s="7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94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9"/>
    </row>
    <row r="880">
      <c r="A880" s="10"/>
      <c r="B880" s="7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94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9"/>
    </row>
    <row r="881">
      <c r="A881" s="10"/>
      <c r="B881" s="7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94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9"/>
    </row>
    <row r="882">
      <c r="A882" s="10"/>
      <c r="B882" s="7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94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9"/>
    </row>
    <row r="883">
      <c r="A883" s="10"/>
      <c r="B883" s="7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94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9"/>
    </row>
    <row r="884">
      <c r="A884" s="10"/>
      <c r="B884" s="7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94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9"/>
    </row>
    <row r="885">
      <c r="A885" s="10"/>
      <c r="B885" s="7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94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9"/>
    </row>
    <row r="886">
      <c r="A886" s="10"/>
      <c r="B886" s="7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94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9"/>
    </row>
    <row r="887">
      <c r="A887" s="10"/>
      <c r="B887" s="7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94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9"/>
    </row>
    <row r="888">
      <c r="A888" s="10"/>
      <c r="B888" s="7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94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9"/>
    </row>
    <row r="889">
      <c r="A889" s="10"/>
      <c r="B889" s="7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94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9"/>
    </row>
    <row r="890">
      <c r="A890" s="10"/>
      <c r="B890" s="7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94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9"/>
    </row>
    <row r="891">
      <c r="A891" s="10"/>
      <c r="B891" s="7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94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9"/>
    </row>
    <row r="892">
      <c r="A892" s="10"/>
      <c r="B892" s="7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94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9"/>
    </row>
    <row r="893">
      <c r="A893" s="10"/>
      <c r="B893" s="7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94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9"/>
    </row>
    <row r="894">
      <c r="A894" s="10"/>
      <c r="B894" s="7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94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9"/>
    </row>
    <row r="895">
      <c r="A895" s="10"/>
      <c r="B895" s="7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94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9"/>
    </row>
    <row r="896">
      <c r="A896" s="10"/>
      <c r="B896" s="7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94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9"/>
    </row>
    <row r="897">
      <c r="A897" s="10"/>
      <c r="B897" s="7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94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9"/>
    </row>
    <row r="898">
      <c r="A898" s="10"/>
      <c r="B898" s="7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94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9"/>
    </row>
    <row r="899">
      <c r="A899" s="10"/>
      <c r="B899" s="7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94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9"/>
    </row>
    <row r="900">
      <c r="A900" s="10"/>
      <c r="B900" s="7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94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9"/>
    </row>
    <row r="901">
      <c r="A901" s="10"/>
      <c r="B901" s="7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94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9"/>
    </row>
    <row r="902">
      <c r="A902" s="10"/>
      <c r="B902" s="7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94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9"/>
    </row>
    <row r="903">
      <c r="A903" s="10"/>
      <c r="B903" s="7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94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9"/>
    </row>
    <row r="904">
      <c r="A904" s="10"/>
      <c r="B904" s="7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94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9"/>
    </row>
    <row r="905">
      <c r="A905" s="10"/>
      <c r="B905" s="7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94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9"/>
    </row>
    <row r="906">
      <c r="A906" s="10"/>
      <c r="B906" s="7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94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9"/>
    </row>
    <row r="907">
      <c r="A907" s="10"/>
      <c r="B907" s="7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94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9"/>
    </row>
    <row r="908">
      <c r="A908" s="10"/>
      <c r="B908" s="7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94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9"/>
    </row>
    <row r="909">
      <c r="A909" s="10"/>
      <c r="B909" s="7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94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9"/>
    </row>
    <row r="910">
      <c r="A910" s="10"/>
      <c r="B910" s="7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94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9"/>
    </row>
    <row r="911">
      <c r="A911" s="10"/>
      <c r="B911" s="7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94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9"/>
    </row>
    <row r="912">
      <c r="A912" s="10"/>
      <c r="B912" s="7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94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9"/>
    </row>
    <row r="913">
      <c r="A913" s="10"/>
      <c r="B913" s="7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94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9"/>
    </row>
    <row r="914">
      <c r="A914" s="10"/>
      <c r="B914" s="7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94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9"/>
    </row>
    <row r="915">
      <c r="A915" s="10"/>
      <c r="B915" s="7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94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9"/>
    </row>
    <row r="916">
      <c r="A916" s="10"/>
      <c r="B916" s="7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94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9"/>
    </row>
    <row r="917">
      <c r="A917" s="10"/>
      <c r="B917" s="7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94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9"/>
    </row>
    <row r="918">
      <c r="A918" s="10"/>
      <c r="B918" s="7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94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9"/>
    </row>
    <row r="919">
      <c r="A919" s="10"/>
      <c r="B919" s="7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94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9"/>
    </row>
    <row r="920">
      <c r="A920" s="10"/>
      <c r="B920" s="7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94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9"/>
    </row>
    <row r="921">
      <c r="A921" s="10"/>
      <c r="B921" s="7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94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9"/>
    </row>
    <row r="922">
      <c r="A922" s="10"/>
      <c r="B922" s="7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94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9"/>
    </row>
    <row r="923">
      <c r="A923" s="10"/>
      <c r="B923" s="7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94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9"/>
    </row>
    <row r="924">
      <c r="A924" s="10"/>
      <c r="B924" s="7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94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9"/>
    </row>
    <row r="925">
      <c r="A925" s="10"/>
      <c r="B925" s="7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94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9"/>
    </row>
    <row r="926">
      <c r="A926" s="10"/>
      <c r="B926" s="7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94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9"/>
    </row>
    <row r="927">
      <c r="A927" s="10"/>
      <c r="B927" s="7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94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9"/>
    </row>
    <row r="928">
      <c r="A928" s="10"/>
      <c r="B928" s="7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94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9"/>
    </row>
    <row r="929">
      <c r="A929" s="10"/>
      <c r="B929" s="7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94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9"/>
    </row>
    <row r="930">
      <c r="A930" s="10"/>
      <c r="B930" s="7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94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9"/>
    </row>
    <row r="931">
      <c r="A931" s="10"/>
      <c r="B931" s="7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94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9"/>
    </row>
    <row r="932">
      <c r="A932" s="10"/>
      <c r="B932" s="7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94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9"/>
    </row>
    <row r="933">
      <c r="A933" s="10"/>
      <c r="B933" s="7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94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9"/>
    </row>
    <row r="934">
      <c r="A934" s="10"/>
      <c r="B934" s="7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94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9"/>
    </row>
    <row r="935">
      <c r="A935" s="10"/>
      <c r="B935" s="7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94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9"/>
    </row>
    <row r="936">
      <c r="A936" s="10"/>
      <c r="B936" s="7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94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9"/>
    </row>
    <row r="937">
      <c r="A937" s="10"/>
      <c r="B937" s="7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94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9"/>
    </row>
    <row r="938">
      <c r="A938" s="10"/>
      <c r="B938" s="7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94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9"/>
    </row>
    <row r="939">
      <c r="A939" s="10"/>
      <c r="B939" s="7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94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9"/>
    </row>
    <row r="940">
      <c r="A940" s="10"/>
      <c r="B940" s="7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94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9"/>
    </row>
    <row r="941">
      <c r="A941" s="10"/>
      <c r="B941" s="7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94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9"/>
    </row>
    <row r="942">
      <c r="A942" s="10"/>
      <c r="B942" s="7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94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9"/>
    </row>
    <row r="943">
      <c r="A943" s="10"/>
      <c r="B943" s="7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94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9"/>
    </row>
    <row r="944">
      <c r="A944" s="10"/>
      <c r="B944" s="7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94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9"/>
    </row>
    <row r="945">
      <c r="A945" s="10"/>
      <c r="B945" s="7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94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9"/>
    </row>
    <row r="946">
      <c r="A946" s="10"/>
      <c r="B946" s="7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94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9"/>
    </row>
    <row r="947">
      <c r="A947" s="10"/>
      <c r="B947" s="7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94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9"/>
    </row>
    <row r="948">
      <c r="A948" s="10"/>
      <c r="B948" s="7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94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9"/>
    </row>
    <row r="949">
      <c r="A949" s="10"/>
      <c r="B949" s="7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94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9"/>
    </row>
    <row r="950">
      <c r="A950" s="10"/>
      <c r="B950" s="7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94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9"/>
    </row>
    <row r="951">
      <c r="A951" s="10"/>
      <c r="B951" s="7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94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9"/>
    </row>
    <row r="952">
      <c r="A952" s="10"/>
      <c r="B952" s="7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94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9"/>
    </row>
    <row r="953">
      <c r="A953" s="10"/>
      <c r="B953" s="7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94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9"/>
    </row>
    <row r="954">
      <c r="A954" s="10"/>
      <c r="B954" s="7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94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9"/>
    </row>
    <row r="955">
      <c r="A955" s="10"/>
      <c r="B955" s="7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94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9"/>
    </row>
    <row r="956">
      <c r="A956" s="10"/>
      <c r="B956" s="7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94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9"/>
    </row>
    <row r="957">
      <c r="A957" s="10"/>
      <c r="B957" s="7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94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9"/>
    </row>
    <row r="958">
      <c r="A958" s="10"/>
      <c r="B958" s="7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94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9"/>
    </row>
    <row r="959">
      <c r="A959" s="10"/>
      <c r="B959" s="7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94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9"/>
    </row>
    <row r="960">
      <c r="A960" s="10"/>
      <c r="B960" s="7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94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9"/>
    </row>
    <row r="961">
      <c r="A961" s="10"/>
      <c r="B961" s="7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94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9"/>
    </row>
    <row r="962">
      <c r="A962" s="10"/>
      <c r="B962" s="7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94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9"/>
    </row>
    <row r="963">
      <c r="A963" s="10"/>
      <c r="B963" s="7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94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9"/>
    </row>
    <row r="964">
      <c r="A964" s="10"/>
      <c r="B964" s="7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94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9"/>
    </row>
    <row r="965">
      <c r="A965" s="10"/>
      <c r="B965" s="7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94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9"/>
    </row>
    <row r="966">
      <c r="A966" s="10"/>
      <c r="B966" s="7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94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9"/>
    </row>
    <row r="967">
      <c r="A967" s="10"/>
      <c r="B967" s="7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94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9"/>
    </row>
    <row r="968">
      <c r="A968" s="10"/>
      <c r="B968" s="7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94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9"/>
    </row>
    <row r="969">
      <c r="A969" s="10"/>
      <c r="B969" s="7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94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9"/>
    </row>
    <row r="970">
      <c r="A970" s="10"/>
      <c r="B970" s="7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94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9"/>
    </row>
    <row r="971">
      <c r="A971" s="10"/>
      <c r="B971" s="7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94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9"/>
    </row>
    <row r="972">
      <c r="A972" s="10"/>
      <c r="B972" s="7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94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9"/>
    </row>
    <row r="973">
      <c r="A973" s="10"/>
      <c r="B973" s="7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94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9"/>
    </row>
    <row r="974">
      <c r="A974" s="10"/>
      <c r="B974" s="7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94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9"/>
    </row>
    <row r="975">
      <c r="A975" s="10"/>
      <c r="B975" s="7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94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9"/>
    </row>
    <row r="976">
      <c r="A976" s="10"/>
      <c r="B976" s="7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94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9"/>
    </row>
    <row r="977">
      <c r="A977" s="10"/>
      <c r="B977" s="7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94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9"/>
    </row>
    <row r="978">
      <c r="A978" s="10"/>
      <c r="B978" s="7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94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9"/>
    </row>
    <row r="979">
      <c r="A979" s="10"/>
      <c r="B979" s="7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94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9"/>
    </row>
    <row r="980">
      <c r="A980" s="10"/>
      <c r="B980" s="7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94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9"/>
    </row>
    <row r="981">
      <c r="A981" s="10"/>
      <c r="B981" s="7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94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9"/>
    </row>
    <row r="982">
      <c r="A982" s="10"/>
      <c r="B982" s="7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94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9"/>
    </row>
    <row r="983">
      <c r="A983" s="10"/>
      <c r="B983" s="7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94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9"/>
    </row>
    <row r="984">
      <c r="A984" s="10"/>
      <c r="B984" s="7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94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9"/>
    </row>
    <row r="985">
      <c r="A985" s="10"/>
      <c r="B985" s="7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94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9"/>
    </row>
    <row r="986">
      <c r="A986" s="10"/>
      <c r="B986" s="7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94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9"/>
    </row>
    <row r="987">
      <c r="A987" s="10"/>
      <c r="B987" s="7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94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9"/>
    </row>
    <row r="988">
      <c r="A988" s="10"/>
      <c r="B988" s="7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94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9"/>
    </row>
    <row r="989">
      <c r="A989" s="10"/>
      <c r="B989" s="7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94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9"/>
    </row>
    <row r="990">
      <c r="A990" s="10"/>
      <c r="B990" s="7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94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9"/>
    </row>
    <row r="991">
      <c r="A991" s="10"/>
      <c r="B991" s="7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94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9"/>
    </row>
    <row r="992">
      <c r="A992" s="10"/>
      <c r="B992" s="7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94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9"/>
    </row>
    <row r="993">
      <c r="A993" s="10"/>
      <c r="B993" s="7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94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9"/>
    </row>
    <row r="994">
      <c r="A994" s="10"/>
      <c r="B994" s="7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94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9"/>
    </row>
    <row r="995">
      <c r="A995" s="10"/>
      <c r="B995" s="7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94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9"/>
    </row>
    <row r="996">
      <c r="A996" s="10"/>
      <c r="B996" s="7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94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9"/>
    </row>
    <row r="997">
      <c r="A997" s="10"/>
      <c r="B997" s="7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94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9"/>
    </row>
    <row r="998">
      <c r="A998" s="10"/>
      <c r="B998" s="7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94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9"/>
    </row>
    <row r="999">
      <c r="A999" s="10"/>
      <c r="B999" s="7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94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9"/>
    </row>
    <row r="1000">
      <c r="A1000" s="10"/>
      <c r="B1000" s="7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94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9"/>
    </row>
    <row r="1001">
      <c r="A1001" s="10"/>
      <c r="B1001" s="7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94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  <c r="BF1001" s="10"/>
      <c r="BG1001" s="10"/>
      <c r="BH1001" s="10"/>
      <c r="BI1001" s="10"/>
      <c r="BJ1001" s="10"/>
      <c r="BK1001" s="10"/>
      <c r="BL1001" s="10"/>
      <c r="BM1001" s="10"/>
      <c r="BN1001" s="10"/>
      <c r="BO1001" s="10"/>
      <c r="BP1001" s="10"/>
      <c r="BQ1001" s="10"/>
      <c r="BR1001" s="10"/>
      <c r="BS1001" s="10"/>
      <c r="BT1001" s="10"/>
      <c r="BU1001" s="10"/>
      <c r="BV1001" s="10"/>
      <c r="BW1001" s="19"/>
    </row>
    <row r="1002">
      <c r="A1002" s="10"/>
      <c r="B1002" s="7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94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  <c r="BF1002" s="10"/>
      <c r="BG1002" s="10"/>
      <c r="BH1002" s="10"/>
      <c r="BI1002" s="10"/>
      <c r="BJ1002" s="10"/>
      <c r="BK1002" s="10"/>
      <c r="BL1002" s="10"/>
      <c r="BM1002" s="10"/>
      <c r="BN1002" s="10"/>
      <c r="BO1002" s="10"/>
      <c r="BP1002" s="10"/>
      <c r="BQ1002" s="10"/>
      <c r="BR1002" s="10"/>
      <c r="BS1002" s="10"/>
      <c r="BT1002" s="10"/>
      <c r="BU1002" s="10"/>
      <c r="BV1002" s="10"/>
      <c r="BW1002" s="19"/>
    </row>
    <row r="1003">
      <c r="A1003" s="10"/>
      <c r="B1003" s="7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94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  <c r="BF1003" s="10"/>
      <c r="BG1003" s="10"/>
      <c r="BH1003" s="10"/>
      <c r="BI1003" s="10"/>
      <c r="BJ1003" s="10"/>
      <c r="BK1003" s="10"/>
      <c r="BL1003" s="10"/>
      <c r="BM1003" s="10"/>
      <c r="BN1003" s="10"/>
      <c r="BO1003" s="10"/>
      <c r="BP1003" s="10"/>
      <c r="BQ1003" s="10"/>
      <c r="BR1003" s="10"/>
      <c r="BS1003" s="10"/>
      <c r="BT1003" s="10"/>
      <c r="BU1003" s="10"/>
      <c r="BV1003" s="10"/>
      <c r="BW1003" s="19"/>
    </row>
    <row r="1004">
      <c r="A1004" s="10"/>
      <c r="B1004" s="7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94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  <c r="BF1004" s="10"/>
      <c r="BG1004" s="10"/>
      <c r="BH1004" s="10"/>
      <c r="BI1004" s="10"/>
      <c r="BJ1004" s="10"/>
      <c r="BK1004" s="10"/>
      <c r="BL1004" s="10"/>
      <c r="BM1004" s="10"/>
      <c r="BN1004" s="10"/>
      <c r="BO1004" s="10"/>
      <c r="BP1004" s="10"/>
      <c r="BQ1004" s="10"/>
      <c r="BR1004" s="10"/>
      <c r="BS1004" s="10"/>
      <c r="BT1004" s="10"/>
      <c r="BU1004" s="10"/>
      <c r="BV1004" s="10"/>
      <c r="BW1004" s="19"/>
    </row>
    <row r="1005">
      <c r="A1005" s="10"/>
      <c r="B1005" s="7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94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  <c r="BF1005" s="10"/>
      <c r="BG1005" s="10"/>
      <c r="BH1005" s="10"/>
      <c r="BI1005" s="10"/>
      <c r="BJ1005" s="10"/>
      <c r="BK1005" s="10"/>
      <c r="BL1005" s="10"/>
      <c r="BM1005" s="10"/>
      <c r="BN1005" s="10"/>
      <c r="BO1005" s="10"/>
      <c r="BP1005" s="10"/>
      <c r="BQ1005" s="10"/>
      <c r="BR1005" s="10"/>
      <c r="BS1005" s="10"/>
      <c r="BT1005" s="10"/>
      <c r="BU1005" s="10"/>
      <c r="BV1005" s="10"/>
      <c r="BW1005" s="19"/>
    </row>
    <row r="1006">
      <c r="A1006" s="10"/>
      <c r="B1006" s="7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94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  <c r="BF1006" s="10"/>
      <c r="BG1006" s="10"/>
      <c r="BH1006" s="10"/>
      <c r="BI1006" s="10"/>
      <c r="BJ1006" s="10"/>
      <c r="BK1006" s="10"/>
      <c r="BL1006" s="10"/>
      <c r="BM1006" s="10"/>
      <c r="BN1006" s="10"/>
      <c r="BO1006" s="10"/>
      <c r="BP1006" s="10"/>
      <c r="BQ1006" s="10"/>
      <c r="BR1006" s="10"/>
      <c r="BS1006" s="10"/>
      <c r="BT1006" s="10"/>
      <c r="BU1006" s="10"/>
      <c r="BV1006" s="10"/>
      <c r="BW1006" s="19"/>
    </row>
    <row r="1007">
      <c r="A1007" s="10"/>
      <c r="B1007" s="7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94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  <c r="BF1007" s="10"/>
      <c r="BG1007" s="10"/>
      <c r="BH1007" s="10"/>
      <c r="BI1007" s="10"/>
      <c r="BJ1007" s="10"/>
      <c r="BK1007" s="10"/>
      <c r="BL1007" s="10"/>
      <c r="BM1007" s="10"/>
      <c r="BN1007" s="10"/>
      <c r="BO1007" s="10"/>
      <c r="BP1007" s="10"/>
      <c r="BQ1007" s="10"/>
      <c r="BR1007" s="10"/>
      <c r="BS1007" s="10"/>
      <c r="BT1007" s="10"/>
      <c r="BU1007" s="10"/>
      <c r="BV1007" s="10"/>
      <c r="BW1007" s="19"/>
    </row>
    <row r="1008">
      <c r="A1008" s="10"/>
      <c r="B1008" s="7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94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  <c r="BF1008" s="10"/>
      <c r="BG1008" s="10"/>
      <c r="BH1008" s="10"/>
      <c r="BI1008" s="10"/>
      <c r="BJ1008" s="10"/>
      <c r="BK1008" s="10"/>
      <c r="BL1008" s="10"/>
      <c r="BM1008" s="10"/>
      <c r="BN1008" s="10"/>
      <c r="BO1008" s="10"/>
      <c r="BP1008" s="10"/>
      <c r="BQ1008" s="10"/>
      <c r="BR1008" s="10"/>
      <c r="BS1008" s="10"/>
      <c r="BT1008" s="10"/>
      <c r="BU1008" s="10"/>
      <c r="BV1008" s="10"/>
      <c r="BW1008" s="19"/>
    </row>
    <row r="1009">
      <c r="A1009" s="10"/>
      <c r="B1009" s="7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94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  <c r="BF1009" s="10"/>
      <c r="BG1009" s="10"/>
      <c r="BH1009" s="10"/>
      <c r="BI1009" s="10"/>
      <c r="BJ1009" s="10"/>
      <c r="BK1009" s="10"/>
      <c r="BL1009" s="10"/>
      <c r="BM1009" s="10"/>
      <c r="BN1009" s="10"/>
      <c r="BO1009" s="10"/>
      <c r="BP1009" s="10"/>
      <c r="BQ1009" s="10"/>
      <c r="BR1009" s="10"/>
      <c r="BS1009" s="10"/>
      <c r="BT1009" s="10"/>
      <c r="BU1009" s="10"/>
      <c r="BV1009" s="10"/>
      <c r="BW1009" s="19"/>
    </row>
    <row r="1010">
      <c r="A1010" s="10"/>
      <c r="B1010" s="7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94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  <c r="BF1010" s="10"/>
      <c r="BG1010" s="10"/>
      <c r="BH1010" s="10"/>
      <c r="BI1010" s="10"/>
      <c r="BJ1010" s="10"/>
      <c r="BK1010" s="10"/>
      <c r="BL1010" s="10"/>
      <c r="BM1010" s="10"/>
      <c r="BN1010" s="10"/>
      <c r="BO1010" s="10"/>
      <c r="BP1010" s="10"/>
      <c r="BQ1010" s="10"/>
      <c r="BR1010" s="10"/>
      <c r="BS1010" s="10"/>
      <c r="BT1010" s="10"/>
      <c r="BU1010" s="10"/>
      <c r="BV1010" s="10"/>
      <c r="BW1010" s="19"/>
    </row>
    <row r="1011">
      <c r="A1011" s="10"/>
      <c r="B1011" s="7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94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  <c r="BF1011" s="10"/>
      <c r="BG1011" s="10"/>
      <c r="BH1011" s="10"/>
      <c r="BI1011" s="10"/>
      <c r="BJ1011" s="10"/>
      <c r="BK1011" s="10"/>
      <c r="BL1011" s="10"/>
      <c r="BM1011" s="10"/>
      <c r="BN1011" s="10"/>
      <c r="BO1011" s="10"/>
      <c r="BP1011" s="10"/>
      <c r="BQ1011" s="10"/>
      <c r="BR1011" s="10"/>
      <c r="BS1011" s="10"/>
      <c r="BT1011" s="10"/>
      <c r="BU1011" s="10"/>
      <c r="BV1011" s="10"/>
      <c r="BW1011" s="19"/>
    </row>
    <row r="1012">
      <c r="A1012" s="10"/>
      <c r="B1012" s="7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94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  <c r="BF1012" s="10"/>
      <c r="BG1012" s="10"/>
      <c r="BH1012" s="10"/>
      <c r="BI1012" s="10"/>
      <c r="BJ1012" s="10"/>
      <c r="BK1012" s="10"/>
      <c r="BL1012" s="10"/>
      <c r="BM1012" s="10"/>
      <c r="BN1012" s="10"/>
      <c r="BO1012" s="10"/>
      <c r="BP1012" s="10"/>
      <c r="BQ1012" s="10"/>
      <c r="BR1012" s="10"/>
      <c r="BS1012" s="10"/>
      <c r="BT1012" s="10"/>
      <c r="BU1012" s="10"/>
      <c r="BV1012" s="10"/>
      <c r="BW1012" s="19"/>
    </row>
    <row r="1013">
      <c r="A1013" s="10"/>
      <c r="B1013" s="7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94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  <c r="BF1013" s="10"/>
      <c r="BG1013" s="10"/>
      <c r="BH1013" s="10"/>
      <c r="BI1013" s="10"/>
      <c r="BJ1013" s="10"/>
      <c r="BK1013" s="10"/>
      <c r="BL1013" s="10"/>
      <c r="BM1013" s="10"/>
      <c r="BN1013" s="10"/>
      <c r="BO1013" s="10"/>
      <c r="BP1013" s="10"/>
      <c r="BQ1013" s="10"/>
      <c r="BR1013" s="10"/>
      <c r="BS1013" s="10"/>
      <c r="BT1013" s="10"/>
      <c r="BU1013" s="10"/>
      <c r="BV1013" s="10"/>
      <c r="BW1013" s="19"/>
    </row>
    <row r="1014">
      <c r="A1014" s="10"/>
      <c r="B1014" s="7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94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  <c r="BF1014" s="10"/>
      <c r="BG1014" s="10"/>
      <c r="BH1014" s="10"/>
      <c r="BI1014" s="10"/>
      <c r="BJ1014" s="10"/>
      <c r="BK1014" s="10"/>
      <c r="BL1014" s="10"/>
      <c r="BM1014" s="10"/>
      <c r="BN1014" s="10"/>
      <c r="BO1014" s="10"/>
      <c r="BP1014" s="10"/>
      <c r="BQ1014" s="10"/>
      <c r="BR1014" s="10"/>
      <c r="BS1014" s="10"/>
      <c r="BT1014" s="10"/>
      <c r="BU1014" s="10"/>
      <c r="BV1014" s="10"/>
      <c r="BW1014" s="19"/>
    </row>
    <row r="1015">
      <c r="A1015" s="10"/>
      <c r="B1015" s="7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94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  <c r="BF1015" s="10"/>
      <c r="BG1015" s="10"/>
      <c r="BH1015" s="10"/>
      <c r="BI1015" s="10"/>
      <c r="BJ1015" s="10"/>
      <c r="BK1015" s="10"/>
      <c r="BL1015" s="10"/>
      <c r="BM1015" s="10"/>
      <c r="BN1015" s="10"/>
      <c r="BO1015" s="10"/>
      <c r="BP1015" s="10"/>
      <c r="BQ1015" s="10"/>
      <c r="BR1015" s="10"/>
      <c r="BS1015" s="10"/>
      <c r="BT1015" s="10"/>
      <c r="BU1015" s="10"/>
      <c r="BV1015" s="10"/>
      <c r="BW1015" s="19"/>
    </row>
    <row r="1016">
      <c r="A1016" s="10"/>
      <c r="B1016" s="7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94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  <c r="BF1016" s="10"/>
      <c r="BG1016" s="10"/>
      <c r="BH1016" s="10"/>
      <c r="BI1016" s="10"/>
      <c r="BJ1016" s="10"/>
      <c r="BK1016" s="10"/>
      <c r="BL1016" s="10"/>
      <c r="BM1016" s="10"/>
      <c r="BN1016" s="10"/>
      <c r="BO1016" s="10"/>
      <c r="BP1016" s="10"/>
      <c r="BQ1016" s="10"/>
      <c r="BR1016" s="10"/>
      <c r="BS1016" s="10"/>
      <c r="BT1016" s="10"/>
      <c r="BU1016" s="10"/>
      <c r="BV1016" s="10"/>
      <c r="BW1016" s="19"/>
    </row>
    <row r="1017">
      <c r="A1017" s="10"/>
      <c r="B1017" s="7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94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  <c r="BF1017" s="10"/>
      <c r="BG1017" s="10"/>
      <c r="BH1017" s="10"/>
      <c r="BI1017" s="10"/>
      <c r="BJ1017" s="10"/>
      <c r="BK1017" s="10"/>
      <c r="BL1017" s="10"/>
      <c r="BM1017" s="10"/>
      <c r="BN1017" s="10"/>
      <c r="BO1017" s="10"/>
      <c r="BP1017" s="10"/>
      <c r="BQ1017" s="10"/>
      <c r="BR1017" s="10"/>
      <c r="BS1017" s="10"/>
      <c r="BT1017" s="10"/>
      <c r="BU1017" s="10"/>
      <c r="BV1017" s="10"/>
      <c r="BW1017" s="19"/>
    </row>
    <row r="1018">
      <c r="A1018" s="10"/>
      <c r="B1018" s="7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94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  <c r="BF1018" s="10"/>
      <c r="BG1018" s="10"/>
      <c r="BH1018" s="10"/>
      <c r="BI1018" s="10"/>
      <c r="BJ1018" s="10"/>
      <c r="BK1018" s="10"/>
      <c r="BL1018" s="10"/>
      <c r="BM1018" s="10"/>
      <c r="BN1018" s="10"/>
      <c r="BO1018" s="10"/>
      <c r="BP1018" s="10"/>
      <c r="BQ1018" s="10"/>
      <c r="BR1018" s="10"/>
      <c r="BS1018" s="10"/>
      <c r="BT1018" s="10"/>
      <c r="BU1018" s="10"/>
      <c r="BV1018" s="10"/>
      <c r="BW1018" s="19"/>
    </row>
    <row r="1019">
      <c r="A1019" s="10"/>
      <c r="B1019" s="7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94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  <c r="BF1019" s="10"/>
      <c r="BG1019" s="10"/>
      <c r="BH1019" s="10"/>
      <c r="BI1019" s="10"/>
      <c r="BJ1019" s="10"/>
      <c r="BK1019" s="10"/>
      <c r="BL1019" s="10"/>
      <c r="BM1019" s="10"/>
      <c r="BN1019" s="10"/>
      <c r="BO1019" s="10"/>
      <c r="BP1019" s="10"/>
      <c r="BQ1019" s="10"/>
      <c r="BR1019" s="10"/>
      <c r="BS1019" s="10"/>
      <c r="BT1019" s="10"/>
      <c r="BU1019" s="10"/>
      <c r="BV1019" s="10"/>
      <c r="BW1019" s="19"/>
    </row>
    <row r="1020">
      <c r="A1020" s="10"/>
      <c r="B1020" s="7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94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  <c r="BF1020" s="10"/>
      <c r="BG1020" s="10"/>
      <c r="BH1020" s="10"/>
      <c r="BI1020" s="10"/>
      <c r="BJ1020" s="10"/>
      <c r="BK1020" s="10"/>
      <c r="BL1020" s="10"/>
      <c r="BM1020" s="10"/>
      <c r="BN1020" s="10"/>
      <c r="BO1020" s="10"/>
      <c r="BP1020" s="10"/>
      <c r="BQ1020" s="10"/>
      <c r="BR1020" s="10"/>
      <c r="BS1020" s="10"/>
      <c r="BT1020" s="10"/>
      <c r="BU1020" s="10"/>
      <c r="BV1020" s="10"/>
      <c r="BW1020" s="19"/>
    </row>
    <row r="1021">
      <c r="A1021" s="10"/>
      <c r="B1021" s="7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94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  <c r="BF1021" s="10"/>
      <c r="BG1021" s="10"/>
      <c r="BH1021" s="10"/>
      <c r="BI1021" s="10"/>
      <c r="BJ1021" s="10"/>
      <c r="BK1021" s="10"/>
      <c r="BL1021" s="10"/>
      <c r="BM1021" s="10"/>
      <c r="BN1021" s="10"/>
      <c r="BO1021" s="10"/>
      <c r="BP1021" s="10"/>
      <c r="BQ1021" s="10"/>
      <c r="BR1021" s="10"/>
      <c r="BS1021" s="10"/>
      <c r="BT1021" s="10"/>
      <c r="BU1021" s="10"/>
      <c r="BV1021" s="10"/>
      <c r="BW1021" s="19"/>
    </row>
    <row r="1022">
      <c r="A1022" s="10"/>
      <c r="B1022" s="7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94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  <c r="BF1022" s="10"/>
      <c r="BG1022" s="10"/>
      <c r="BH1022" s="10"/>
      <c r="BI1022" s="10"/>
      <c r="BJ1022" s="10"/>
      <c r="BK1022" s="10"/>
      <c r="BL1022" s="10"/>
      <c r="BM1022" s="10"/>
      <c r="BN1022" s="10"/>
      <c r="BO1022" s="10"/>
      <c r="BP1022" s="10"/>
      <c r="BQ1022" s="10"/>
      <c r="BR1022" s="10"/>
      <c r="BS1022" s="10"/>
      <c r="BT1022" s="10"/>
      <c r="BU1022" s="10"/>
      <c r="BV1022" s="10"/>
      <c r="BW1022" s="19"/>
    </row>
    <row r="1023">
      <c r="A1023" s="10"/>
      <c r="B1023" s="7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94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  <c r="BF1023" s="10"/>
      <c r="BG1023" s="10"/>
      <c r="BH1023" s="10"/>
      <c r="BI1023" s="10"/>
      <c r="BJ1023" s="10"/>
      <c r="BK1023" s="10"/>
      <c r="BL1023" s="10"/>
      <c r="BM1023" s="10"/>
      <c r="BN1023" s="10"/>
      <c r="BO1023" s="10"/>
      <c r="BP1023" s="10"/>
      <c r="BQ1023" s="10"/>
      <c r="BR1023" s="10"/>
      <c r="BS1023" s="10"/>
      <c r="BT1023" s="10"/>
      <c r="BU1023" s="10"/>
      <c r="BV1023" s="10"/>
      <c r="BW1023" s="19"/>
    </row>
    <row r="1024">
      <c r="A1024" s="10"/>
      <c r="B1024" s="7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94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  <c r="BF1024" s="10"/>
      <c r="BG1024" s="10"/>
      <c r="BH1024" s="10"/>
      <c r="BI1024" s="10"/>
      <c r="BJ1024" s="10"/>
      <c r="BK1024" s="10"/>
      <c r="BL1024" s="10"/>
      <c r="BM1024" s="10"/>
      <c r="BN1024" s="10"/>
      <c r="BO1024" s="10"/>
      <c r="BP1024" s="10"/>
      <c r="BQ1024" s="10"/>
      <c r="BR1024" s="10"/>
      <c r="BS1024" s="10"/>
      <c r="BT1024" s="10"/>
      <c r="BU1024" s="10"/>
      <c r="BV1024" s="10"/>
      <c r="BW1024" s="19"/>
    </row>
    <row r="1025">
      <c r="A1025" s="10"/>
      <c r="B1025" s="7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94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  <c r="BF1025" s="10"/>
      <c r="BG1025" s="10"/>
      <c r="BH1025" s="10"/>
      <c r="BI1025" s="10"/>
      <c r="BJ1025" s="10"/>
      <c r="BK1025" s="10"/>
      <c r="BL1025" s="10"/>
      <c r="BM1025" s="10"/>
      <c r="BN1025" s="10"/>
      <c r="BO1025" s="10"/>
      <c r="BP1025" s="10"/>
      <c r="BQ1025" s="10"/>
      <c r="BR1025" s="10"/>
      <c r="BS1025" s="10"/>
      <c r="BT1025" s="10"/>
      <c r="BU1025" s="10"/>
      <c r="BV1025" s="10"/>
      <c r="BW1025" s="19"/>
    </row>
    <row r="1026">
      <c r="A1026" s="10"/>
      <c r="B1026" s="7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94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  <c r="BF1026" s="10"/>
      <c r="BG1026" s="10"/>
      <c r="BH1026" s="10"/>
      <c r="BI1026" s="10"/>
      <c r="BJ1026" s="10"/>
      <c r="BK1026" s="10"/>
      <c r="BL1026" s="10"/>
      <c r="BM1026" s="10"/>
      <c r="BN1026" s="10"/>
      <c r="BO1026" s="10"/>
      <c r="BP1026" s="10"/>
      <c r="BQ1026" s="10"/>
      <c r="BR1026" s="10"/>
      <c r="BS1026" s="10"/>
      <c r="BT1026" s="10"/>
      <c r="BU1026" s="10"/>
      <c r="BV1026" s="10"/>
      <c r="BW1026" s="19"/>
    </row>
    <row r="1027">
      <c r="A1027" s="10"/>
      <c r="B1027" s="7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94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  <c r="BF1027" s="10"/>
      <c r="BG1027" s="10"/>
      <c r="BH1027" s="10"/>
      <c r="BI1027" s="10"/>
      <c r="BJ1027" s="10"/>
      <c r="BK1027" s="10"/>
      <c r="BL1027" s="10"/>
      <c r="BM1027" s="10"/>
      <c r="BN1027" s="10"/>
      <c r="BO1027" s="10"/>
      <c r="BP1027" s="10"/>
      <c r="BQ1027" s="10"/>
      <c r="BR1027" s="10"/>
      <c r="BS1027" s="10"/>
      <c r="BT1027" s="10"/>
      <c r="BU1027" s="10"/>
      <c r="BV1027" s="10"/>
      <c r="BW1027" s="19"/>
    </row>
    <row r="1028">
      <c r="A1028" s="10"/>
      <c r="B1028" s="7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94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  <c r="BF1028" s="10"/>
      <c r="BG1028" s="10"/>
      <c r="BH1028" s="10"/>
      <c r="BI1028" s="10"/>
      <c r="BJ1028" s="10"/>
      <c r="BK1028" s="10"/>
      <c r="BL1028" s="10"/>
      <c r="BM1028" s="10"/>
      <c r="BN1028" s="10"/>
      <c r="BO1028" s="10"/>
      <c r="BP1028" s="10"/>
      <c r="BQ1028" s="10"/>
      <c r="BR1028" s="10"/>
      <c r="BS1028" s="10"/>
      <c r="BT1028" s="10"/>
      <c r="BU1028" s="10"/>
      <c r="BV1028" s="10"/>
      <c r="BW1028" s="19"/>
    </row>
    <row r="1029">
      <c r="A1029" s="10"/>
      <c r="B1029" s="7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94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  <c r="BF1029" s="10"/>
      <c r="BG1029" s="10"/>
      <c r="BH1029" s="10"/>
      <c r="BI1029" s="10"/>
      <c r="BJ1029" s="10"/>
      <c r="BK1029" s="10"/>
      <c r="BL1029" s="10"/>
      <c r="BM1029" s="10"/>
      <c r="BN1029" s="10"/>
      <c r="BO1029" s="10"/>
      <c r="BP1029" s="10"/>
      <c r="BQ1029" s="10"/>
      <c r="BR1029" s="10"/>
      <c r="BS1029" s="10"/>
      <c r="BT1029" s="10"/>
      <c r="BU1029" s="10"/>
      <c r="BV1029" s="10"/>
      <c r="BW1029" s="19"/>
    </row>
    <row r="1030">
      <c r="A1030" s="10"/>
      <c r="B1030" s="7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94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  <c r="BF1030" s="10"/>
      <c r="BG1030" s="10"/>
      <c r="BH1030" s="10"/>
      <c r="BI1030" s="10"/>
      <c r="BJ1030" s="10"/>
      <c r="BK1030" s="10"/>
      <c r="BL1030" s="10"/>
      <c r="BM1030" s="10"/>
      <c r="BN1030" s="10"/>
      <c r="BO1030" s="10"/>
      <c r="BP1030" s="10"/>
      <c r="BQ1030" s="10"/>
      <c r="BR1030" s="10"/>
      <c r="BS1030" s="10"/>
      <c r="BT1030" s="10"/>
      <c r="BU1030" s="10"/>
      <c r="BV1030" s="10"/>
      <c r="BW1030" s="19"/>
    </row>
    <row r="1031">
      <c r="A1031" s="10"/>
      <c r="B1031" s="7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94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  <c r="BF1031" s="10"/>
      <c r="BG1031" s="10"/>
      <c r="BH1031" s="10"/>
      <c r="BI1031" s="10"/>
      <c r="BJ1031" s="10"/>
      <c r="BK1031" s="10"/>
      <c r="BL1031" s="10"/>
      <c r="BM1031" s="10"/>
      <c r="BN1031" s="10"/>
      <c r="BO1031" s="10"/>
      <c r="BP1031" s="10"/>
      <c r="BQ1031" s="10"/>
      <c r="BR1031" s="10"/>
      <c r="BS1031" s="10"/>
      <c r="BT1031" s="10"/>
      <c r="BU1031" s="10"/>
      <c r="BV1031" s="10"/>
      <c r="BW1031" s="19"/>
    </row>
    <row r="1032">
      <c r="A1032" s="10"/>
      <c r="B1032" s="7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94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  <c r="BF1032" s="10"/>
      <c r="BG1032" s="10"/>
      <c r="BH1032" s="10"/>
      <c r="BI1032" s="10"/>
      <c r="BJ1032" s="10"/>
      <c r="BK1032" s="10"/>
      <c r="BL1032" s="10"/>
      <c r="BM1032" s="10"/>
      <c r="BN1032" s="10"/>
      <c r="BO1032" s="10"/>
      <c r="BP1032" s="10"/>
      <c r="BQ1032" s="10"/>
      <c r="BR1032" s="10"/>
      <c r="BS1032" s="10"/>
      <c r="BT1032" s="10"/>
      <c r="BU1032" s="10"/>
      <c r="BV1032" s="10"/>
      <c r="BW1032" s="19"/>
    </row>
    <row r="1033">
      <c r="A1033" s="10"/>
      <c r="B1033" s="7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94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  <c r="BF1033" s="10"/>
      <c r="BG1033" s="10"/>
      <c r="BH1033" s="10"/>
      <c r="BI1033" s="10"/>
      <c r="BJ1033" s="10"/>
      <c r="BK1033" s="10"/>
      <c r="BL1033" s="10"/>
      <c r="BM1033" s="10"/>
      <c r="BN1033" s="10"/>
      <c r="BO1033" s="10"/>
      <c r="BP1033" s="10"/>
      <c r="BQ1033" s="10"/>
      <c r="BR1033" s="10"/>
      <c r="BS1033" s="10"/>
      <c r="BT1033" s="10"/>
      <c r="BU1033" s="10"/>
      <c r="BV1033" s="10"/>
      <c r="BW1033" s="19"/>
    </row>
    <row r="1034">
      <c r="A1034" s="10"/>
      <c r="B1034" s="7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94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  <c r="BF1034" s="10"/>
      <c r="BG1034" s="10"/>
      <c r="BH1034" s="10"/>
      <c r="BI1034" s="10"/>
      <c r="BJ1034" s="10"/>
      <c r="BK1034" s="10"/>
      <c r="BL1034" s="10"/>
      <c r="BM1034" s="10"/>
      <c r="BN1034" s="10"/>
      <c r="BO1034" s="10"/>
      <c r="BP1034" s="10"/>
      <c r="BQ1034" s="10"/>
      <c r="BR1034" s="10"/>
      <c r="BS1034" s="10"/>
      <c r="BT1034" s="10"/>
      <c r="BU1034" s="10"/>
      <c r="BV1034" s="10"/>
      <c r="BW1034" s="19"/>
    </row>
    <row r="1035">
      <c r="A1035" s="10"/>
      <c r="B1035" s="7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94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  <c r="BF1035" s="10"/>
      <c r="BG1035" s="10"/>
      <c r="BH1035" s="10"/>
      <c r="BI1035" s="10"/>
      <c r="BJ1035" s="10"/>
      <c r="BK1035" s="10"/>
      <c r="BL1035" s="10"/>
      <c r="BM1035" s="10"/>
      <c r="BN1035" s="10"/>
      <c r="BO1035" s="10"/>
      <c r="BP1035" s="10"/>
      <c r="BQ1035" s="10"/>
      <c r="BR1035" s="10"/>
      <c r="BS1035" s="10"/>
      <c r="BT1035" s="10"/>
      <c r="BU1035" s="10"/>
      <c r="BV1035" s="10"/>
      <c r="BW1035" s="19"/>
    </row>
    <row r="1036">
      <c r="A1036" s="10"/>
      <c r="B1036" s="7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94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  <c r="BF1036" s="10"/>
      <c r="BG1036" s="10"/>
      <c r="BH1036" s="10"/>
      <c r="BI1036" s="10"/>
      <c r="BJ1036" s="10"/>
      <c r="BK1036" s="10"/>
      <c r="BL1036" s="10"/>
      <c r="BM1036" s="10"/>
      <c r="BN1036" s="10"/>
      <c r="BO1036" s="10"/>
      <c r="BP1036" s="10"/>
      <c r="BQ1036" s="10"/>
      <c r="BR1036" s="10"/>
      <c r="BS1036" s="10"/>
      <c r="BT1036" s="10"/>
      <c r="BU1036" s="10"/>
      <c r="BV1036" s="10"/>
      <c r="BW1036" s="19"/>
    </row>
    <row r="1037">
      <c r="A1037" s="10"/>
      <c r="B1037" s="7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94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  <c r="BF1037" s="10"/>
      <c r="BG1037" s="10"/>
      <c r="BH1037" s="10"/>
      <c r="BI1037" s="10"/>
      <c r="BJ1037" s="10"/>
      <c r="BK1037" s="10"/>
      <c r="BL1037" s="10"/>
      <c r="BM1037" s="10"/>
      <c r="BN1037" s="10"/>
      <c r="BO1037" s="10"/>
      <c r="BP1037" s="10"/>
      <c r="BQ1037" s="10"/>
      <c r="BR1037" s="10"/>
      <c r="BS1037" s="10"/>
      <c r="BT1037" s="10"/>
      <c r="BU1037" s="10"/>
      <c r="BV1037" s="10"/>
      <c r="BW1037" s="19"/>
    </row>
    <row r="1038">
      <c r="A1038" s="10"/>
      <c r="B1038" s="7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94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  <c r="BF1038" s="10"/>
      <c r="BG1038" s="10"/>
      <c r="BH1038" s="10"/>
      <c r="BI1038" s="10"/>
      <c r="BJ1038" s="10"/>
      <c r="BK1038" s="10"/>
      <c r="BL1038" s="10"/>
      <c r="BM1038" s="10"/>
      <c r="BN1038" s="10"/>
      <c r="BO1038" s="10"/>
      <c r="BP1038" s="10"/>
      <c r="BQ1038" s="10"/>
      <c r="BR1038" s="10"/>
      <c r="BS1038" s="10"/>
      <c r="BT1038" s="10"/>
      <c r="BU1038" s="10"/>
      <c r="BV1038" s="10"/>
      <c r="BW1038" s="19"/>
    </row>
    <row r="1039">
      <c r="A1039" s="10"/>
      <c r="B1039" s="7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94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  <c r="BF1039" s="10"/>
      <c r="BG1039" s="10"/>
      <c r="BH1039" s="10"/>
      <c r="BI1039" s="10"/>
      <c r="BJ1039" s="10"/>
      <c r="BK1039" s="10"/>
      <c r="BL1039" s="10"/>
      <c r="BM1039" s="10"/>
      <c r="BN1039" s="10"/>
      <c r="BO1039" s="10"/>
      <c r="BP1039" s="10"/>
      <c r="BQ1039" s="10"/>
      <c r="BR1039" s="10"/>
      <c r="BS1039" s="10"/>
      <c r="BT1039" s="10"/>
      <c r="BU1039" s="10"/>
      <c r="BV1039" s="10"/>
      <c r="BW1039" s="19"/>
    </row>
    <row r="1040">
      <c r="A1040" s="10"/>
      <c r="B1040" s="7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94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  <c r="BF1040" s="10"/>
      <c r="BG1040" s="10"/>
      <c r="BH1040" s="10"/>
      <c r="BI1040" s="10"/>
      <c r="BJ1040" s="10"/>
      <c r="BK1040" s="10"/>
      <c r="BL1040" s="10"/>
      <c r="BM1040" s="10"/>
      <c r="BN1040" s="10"/>
      <c r="BO1040" s="10"/>
      <c r="BP1040" s="10"/>
      <c r="BQ1040" s="10"/>
      <c r="BR1040" s="10"/>
      <c r="BS1040" s="10"/>
      <c r="BT1040" s="10"/>
      <c r="BU1040" s="10"/>
      <c r="BV1040" s="10"/>
      <c r="BW1040" s="19"/>
    </row>
    <row r="1041">
      <c r="A1041" s="10"/>
      <c r="B1041" s="7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94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  <c r="BF1041" s="10"/>
      <c r="BG1041" s="10"/>
      <c r="BH1041" s="10"/>
      <c r="BI1041" s="10"/>
      <c r="BJ1041" s="10"/>
      <c r="BK1041" s="10"/>
      <c r="BL1041" s="10"/>
      <c r="BM1041" s="10"/>
      <c r="BN1041" s="10"/>
      <c r="BO1041" s="10"/>
      <c r="BP1041" s="10"/>
      <c r="BQ1041" s="10"/>
      <c r="BR1041" s="10"/>
      <c r="BS1041" s="10"/>
      <c r="BT1041" s="10"/>
      <c r="BU1041" s="10"/>
      <c r="BV1041" s="10"/>
      <c r="BW1041" s="19"/>
    </row>
    <row r="1042">
      <c r="A1042" s="10"/>
      <c r="B1042" s="7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94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  <c r="BF1042" s="10"/>
      <c r="BG1042" s="10"/>
      <c r="BH1042" s="10"/>
      <c r="BI1042" s="10"/>
      <c r="BJ1042" s="10"/>
      <c r="BK1042" s="10"/>
      <c r="BL1042" s="10"/>
      <c r="BM1042" s="10"/>
      <c r="BN1042" s="10"/>
      <c r="BO1042" s="10"/>
      <c r="BP1042" s="10"/>
      <c r="BQ1042" s="10"/>
      <c r="BR1042" s="10"/>
      <c r="BS1042" s="10"/>
      <c r="BT1042" s="10"/>
      <c r="BU1042" s="10"/>
      <c r="BV1042" s="10"/>
      <c r="BW1042" s="19"/>
    </row>
    <row r="1043">
      <c r="A1043" s="10"/>
      <c r="B1043" s="7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94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  <c r="BF1043" s="10"/>
      <c r="BG1043" s="10"/>
      <c r="BH1043" s="10"/>
      <c r="BI1043" s="10"/>
      <c r="BJ1043" s="10"/>
      <c r="BK1043" s="10"/>
      <c r="BL1043" s="10"/>
      <c r="BM1043" s="10"/>
      <c r="BN1043" s="10"/>
      <c r="BO1043" s="10"/>
      <c r="BP1043" s="10"/>
      <c r="BQ1043" s="10"/>
      <c r="BR1043" s="10"/>
      <c r="BS1043" s="10"/>
      <c r="BT1043" s="10"/>
      <c r="BU1043" s="10"/>
      <c r="BV1043" s="10"/>
      <c r="BW1043" s="19"/>
    </row>
    <row r="1044">
      <c r="A1044" s="10"/>
      <c r="B1044" s="7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94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  <c r="BF1044" s="10"/>
      <c r="BG1044" s="10"/>
      <c r="BH1044" s="10"/>
      <c r="BI1044" s="10"/>
      <c r="BJ1044" s="10"/>
      <c r="BK1044" s="10"/>
      <c r="BL1044" s="10"/>
      <c r="BM1044" s="10"/>
      <c r="BN1044" s="10"/>
      <c r="BO1044" s="10"/>
      <c r="BP1044" s="10"/>
      <c r="BQ1044" s="10"/>
      <c r="BR1044" s="10"/>
      <c r="BS1044" s="10"/>
      <c r="BT1044" s="10"/>
      <c r="BU1044" s="10"/>
      <c r="BV1044" s="10"/>
      <c r="BW1044" s="19"/>
    </row>
    <row r="1045">
      <c r="A1045" s="10"/>
      <c r="B1045" s="7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94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  <c r="BF1045" s="10"/>
      <c r="BG1045" s="10"/>
      <c r="BH1045" s="10"/>
      <c r="BI1045" s="10"/>
      <c r="BJ1045" s="10"/>
      <c r="BK1045" s="10"/>
      <c r="BL1045" s="10"/>
      <c r="BM1045" s="10"/>
      <c r="BN1045" s="10"/>
      <c r="BO1045" s="10"/>
      <c r="BP1045" s="10"/>
      <c r="BQ1045" s="10"/>
      <c r="BR1045" s="10"/>
      <c r="BS1045" s="10"/>
      <c r="BT1045" s="10"/>
      <c r="BU1045" s="10"/>
      <c r="BV1045" s="10"/>
      <c r="BW1045" s="19"/>
    </row>
    <row r="1046">
      <c r="A1046" s="10"/>
      <c r="B1046" s="7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94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  <c r="BF1046" s="10"/>
      <c r="BG1046" s="10"/>
      <c r="BH1046" s="10"/>
      <c r="BI1046" s="10"/>
      <c r="BJ1046" s="10"/>
      <c r="BK1046" s="10"/>
      <c r="BL1046" s="10"/>
      <c r="BM1046" s="10"/>
      <c r="BN1046" s="10"/>
      <c r="BO1046" s="10"/>
      <c r="BP1046" s="10"/>
      <c r="BQ1046" s="10"/>
      <c r="BR1046" s="10"/>
      <c r="BS1046" s="10"/>
      <c r="BT1046" s="10"/>
      <c r="BU1046" s="10"/>
      <c r="BV1046" s="10"/>
      <c r="BW1046" s="19"/>
    </row>
    <row r="1047">
      <c r="A1047" s="10"/>
      <c r="B1047" s="7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94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  <c r="BF1047" s="10"/>
      <c r="BG1047" s="10"/>
      <c r="BH1047" s="10"/>
      <c r="BI1047" s="10"/>
      <c r="BJ1047" s="10"/>
      <c r="BK1047" s="10"/>
      <c r="BL1047" s="10"/>
      <c r="BM1047" s="10"/>
      <c r="BN1047" s="10"/>
      <c r="BO1047" s="10"/>
      <c r="BP1047" s="10"/>
      <c r="BQ1047" s="10"/>
      <c r="BR1047" s="10"/>
      <c r="BS1047" s="10"/>
      <c r="BT1047" s="10"/>
      <c r="BU1047" s="10"/>
      <c r="BV1047" s="10"/>
      <c r="BW1047" s="19"/>
    </row>
    <row r="1048">
      <c r="A1048" s="10"/>
      <c r="B1048" s="7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94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  <c r="BF1048" s="10"/>
      <c r="BG1048" s="10"/>
      <c r="BH1048" s="10"/>
      <c r="BI1048" s="10"/>
      <c r="BJ1048" s="10"/>
      <c r="BK1048" s="10"/>
      <c r="BL1048" s="10"/>
      <c r="BM1048" s="10"/>
      <c r="BN1048" s="10"/>
      <c r="BO1048" s="10"/>
      <c r="BP1048" s="10"/>
      <c r="BQ1048" s="10"/>
      <c r="BR1048" s="10"/>
      <c r="BS1048" s="10"/>
      <c r="BT1048" s="10"/>
      <c r="BU1048" s="10"/>
      <c r="BV1048" s="10"/>
      <c r="BW1048" s="19"/>
    </row>
    <row r="1049">
      <c r="A1049" s="10"/>
      <c r="B1049" s="7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94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  <c r="BF1049" s="10"/>
      <c r="BG1049" s="10"/>
      <c r="BH1049" s="10"/>
      <c r="BI1049" s="10"/>
      <c r="BJ1049" s="10"/>
      <c r="BK1049" s="10"/>
      <c r="BL1049" s="10"/>
      <c r="BM1049" s="10"/>
      <c r="BN1049" s="10"/>
      <c r="BO1049" s="10"/>
      <c r="BP1049" s="10"/>
      <c r="BQ1049" s="10"/>
      <c r="BR1049" s="10"/>
      <c r="BS1049" s="10"/>
      <c r="BT1049" s="10"/>
      <c r="BU1049" s="10"/>
      <c r="BV1049" s="10"/>
      <c r="BW1049" s="19"/>
    </row>
    <row r="1050">
      <c r="A1050" s="10"/>
      <c r="B1050" s="7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94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  <c r="BF1050" s="10"/>
      <c r="BG1050" s="10"/>
      <c r="BH1050" s="10"/>
      <c r="BI1050" s="10"/>
      <c r="BJ1050" s="10"/>
      <c r="BK1050" s="10"/>
      <c r="BL1050" s="10"/>
      <c r="BM1050" s="10"/>
      <c r="BN1050" s="10"/>
      <c r="BO1050" s="10"/>
      <c r="BP1050" s="10"/>
      <c r="BQ1050" s="10"/>
      <c r="BR1050" s="10"/>
      <c r="BS1050" s="10"/>
      <c r="BT1050" s="10"/>
      <c r="BU1050" s="10"/>
      <c r="BV1050" s="10"/>
      <c r="BW1050" s="19"/>
    </row>
    <row r="1051">
      <c r="A1051" s="10"/>
      <c r="B1051" s="7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94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  <c r="BF1051" s="10"/>
      <c r="BG1051" s="10"/>
      <c r="BH1051" s="10"/>
      <c r="BI1051" s="10"/>
      <c r="BJ1051" s="10"/>
      <c r="BK1051" s="10"/>
      <c r="BL1051" s="10"/>
      <c r="BM1051" s="10"/>
      <c r="BN1051" s="10"/>
      <c r="BO1051" s="10"/>
      <c r="BP1051" s="10"/>
      <c r="BQ1051" s="10"/>
      <c r="BR1051" s="10"/>
      <c r="BS1051" s="10"/>
      <c r="BT1051" s="10"/>
      <c r="BU1051" s="10"/>
      <c r="BV1051" s="10"/>
      <c r="BW1051" s="19"/>
    </row>
    <row r="1052">
      <c r="A1052" s="10"/>
      <c r="B1052" s="7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94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  <c r="BF1052" s="10"/>
      <c r="BG1052" s="10"/>
      <c r="BH1052" s="10"/>
      <c r="BI1052" s="10"/>
      <c r="BJ1052" s="10"/>
      <c r="BK1052" s="10"/>
      <c r="BL1052" s="10"/>
      <c r="BM1052" s="10"/>
      <c r="BN1052" s="10"/>
      <c r="BO1052" s="10"/>
      <c r="BP1052" s="10"/>
      <c r="BQ1052" s="10"/>
      <c r="BR1052" s="10"/>
      <c r="BS1052" s="10"/>
      <c r="BT1052" s="10"/>
      <c r="BU1052" s="10"/>
      <c r="BV1052" s="10"/>
      <c r="BW1052" s="19"/>
    </row>
    <row r="1053">
      <c r="A1053" s="10"/>
      <c r="B1053" s="7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94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  <c r="BF1053" s="10"/>
      <c r="BG1053" s="10"/>
      <c r="BH1053" s="10"/>
      <c r="BI1053" s="10"/>
      <c r="BJ1053" s="10"/>
      <c r="BK1053" s="10"/>
      <c r="BL1053" s="10"/>
      <c r="BM1053" s="10"/>
      <c r="BN1053" s="10"/>
      <c r="BO1053" s="10"/>
      <c r="BP1053" s="10"/>
      <c r="BQ1053" s="10"/>
      <c r="BR1053" s="10"/>
      <c r="BS1053" s="10"/>
      <c r="BT1053" s="10"/>
      <c r="BU1053" s="10"/>
      <c r="BV1053" s="10"/>
      <c r="BW1053" s="19"/>
    </row>
    <row r="1054">
      <c r="A1054" s="10"/>
      <c r="B1054" s="7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94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  <c r="BF1054" s="10"/>
      <c r="BG1054" s="10"/>
      <c r="BH1054" s="10"/>
      <c r="BI1054" s="10"/>
      <c r="BJ1054" s="10"/>
      <c r="BK1054" s="10"/>
      <c r="BL1054" s="10"/>
      <c r="BM1054" s="10"/>
      <c r="BN1054" s="10"/>
      <c r="BO1054" s="10"/>
      <c r="BP1054" s="10"/>
      <c r="BQ1054" s="10"/>
      <c r="BR1054" s="10"/>
      <c r="BS1054" s="10"/>
      <c r="BT1054" s="10"/>
      <c r="BU1054" s="10"/>
      <c r="BV1054" s="10"/>
      <c r="BW1054" s="19"/>
    </row>
    <row r="1055">
      <c r="A1055" s="10"/>
      <c r="B1055" s="7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94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  <c r="BF1055" s="10"/>
      <c r="BG1055" s="10"/>
      <c r="BH1055" s="10"/>
      <c r="BI1055" s="10"/>
      <c r="BJ1055" s="10"/>
      <c r="BK1055" s="10"/>
      <c r="BL1055" s="10"/>
      <c r="BM1055" s="10"/>
      <c r="BN1055" s="10"/>
      <c r="BO1055" s="10"/>
      <c r="BP1055" s="10"/>
      <c r="BQ1055" s="10"/>
      <c r="BR1055" s="10"/>
      <c r="BS1055" s="10"/>
      <c r="BT1055" s="10"/>
      <c r="BU1055" s="10"/>
      <c r="BV1055" s="10"/>
      <c r="BW1055" s="19"/>
    </row>
    <row r="1056">
      <c r="A1056" s="10"/>
      <c r="B1056" s="7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94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  <c r="BF1056" s="10"/>
      <c r="BG1056" s="10"/>
      <c r="BH1056" s="10"/>
      <c r="BI1056" s="10"/>
      <c r="BJ1056" s="10"/>
      <c r="BK1056" s="10"/>
      <c r="BL1056" s="10"/>
      <c r="BM1056" s="10"/>
      <c r="BN1056" s="10"/>
      <c r="BO1056" s="10"/>
      <c r="BP1056" s="10"/>
      <c r="BQ1056" s="10"/>
      <c r="BR1056" s="10"/>
      <c r="BS1056" s="10"/>
      <c r="BT1056" s="10"/>
      <c r="BU1056" s="10"/>
      <c r="BV1056" s="10"/>
      <c r="BW1056" s="19"/>
    </row>
    <row r="1057">
      <c r="A1057" s="10"/>
      <c r="B1057" s="7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94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  <c r="BF1057" s="10"/>
      <c r="BG1057" s="10"/>
      <c r="BH1057" s="10"/>
      <c r="BI1057" s="10"/>
      <c r="BJ1057" s="10"/>
      <c r="BK1057" s="10"/>
      <c r="BL1057" s="10"/>
      <c r="BM1057" s="10"/>
      <c r="BN1057" s="10"/>
      <c r="BO1057" s="10"/>
      <c r="BP1057" s="10"/>
      <c r="BQ1057" s="10"/>
      <c r="BR1057" s="10"/>
      <c r="BS1057" s="10"/>
      <c r="BT1057" s="10"/>
      <c r="BU1057" s="10"/>
      <c r="BV1057" s="10"/>
      <c r="BW1057" s="19"/>
    </row>
    <row r="1058">
      <c r="A1058" s="10"/>
      <c r="B1058" s="7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94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  <c r="BF1058" s="10"/>
      <c r="BG1058" s="10"/>
      <c r="BH1058" s="10"/>
      <c r="BI1058" s="10"/>
      <c r="BJ1058" s="10"/>
      <c r="BK1058" s="10"/>
      <c r="BL1058" s="10"/>
      <c r="BM1058" s="10"/>
      <c r="BN1058" s="10"/>
      <c r="BO1058" s="10"/>
      <c r="BP1058" s="10"/>
      <c r="BQ1058" s="10"/>
      <c r="BR1058" s="10"/>
      <c r="BS1058" s="10"/>
      <c r="BT1058" s="10"/>
      <c r="BU1058" s="10"/>
      <c r="BV1058" s="10"/>
      <c r="BW1058" s="19"/>
    </row>
    <row r="1059">
      <c r="A1059" s="10"/>
      <c r="B1059" s="7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94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  <c r="BF1059" s="10"/>
      <c r="BG1059" s="10"/>
      <c r="BH1059" s="10"/>
      <c r="BI1059" s="10"/>
      <c r="BJ1059" s="10"/>
      <c r="BK1059" s="10"/>
      <c r="BL1059" s="10"/>
      <c r="BM1059" s="10"/>
      <c r="BN1059" s="10"/>
      <c r="BO1059" s="10"/>
      <c r="BP1059" s="10"/>
      <c r="BQ1059" s="10"/>
      <c r="BR1059" s="10"/>
      <c r="BS1059" s="10"/>
      <c r="BT1059" s="10"/>
      <c r="BU1059" s="10"/>
      <c r="BV1059" s="10"/>
      <c r="BW1059" s="19"/>
    </row>
    <row r="1060">
      <c r="A1060" s="10"/>
      <c r="B1060" s="7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94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  <c r="BF1060" s="10"/>
      <c r="BG1060" s="10"/>
      <c r="BH1060" s="10"/>
      <c r="BI1060" s="10"/>
      <c r="BJ1060" s="10"/>
      <c r="BK1060" s="10"/>
      <c r="BL1060" s="10"/>
      <c r="BM1060" s="10"/>
      <c r="BN1060" s="10"/>
      <c r="BO1060" s="10"/>
      <c r="BP1060" s="10"/>
      <c r="BQ1060" s="10"/>
      <c r="BR1060" s="10"/>
      <c r="BS1060" s="10"/>
      <c r="BT1060" s="10"/>
      <c r="BU1060" s="10"/>
      <c r="BV1060" s="10"/>
      <c r="BW1060" s="19"/>
    </row>
    <row r="1061">
      <c r="A1061" s="10"/>
      <c r="B1061" s="7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94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  <c r="BF1061" s="10"/>
      <c r="BG1061" s="10"/>
      <c r="BH1061" s="10"/>
      <c r="BI1061" s="10"/>
      <c r="BJ1061" s="10"/>
      <c r="BK1061" s="10"/>
      <c r="BL1061" s="10"/>
      <c r="BM1061" s="10"/>
      <c r="BN1061" s="10"/>
      <c r="BO1061" s="10"/>
      <c r="BP1061" s="10"/>
      <c r="BQ1061" s="10"/>
      <c r="BR1061" s="10"/>
      <c r="BS1061" s="10"/>
      <c r="BT1061" s="10"/>
      <c r="BU1061" s="10"/>
      <c r="BV1061" s="10"/>
      <c r="BW1061" s="19"/>
    </row>
    <row r="1062">
      <c r="A1062" s="10"/>
      <c r="B1062" s="7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94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  <c r="BF1062" s="10"/>
      <c r="BG1062" s="10"/>
      <c r="BH1062" s="10"/>
      <c r="BI1062" s="10"/>
      <c r="BJ1062" s="10"/>
      <c r="BK1062" s="10"/>
      <c r="BL1062" s="10"/>
      <c r="BM1062" s="10"/>
      <c r="BN1062" s="10"/>
      <c r="BO1062" s="10"/>
      <c r="BP1062" s="10"/>
      <c r="BQ1062" s="10"/>
      <c r="BR1062" s="10"/>
      <c r="BS1062" s="10"/>
      <c r="BT1062" s="10"/>
      <c r="BU1062" s="10"/>
      <c r="BV1062" s="10"/>
      <c r="BW1062" s="19"/>
    </row>
    <row r="1063">
      <c r="A1063" s="10"/>
      <c r="B1063" s="7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94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  <c r="BF1063" s="10"/>
      <c r="BG1063" s="10"/>
      <c r="BH1063" s="10"/>
      <c r="BI1063" s="10"/>
      <c r="BJ1063" s="10"/>
      <c r="BK1063" s="10"/>
      <c r="BL1063" s="10"/>
      <c r="BM1063" s="10"/>
      <c r="BN1063" s="10"/>
      <c r="BO1063" s="10"/>
      <c r="BP1063" s="10"/>
      <c r="BQ1063" s="10"/>
      <c r="BR1063" s="10"/>
      <c r="BS1063" s="10"/>
      <c r="BT1063" s="10"/>
      <c r="BU1063" s="10"/>
      <c r="BV1063" s="10"/>
      <c r="BW1063" s="19"/>
    </row>
    <row r="1064">
      <c r="A1064" s="10"/>
      <c r="B1064" s="7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94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  <c r="BF1064" s="10"/>
      <c r="BG1064" s="10"/>
      <c r="BH1064" s="10"/>
      <c r="BI1064" s="10"/>
      <c r="BJ1064" s="10"/>
      <c r="BK1064" s="10"/>
      <c r="BL1064" s="10"/>
      <c r="BM1064" s="10"/>
      <c r="BN1064" s="10"/>
      <c r="BO1064" s="10"/>
      <c r="BP1064" s="10"/>
      <c r="BQ1064" s="10"/>
      <c r="BR1064" s="10"/>
      <c r="BS1064" s="10"/>
      <c r="BT1064" s="10"/>
      <c r="BU1064" s="10"/>
      <c r="BV1064" s="10"/>
      <c r="BW1064" s="19"/>
    </row>
    <row r="1065">
      <c r="A1065" s="10"/>
      <c r="B1065" s="7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94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  <c r="BF1065" s="10"/>
      <c r="BG1065" s="10"/>
      <c r="BH1065" s="10"/>
      <c r="BI1065" s="10"/>
      <c r="BJ1065" s="10"/>
      <c r="BK1065" s="10"/>
      <c r="BL1065" s="10"/>
      <c r="BM1065" s="10"/>
      <c r="BN1065" s="10"/>
      <c r="BO1065" s="10"/>
      <c r="BP1065" s="10"/>
      <c r="BQ1065" s="10"/>
      <c r="BR1065" s="10"/>
      <c r="BS1065" s="10"/>
      <c r="BT1065" s="10"/>
      <c r="BU1065" s="10"/>
      <c r="BV1065" s="10"/>
      <c r="BW1065" s="19"/>
    </row>
    <row r="1066">
      <c r="A1066" s="10"/>
      <c r="B1066" s="7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94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  <c r="BF1066" s="10"/>
      <c r="BG1066" s="10"/>
      <c r="BH1066" s="10"/>
      <c r="BI1066" s="10"/>
      <c r="BJ1066" s="10"/>
      <c r="BK1066" s="10"/>
      <c r="BL1066" s="10"/>
      <c r="BM1066" s="10"/>
      <c r="BN1066" s="10"/>
      <c r="BO1066" s="10"/>
      <c r="BP1066" s="10"/>
      <c r="BQ1066" s="10"/>
      <c r="BR1066" s="10"/>
      <c r="BS1066" s="10"/>
      <c r="BT1066" s="10"/>
      <c r="BU1066" s="10"/>
      <c r="BV1066" s="10"/>
      <c r="BW1066" s="19"/>
    </row>
    <row r="1067">
      <c r="A1067" s="10"/>
      <c r="B1067" s="7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94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  <c r="BF1067" s="10"/>
      <c r="BG1067" s="10"/>
      <c r="BH1067" s="10"/>
      <c r="BI1067" s="10"/>
      <c r="BJ1067" s="10"/>
      <c r="BK1067" s="10"/>
      <c r="BL1067" s="10"/>
      <c r="BM1067" s="10"/>
      <c r="BN1067" s="10"/>
      <c r="BO1067" s="10"/>
      <c r="BP1067" s="10"/>
      <c r="BQ1067" s="10"/>
      <c r="BR1067" s="10"/>
      <c r="BS1067" s="10"/>
      <c r="BT1067" s="10"/>
      <c r="BU1067" s="10"/>
      <c r="BV1067" s="10"/>
      <c r="BW1067" s="19"/>
    </row>
    <row r="1068">
      <c r="A1068" s="10"/>
      <c r="B1068" s="7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94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  <c r="BF1068" s="10"/>
      <c r="BG1068" s="10"/>
      <c r="BH1068" s="10"/>
      <c r="BI1068" s="10"/>
      <c r="BJ1068" s="10"/>
      <c r="BK1068" s="10"/>
      <c r="BL1068" s="10"/>
      <c r="BM1068" s="10"/>
      <c r="BN1068" s="10"/>
      <c r="BO1068" s="10"/>
      <c r="BP1068" s="10"/>
      <c r="BQ1068" s="10"/>
      <c r="BR1068" s="10"/>
      <c r="BS1068" s="10"/>
      <c r="BT1068" s="10"/>
      <c r="BU1068" s="10"/>
      <c r="BV1068" s="10"/>
      <c r="BW1068" s="19"/>
    </row>
    <row r="1069">
      <c r="A1069" s="10"/>
      <c r="B1069" s="7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94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  <c r="BF1069" s="10"/>
      <c r="BG1069" s="10"/>
      <c r="BH1069" s="10"/>
      <c r="BI1069" s="10"/>
      <c r="BJ1069" s="10"/>
      <c r="BK1069" s="10"/>
      <c r="BL1069" s="10"/>
      <c r="BM1069" s="10"/>
      <c r="BN1069" s="10"/>
      <c r="BO1069" s="10"/>
      <c r="BP1069" s="10"/>
      <c r="BQ1069" s="10"/>
      <c r="BR1069" s="10"/>
      <c r="BS1069" s="10"/>
      <c r="BT1069" s="10"/>
      <c r="BU1069" s="10"/>
      <c r="BV1069" s="10"/>
      <c r="BW1069" s="19"/>
    </row>
    <row r="1070">
      <c r="A1070" s="10"/>
      <c r="B1070" s="7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94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  <c r="BF1070" s="10"/>
      <c r="BG1070" s="10"/>
      <c r="BH1070" s="10"/>
      <c r="BI1070" s="10"/>
      <c r="BJ1070" s="10"/>
      <c r="BK1070" s="10"/>
      <c r="BL1070" s="10"/>
      <c r="BM1070" s="10"/>
      <c r="BN1070" s="10"/>
      <c r="BO1070" s="10"/>
      <c r="BP1070" s="10"/>
      <c r="BQ1070" s="10"/>
      <c r="BR1070" s="10"/>
      <c r="BS1070" s="10"/>
      <c r="BT1070" s="10"/>
      <c r="BU1070" s="10"/>
      <c r="BV1070" s="10"/>
      <c r="BW1070" s="19"/>
    </row>
    <row r="1071">
      <c r="A1071" s="10"/>
      <c r="B1071" s="7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94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  <c r="BF1071" s="10"/>
      <c r="BG1071" s="10"/>
      <c r="BH1071" s="10"/>
      <c r="BI1071" s="10"/>
      <c r="BJ1071" s="10"/>
      <c r="BK1071" s="10"/>
      <c r="BL1071" s="10"/>
      <c r="BM1071" s="10"/>
      <c r="BN1071" s="10"/>
      <c r="BO1071" s="10"/>
      <c r="BP1071" s="10"/>
      <c r="BQ1071" s="10"/>
      <c r="BR1071" s="10"/>
      <c r="BS1071" s="10"/>
      <c r="BT1071" s="10"/>
      <c r="BU1071" s="10"/>
      <c r="BV1071" s="10"/>
      <c r="BW1071" s="19"/>
    </row>
    <row r="1072">
      <c r="A1072" s="10"/>
      <c r="B1072" s="7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94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  <c r="BF1072" s="10"/>
      <c r="BG1072" s="10"/>
      <c r="BH1072" s="10"/>
      <c r="BI1072" s="10"/>
      <c r="BJ1072" s="10"/>
      <c r="BK1072" s="10"/>
      <c r="BL1072" s="10"/>
      <c r="BM1072" s="10"/>
      <c r="BN1072" s="10"/>
      <c r="BO1072" s="10"/>
      <c r="BP1072" s="10"/>
      <c r="BQ1072" s="10"/>
      <c r="BR1072" s="10"/>
      <c r="BS1072" s="10"/>
      <c r="BT1072" s="10"/>
      <c r="BU1072" s="10"/>
      <c r="BV1072" s="10"/>
      <c r="BW1072" s="19"/>
    </row>
    <row r="1073">
      <c r="A1073" s="10"/>
      <c r="B1073" s="7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94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  <c r="BF1073" s="10"/>
      <c r="BG1073" s="10"/>
      <c r="BH1073" s="10"/>
      <c r="BI1073" s="10"/>
      <c r="BJ1073" s="10"/>
      <c r="BK1073" s="10"/>
      <c r="BL1073" s="10"/>
      <c r="BM1073" s="10"/>
      <c r="BN1073" s="10"/>
      <c r="BO1073" s="10"/>
      <c r="BP1073" s="10"/>
      <c r="BQ1073" s="10"/>
      <c r="BR1073" s="10"/>
      <c r="BS1073" s="10"/>
      <c r="BT1073" s="10"/>
      <c r="BU1073" s="10"/>
      <c r="BV1073" s="10"/>
      <c r="BW1073" s="19"/>
    </row>
    <row r="1074">
      <c r="A1074" s="10"/>
      <c r="B1074" s="7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94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  <c r="BF1074" s="10"/>
      <c r="BG1074" s="10"/>
      <c r="BH1074" s="10"/>
      <c r="BI1074" s="10"/>
      <c r="BJ1074" s="10"/>
      <c r="BK1074" s="10"/>
      <c r="BL1074" s="10"/>
      <c r="BM1074" s="10"/>
      <c r="BN1074" s="10"/>
      <c r="BO1074" s="10"/>
      <c r="BP1074" s="10"/>
      <c r="BQ1074" s="10"/>
      <c r="BR1074" s="10"/>
      <c r="BS1074" s="10"/>
      <c r="BT1074" s="10"/>
      <c r="BU1074" s="10"/>
      <c r="BV1074" s="10"/>
      <c r="BW1074" s="19"/>
    </row>
    <row r="1075">
      <c r="A1075" s="10"/>
      <c r="B1075" s="7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94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  <c r="BF1075" s="10"/>
      <c r="BG1075" s="10"/>
      <c r="BH1075" s="10"/>
      <c r="BI1075" s="10"/>
      <c r="BJ1075" s="10"/>
      <c r="BK1075" s="10"/>
      <c r="BL1075" s="10"/>
      <c r="BM1075" s="10"/>
      <c r="BN1075" s="10"/>
      <c r="BO1075" s="10"/>
      <c r="BP1075" s="10"/>
      <c r="BQ1075" s="10"/>
      <c r="BR1075" s="10"/>
      <c r="BS1075" s="10"/>
      <c r="BT1075" s="10"/>
      <c r="BU1075" s="10"/>
      <c r="BV1075" s="10"/>
      <c r="BW1075" s="19"/>
    </row>
    <row r="1076">
      <c r="A1076" s="10"/>
      <c r="B1076" s="7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94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  <c r="BF1076" s="10"/>
      <c r="BG1076" s="10"/>
      <c r="BH1076" s="10"/>
      <c r="BI1076" s="10"/>
      <c r="BJ1076" s="10"/>
      <c r="BK1076" s="10"/>
      <c r="BL1076" s="10"/>
      <c r="BM1076" s="10"/>
      <c r="BN1076" s="10"/>
      <c r="BO1076" s="10"/>
      <c r="BP1076" s="10"/>
      <c r="BQ1076" s="10"/>
      <c r="BR1076" s="10"/>
      <c r="BS1076" s="10"/>
      <c r="BT1076" s="10"/>
      <c r="BU1076" s="10"/>
      <c r="BV1076" s="10"/>
      <c r="BW1076" s="19"/>
    </row>
    <row r="1077">
      <c r="A1077" s="10"/>
      <c r="B1077" s="7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94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  <c r="BF1077" s="10"/>
      <c r="BG1077" s="10"/>
      <c r="BH1077" s="10"/>
      <c r="BI1077" s="10"/>
      <c r="BJ1077" s="10"/>
      <c r="BK1077" s="10"/>
      <c r="BL1077" s="10"/>
      <c r="BM1077" s="10"/>
      <c r="BN1077" s="10"/>
      <c r="BO1077" s="10"/>
      <c r="BP1077" s="10"/>
      <c r="BQ1077" s="10"/>
      <c r="BR1077" s="10"/>
      <c r="BS1077" s="10"/>
      <c r="BT1077" s="10"/>
      <c r="BU1077" s="10"/>
      <c r="BV1077" s="10"/>
      <c r="BW1077" s="19"/>
    </row>
    <row r="1078">
      <c r="A1078" s="10"/>
      <c r="B1078" s="7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94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  <c r="BF1078" s="10"/>
      <c r="BG1078" s="10"/>
      <c r="BH1078" s="10"/>
      <c r="BI1078" s="10"/>
      <c r="BJ1078" s="10"/>
      <c r="BK1078" s="10"/>
      <c r="BL1078" s="10"/>
      <c r="BM1078" s="10"/>
      <c r="BN1078" s="10"/>
      <c r="BO1078" s="10"/>
      <c r="BP1078" s="10"/>
      <c r="BQ1078" s="10"/>
      <c r="BR1078" s="10"/>
      <c r="BS1078" s="10"/>
      <c r="BT1078" s="10"/>
      <c r="BU1078" s="10"/>
      <c r="BV1078" s="10"/>
      <c r="BW1078" s="19"/>
    </row>
    <row r="1079">
      <c r="A1079" s="10"/>
      <c r="B1079" s="7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94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  <c r="BF1079" s="10"/>
      <c r="BG1079" s="10"/>
      <c r="BH1079" s="10"/>
      <c r="BI1079" s="10"/>
      <c r="BJ1079" s="10"/>
      <c r="BK1079" s="10"/>
      <c r="BL1079" s="10"/>
      <c r="BM1079" s="10"/>
      <c r="BN1079" s="10"/>
      <c r="BO1079" s="10"/>
      <c r="BP1079" s="10"/>
      <c r="BQ1079" s="10"/>
      <c r="BR1079" s="10"/>
      <c r="BS1079" s="10"/>
      <c r="BT1079" s="10"/>
      <c r="BU1079" s="10"/>
      <c r="BV1079" s="10"/>
      <c r="BW1079" s="19"/>
    </row>
    <row r="1080">
      <c r="A1080" s="10"/>
      <c r="B1080" s="7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94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  <c r="BF1080" s="10"/>
      <c r="BG1080" s="10"/>
      <c r="BH1080" s="10"/>
      <c r="BI1080" s="10"/>
      <c r="BJ1080" s="10"/>
      <c r="BK1080" s="10"/>
      <c r="BL1080" s="10"/>
      <c r="BM1080" s="10"/>
      <c r="BN1080" s="10"/>
      <c r="BO1080" s="10"/>
      <c r="BP1080" s="10"/>
      <c r="BQ1080" s="10"/>
      <c r="BR1080" s="10"/>
      <c r="BS1080" s="10"/>
      <c r="BT1080" s="10"/>
      <c r="BU1080" s="10"/>
      <c r="BV1080" s="10"/>
      <c r="BW1080" s="19"/>
    </row>
    <row r="1081">
      <c r="A1081" s="10"/>
      <c r="B1081" s="7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94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  <c r="BF1081" s="10"/>
      <c r="BG1081" s="10"/>
      <c r="BH1081" s="10"/>
      <c r="BI1081" s="10"/>
      <c r="BJ1081" s="10"/>
      <c r="BK1081" s="10"/>
      <c r="BL1081" s="10"/>
      <c r="BM1081" s="10"/>
      <c r="BN1081" s="10"/>
      <c r="BO1081" s="10"/>
      <c r="BP1081" s="10"/>
      <c r="BQ1081" s="10"/>
      <c r="BR1081" s="10"/>
      <c r="BS1081" s="10"/>
      <c r="BT1081" s="10"/>
      <c r="BU1081" s="10"/>
      <c r="BV1081" s="10"/>
      <c r="BW1081" s="19"/>
    </row>
    <row r="1082">
      <c r="A1082" s="10"/>
      <c r="B1082" s="7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94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  <c r="BF1082" s="10"/>
      <c r="BG1082" s="10"/>
      <c r="BH1082" s="10"/>
      <c r="BI1082" s="10"/>
      <c r="BJ1082" s="10"/>
      <c r="BK1082" s="10"/>
      <c r="BL1082" s="10"/>
      <c r="BM1082" s="10"/>
      <c r="BN1082" s="10"/>
      <c r="BO1082" s="10"/>
      <c r="BP1082" s="10"/>
      <c r="BQ1082" s="10"/>
      <c r="BR1082" s="10"/>
      <c r="BS1082" s="10"/>
      <c r="BT1082" s="10"/>
      <c r="BU1082" s="10"/>
      <c r="BV1082" s="10"/>
      <c r="BW1082" s="19"/>
    </row>
    <row r="1083">
      <c r="A1083" s="10"/>
      <c r="B1083" s="7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94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  <c r="BF1083" s="10"/>
      <c r="BG1083" s="10"/>
      <c r="BH1083" s="10"/>
      <c r="BI1083" s="10"/>
      <c r="BJ1083" s="10"/>
      <c r="BK1083" s="10"/>
      <c r="BL1083" s="10"/>
      <c r="BM1083" s="10"/>
      <c r="BN1083" s="10"/>
      <c r="BO1083" s="10"/>
      <c r="BP1083" s="10"/>
      <c r="BQ1083" s="10"/>
      <c r="BR1083" s="10"/>
      <c r="BS1083" s="10"/>
      <c r="BT1083" s="10"/>
      <c r="BU1083" s="10"/>
      <c r="BV1083" s="10"/>
      <c r="BW1083" s="19"/>
    </row>
    <row r="1084">
      <c r="A1084" s="10"/>
      <c r="B1084" s="7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94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  <c r="BF1084" s="10"/>
      <c r="BG1084" s="10"/>
      <c r="BH1084" s="10"/>
      <c r="BI1084" s="10"/>
      <c r="BJ1084" s="10"/>
      <c r="BK1084" s="10"/>
      <c r="BL1084" s="10"/>
      <c r="BM1084" s="10"/>
      <c r="BN1084" s="10"/>
      <c r="BO1084" s="10"/>
      <c r="BP1084" s="10"/>
      <c r="BQ1084" s="10"/>
      <c r="BR1084" s="10"/>
      <c r="BS1084" s="10"/>
      <c r="BT1084" s="10"/>
      <c r="BU1084" s="10"/>
      <c r="BV1084" s="10"/>
      <c r="BW1084" s="19"/>
    </row>
    <row r="1085">
      <c r="A1085" s="10"/>
      <c r="B1085" s="7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94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  <c r="BF1085" s="10"/>
      <c r="BG1085" s="10"/>
      <c r="BH1085" s="10"/>
      <c r="BI1085" s="10"/>
      <c r="BJ1085" s="10"/>
      <c r="BK1085" s="10"/>
      <c r="BL1085" s="10"/>
      <c r="BM1085" s="10"/>
      <c r="BN1085" s="10"/>
      <c r="BO1085" s="10"/>
      <c r="BP1085" s="10"/>
      <c r="BQ1085" s="10"/>
      <c r="BR1085" s="10"/>
      <c r="BS1085" s="10"/>
      <c r="BT1085" s="10"/>
      <c r="BU1085" s="10"/>
      <c r="BV1085" s="10"/>
      <c r="BW1085" s="19"/>
    </row>
    <row r="1086">
      <c r="A1086" s="10"/>
      <c r="B1086" s="7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94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  <c r="BF1086" s="10"/>
      <c r="BG1086" s="10"/>
      <c r="BH1086" s="10"/>
      <c r="BI1086" s="10"/>
      <c r="BJ1086" s="10"/>
      <c r="BK1086" s="10"/>
      <c r="BL1086" s="10"/>
      <c r="BM1086" s="10"/>
      <c r="BN1086" s="10"/>
      <c r="BO1086" s="10"/>
      <c r="BP1086" s="10"/>
      <c r="BQ1086" s="10"/>
      <c r="BR1086" s="10"/>
      <c r="BS1086" s="10"/>
      <c r="BT1086" s="10"/>
      <c r="BU1086" s="10"/>
      <c r="BV1086" s="10"/>
      <c r="BW1086" s="19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6.67"/>
    <col customWidth="1" min="3" max="3" width="14.33"/>
  </cols>
  <sheetData>
    <row r="1">
      <c r="A1" s="6" t="s">
        <v>3</v>
      </c>
      <c r="B1" s="9"/>
      <c r="C1" s="9" t="s">
        <v>13</v>
      </c>
      <c r="D1" s="13"/>
      <c r="E1" s="14">
        <v>0.0</v>
      </c>
      <c r="F1" s="14">
        <v>0.0</v>
      </c>
      <c r="G1" s="14">
        <v>0.0</v>
      </c>
      <c r="H1" s="14">
        <v>0.0</v>
      </c>
      <c r="I1" s="14">
        <v>0.0</v>
      </c>
      <c r="J1" s="14">
        <v>0.0</v>
      </c>
      <c r="K1" s="14">
        <v>150.0</v>
      </c>
      <c r="L1" s="14">
        <v>1100.0</v>
      </c>
      <c r="M1" s="14">
        <v>9666.0</v>
      </c>
      <c r="N1" s="14">
        <v>9776.0</v>
      </c>
      <c r="O1" s="14">
        <v>9821.0</v>
      </c>
      <c r="P1" s="14">
        <v>10854.0</v>
      </c>
      <c r="Q1" s="14">
        <v>11606.0</v>
      </c>
      <c r="R1" s="14">
        <v>20415.0</v>
      </c>
      <c r="S1" s="14">
        <v>27297.0</v>
      </c>
      <c r="T1" s="14">
        <v>39496.0</v>
      </c>
      <c r="U1" s="14">
        <v>39614.0</v>
      </c>
      <c r="V1" s="14">
        <v>87668.0</v>
      </c>
      <c r="W1" s="14">
        <v>87839.0</v>
      </c>
      <c r="X1" s="14">
        <v>104910.0</v>
      </c>
      <c r="Y1" s="14">
        <v>105143.0</v>
      </c>
      <c r="Z1" s="14">
        <v>105371.0</v>
      </c>
      <c r="AA1" s="14">
        <v>105610.0</v>
      </c>
      <c r="AB1" s="14">
        <v>105849.0</v>
      </c>
      <c r="AC1" s="14">
        <v>122084.0</v>
      </c>
      <c r="AD1" s="14">
        <v>122340.0</v>
      </c>
      <c r="AE1" s="14">
        <v>125593.0</v>
      </c>
      <c r="AF1" s="14">
        <v>125876.0</v>
      </c>
      <c r="AG1" s="14">
        <v>126164.0</v>
      </c>
      <c r="AH1" s="14">
        <v>126445.0</v>
      </c>
      <c r="AI1" s="14">
        <v>126732.0</v>
      </c>
      <c r="AJ1" s="14">
        <v>127022.0</v>
      </c>
      <c r="AK1" s="14">
        <v>127313.0</v>
      </c>
      <c r="AL1" s="14">
        <v>127602.0</v>
      </c>
      <c r="AM1" s="14">
        <v>127894.0</v>
      </c>
      <c r="AN1" s="14">
        <v>128192.0</v>
      </c>
      <c r="AO1" s="14">
        <v>128483.0</v>
      </c>
      <c r="AP1" s="14">
        <v>128783.0</v>
      </c>
      <c r="AQ1" s="14">
        <v>129083.0</v>
      </c>
      <c r="AR1" s="14">
        <v>129380.0</v>
      </c>
      <c r="AS1" s="14">
        <v>129685.0</v>
      </c>
      <c r="AT1" s="14">
        <v>129988.0</v>
      </c>
      <c r="AU1" s="14">
        <v>130291.0</v>
      </c>
      <c r="AV1" s="14">
        <v>130600.0</v>
      </c>
      <c r="AW1" s="14">
        <v>130905.0</v>
      </c>
      <c r="AX1" s="14">
        <v>131218.0</v>
      </c>
      <c r="AY1" s="14">
        <v>131530.0</v>
      </c>
      <c r="AZ1" s="14">
        <v>131839.0</v>
      </c>
      <c r="BA1" s="14">
        <v>132155.0</v>
      </c>
      <c r="BB1" s="14">
        <v>132474.0</v>
      </c>
      <c r="BC1" s="14">
        <v>132788.0</v>
      </c>
      <c r="BD1" s="14">
        <v>133108.0</v>
      </c>
      <c r="BE1" s="14">
        <v>133430.0</v>
      </c>
      <c r="BF1" s="14">
        <v>133754.0</v>
      </c>
      <c r="BG1" s="14">
        <v>134080.0</v>
      </c>
      <c r="BH1" s="14">
        <v>134406.0</v>
      </c>
      <c r="BI1" s="14">
        <v>134734.0</v>
      </c>
      <c r="BJ1" s="14">
        <v>135066.0</v>
      </c>
      <c r="BK1" s="14">
        <v>135398.0</v>
      </c>
      <c r="BL1" s="14">
        <v>135734.0</v>
      </c>
      <c r="BM1" s="14">
        <v>136066.0</v>
      </c>
      <c r="BN1" s="14">
        <v>136403.0</v>
      </c>
      <c r="BO1" s="14">
        <v>136743.0</v>
      </c>
      <c r="BP1" s="14">
        <v>137087.0</v>
      </c>
      <c r="BQ1" s="14">
        <v>137429.0</v>
      </c>
      <c r="BR1" s="14">
        <v>137775.0</v>
      </c>
      <c r="BS1" s="14">
        <v>138122.0</v>
      </c>
      <c r="BT1" s="14">
        <v>138473.0</v>
      </c>
      <c r="BU1" s="14">
        <v>138823.0</v>
      </c>
      <c r="BV1" s="14">
        <v>139176.0</v>
      </c>
      <c r="BW1" s="14">
        <v>139532.0</v>
      </c>
      <c r="BX1" s="14">
        <v>139889.0</v>
      </c>
    </row>
    <row r="2">
      <c r="A2" s="15"/>
      <c r="B2" s="16" t="s">
        <v>36</v>
      </c>
      <c r="C2" s="17" t="s">
        <v>39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</row>
    <row r="3">
      <c r="A3" s="15"/>
      <c r="B3" s="21">
        <v>900.0</v>
      </c>
      <c r="C3" s="22">
        <v>0.2</v>
      </c>
      <c r="D3" s="23" t="s">
        <v>54</v>
      </c>
      <c r="E3" s="18">
        <f t="shared" ref="E3:BX3" si="1">E1*$C$3</f>
        <v>0</v>
      </c>
      <c r="F3" s="18">
        <f t="shared" si="1"/>
        <v>0</v>
      </c>
      <c r="G3" s="18">
        <f t="shared" si="1"/>
        <v>0</v>
      </c>
      <c r="H3" s="18">
        <f t="shared" si="1"/>
        <v>0</v>
      </c>
      <c r="I3" s="18">
        <f t="shared" si="1"/>
        <v>0</v>
      </c>
      <c r="J3" s="18">
        <f t="shared" si="1"/>
        <v>0</v>
      </c>
      <c r="K3" s="18">
        <f t="shared" si="1"/>
        <v>30</v>
      </c>
      <c r="L3" s="18">
        <f t="shared" si="1"/>
        <v>220</v>
      </c>
      <c r="M3" s="18">
        <f t="shared" si="1"/>
        <v>1933.2</v>
      </c>
      <c r="N3" s="18">
        <f t="shared" si="1"/>
        <v>1955.2</v>
      </c>
      <c r="O3" s="18">
        <f t="shared" si="1"/>
        <v>1964.2</v>
      </c>
      <c r="P3" s="18">
        <f t="shared" si="1"/>
        <v>2170.8</v>
      </c>
      <c r="Q3" s="18">
        <f t="shared" si="1"/>
        <v>2321.2</v>
      </c>
      <c r="R3" s="18">
        <f t="shared" si="1"/>
        <v>4083</v>
      </c>
      <c r="S3" s="18">
        <f t="shared" si="1"/>
        <v>5459.4</v>
      </c>
      <c r="T3" s="18">
        <f t="shared" si="1"/>
        <v>7899.2</v>
      </c>
      <c r="U3" s="18">
        <f t="shared" si="1"/>
        <v>7922.8</v>
      </c>
      <c r="V3" s="18">
        <f t="shared" si="1"/>
        <v>17533.6</v>
      </c>
      <c r="W3" s="18">
        <f t="shared" si="1"/>
        <v>17567.8</v>
      </c>
      <c r="X3" s="18">
        <f t="shared" si="1"/>
        <v>20982</v>
      </c>
      <c r="Y3" s="18">
        <f t="shared" si="1"/>
        <v>21028.6</v>
      </c>
      <c r="Z3" s="18">
        <f t="shared" si="1"/>
        <v>21074.2</v>
      </c>
      <c r="AA3" s="18">
        <f t="shared" si="1"/>
        <v>21122</v>
      </c>
      <c r="AB3" s="18">
        <f t="shared" si="1"/>
        <v>21169.8</v>
      </c>
      <c r="AC3" s="18">
        <f t="shared" si="1"/>
        <v>24416.8</v>
      </c>
      <c r="AD3" s="18">
        <f t="shared" si="1"/>
        <v>24468</v>
      </c>
      <c r="AE3" s="18">
        <f t="shared" si="1"/>
        <v>25118.6</v>
      </c>
      <c r="AF3" s="18">
        <f t="shared" si="1"/>
        <v>25175.2</v>
      </c>
      <c r="AG3" s="18">
        <f t="shared" si="1"/>
        <v>25232.8</v>
      </c>
      <c r="AH3" s="18">
        <f t="shared" si="1"/>
        <v>25289</v>
      </c>
      <c r="AI3" s="18">
        <f t="shared" si="1"/>
        <v>25346.4</v>
      </c>
      <c r="AJ3" s="18">
        <f t="shared" si="1"/>
        <v>25404.4</v>
      </c>
      <c r="AK3" s="18">
        <f t="shared" si="1"/>
        <v>25462.6</v>
      </c>
      <c r="AL3" s="18">
        <f t="shared" si="1"/>
        <v>25520.4</v>
      </c>
      <c r="AM3" s="18">
        <f t="shared" si="1"/>
        <v>25578.8</v>
      </c>
      <c r="AN3" s="18">
        <f t="shared" si="1"/>
        <v>25638.4</v>
      </c>
      <c r="AO3" s="18">
        <f t="shared" si="1"/>
        <v>25696.6</v>
      </c>
      <c r="AP3" s="18">
        <f t="shared" si="1"/>
        <v>25756.6</v>
      </c>
      <c r="AQ3" s="18">
        <f t="shared" si="1"/>
        <v>25816.6</v>
      </c>
      <c r="AR3" s="18">
        <f t="shared" si="1"/>
        <v>25876</v>
      </c>
      <c r="AS3" s="18">
        <f t="shared" si="1"/>
        <v>25937</v>
      </c>
      <c r="AT3" s="18">
        <f t="shared" si="1"/>
        <v>25997.6</v>
      </c>
      <c r="AU3" s="18">
        <f t="shared" si="1"/>
        <v>26058.2</v>
      </c>
      <c r="AV3" s="18">
        <f t="shared" si="1"/>
        <v>26120</v>
      </c>
      <c r="AW3" s="18">
        <f t="shared" si="1"/>
        <v>26181</v>
      </c>
      <c r="AX3" s="18">
        <f t="shared" si="1"/>
        <v>26243.6</v>
      </c>
      <c r="AY3" s="18">
        <f t="shared" si="1"/>
        <v>26306</v>
      </c>
      <c r="AZ3" s="18">
        <f t="shared" si="1"/>
        <v>26367.8</v>
      </c>
      <c r="BA3" s="18">
        <f t="shared" si="1"/>
        <v>26431</v>
      </c>
      <c r="BB3" s="18">
        <f t="shared" si="1"/>
        <v>26494.8</v>
      </c>
      <c r="BC3" s="18">
        <f t="shared" si="1"/>
        <v>26557.6</v>
      </c>
      <c r="BD3" s="18">
        <f t="shared" si="1"/>
        <v>26621.6</v>
      </c>
      <c r="BE3" s="18">
        <f t="shared" si="1"/>
        <v>26686</v>
      </c>
      <c r="BF3" s="18">
        <f t="shared" si="1"/>
        <v>26750.8</v>
      </c>
      <c r="BG3" s="18">
        <f t="shared" si="1"/>
        <v>26816</v>
      </c>
      <c r="BH3" s="18">
        <f t="shared" si="1"/>
        <v>26881.2</v>
      </c>
      <c r="BI3" s="18">
        <f t="shared" si="1"/>
        <v>26946.8</v>
      </c>
      <c r="BJ3" s="18">
        <f t="shared" si="1"/>
        <v>27013.2</v>
      </c>
      <c r="BK3" s="18">
        <f t="shared" si="1"/>
        <v>27079.6</v>
      </c>
      <c r="BL3" s="18">
        <f t="shared" si="1"/>
        <v>27146.8</v>
      </c>
      <c r="BM3" s="18">
        <f t="shared" si="1"/>
        <v>27213.2</v>
      </c>
      <c r="BN3" s="18">
        <f t="shared" si="1"/>
        <v>27280.6</v>
      </c>
      <c r="BO3" s="18">
        <f t="shared" si="1"/>
        <v>27348.6</v>
      </c>
      <c r="BP3" s="18">
        <f t="shared" si="1"/>
        <v>27417.4</v>
      </c>
      <c r="BQ3" s="18">
        <f t="shared" si="1"/>
        <v>27485.8</v>
      </c>
      <c r="BR3" s="18">
        <f t="shared" si="1"/>
        <v>27555</v>
      </c>
      <c r="BS3" s="18">
        <f t="shared" si="1"/>
        <v>27624.4</v>
      </c>
      <c r="BT3" s="18">
        <f t="shared" si="1"/>
        <v>27694.6</v>
      </c>
      <c r="BU3" s="18">
        <f t="shared" si="1"/>
        <v>27764.6</v>
      </c>
      <c r="BV3" s="18">
        <f t="shared" si="1"/>
        <v>27835.2</v>
      </c>
      <c r="BW3" s="18">
        <f t="shared" si="1"/>
        <v>27906.4</v>
      </c>
      <c r="BX3" s="18">
        <f t="shared" si="1"/>
        <v>27977.8</v>
      </c>
    </row>
    <row r="4">
      <c r="A4" s="15"/>
      <c r="B4" s="35"/>
      <c r="C4" s="17" t="s">
        <v>154</v>
      </c>
      <c r="D4" s="37" t="s">
        <v>155</v>
      </c>
      <c r="E4" s="35">
        <f t="shared" ref="E4:BX4" si="2">E3/$C$5</f>
        <v>0</v>
      </c>
      <c r="F4" s="35">
        <f t="shared" si="2"/>
        <v>0</v>
      </c>
      <c r="G4" s="35">
        <f t="shared" si="2"/>
        <v>0</v>
      </c>
      <c r="H4" s="35">
        <f t="shared" si="2"/>
        <v>0</v>
      </c>
      <c r="I4" s="35">
        <f t="shared" si="2"/>
        <v>0</v>
      </c>
      <c r="J4" s="35">
        <f t="shared" si="2"/>
        <v>0</v>
      </c>
      <c r="K4" s="35">
        <f t="shared" si="2"/>
        <v>0.125</v>
      </c>
      <c r="L4" s="35">
        <f t="shared" si="2"/>
        <v>0.9166666667</v>
      </c>
      <c r="M4" s="35">
        <f t="shared" si="2"/>
        <v>8.055</v>
      </c>
      <c r="N4" s="35">
        <f t="shared" si="2"/>
        <v>8.146666667</v>
      </c>
      <c r="O4" s="35">
        <f t="shared" si="2"/>
        <v>8.184166667</v>
      </c>
      <c r="P4" s="35">
        <f t="shared" si="2"/>
        <v>9.045</v>
      </c>
      <c r="Q4" s="35">
        <f t="shared" si="2"/>
        <v>9.671666667</v>
      </c>
      <c r="R4" s="35">
        <f t="shared" si="2"/>
        <v>17.0125</v>
      </c>
      <c r="S4" s="35">
        <f t="shared" si="2"/>
        <v>22.7475</v>
      </c>
      <c r="T4" s="35">
        <f t="shared" si="2"/>
        <v>32.91333333</v>
      </c>
      <c r="U4" s="35">
        <f t="shared" si="2"/>
        <v>33.01166667</v>
      </c>
      <c r="V4" s="35">
        <f t="shared" si="2"/>
        <v>73.05666667</v>
      </c>
      <c r="W4" s="35">
        <f t="shared" si="2"/>
        <v>73.19916667</v>
      </c>
      <c r="X4" s="35">
        <f t="shared" si="2"/>
        <v>87.425</v>
      </c>
      <c r="Y4" s="35">
        <f t="shared" si="2"/>
        <v>87.61916667</v>
      </c>
      <c r="Z4" s="35">
        <f t="shared" si="2"/>
        <v>87.80916667</v>
      </c>
      <c r="AA4" s="35">
        <f t="shared" si="2"/>
        <v>88.00833333</v>
      </c>
      <c r="AB4" s="35">
        <f t="shared" si="2"/>
        <v>88.2075</v>
      </c>
      <c r="AC4" s="35">
        <f t="shared" si="2"/>
        <v>101.7366667</v>
      </c>
      <c r="AD4" s="35">
        <f t="shared" si="2"/>
        <v>101.95</v>
      </c>
      <c r="AE4" s="35">
        <f t="shared" si="2"/>
        <v>104.6608333</v>
      </c>
      <c r="AF4" s="35">
        <f t="shared" si="2"/>
        <v>104.8966667</v>
      </c>
      <c r="AG4" s="35">
        <f t="shared" si="2"/>
        <v>105.1366667</v>
      </c>
      <c r="AH4" s="35">
        <f t="shared" si="2"/>
        <v>105.3708333</v>
      </c>
      <c r="AI4" s="35">
        <f t="shared" si="2"/>
        <v>105.61</v>
      </c>
      <c r="AJ4" s="35">
        <f t="shared" si="2"/>
        <v>105.8516667</v>
      </c>
      <c r="AK4" s="35">
        <f t="shared" si="2"/>
        <v>106.0941667</v>
      </c>
      <c r="AL4" s="35">
        <f t="shared" si="2"/>
        <v>106.335</v>
      </c>
      <c r="AM4" s="35">
        <f t="shared" si="2"/>
        <v>106.5783333</v>
      </c>
      <c r="AN4" s="35">
        <f t="shared" si="2"/>
        <v>106.8266667</v>
      </c>
      <c r="AO4" s="35">
        <f t="shared" si="2"/>
        <v>107.0691667</v>
      </c>
      <c r="AP4" s="35">
        <f t="shared" si="2"/>
        <v>107.3191667</v>
      </c>
      <c r="AQ4" s="35">
        <f t="shared" si="2"/>
        <v>107.5691667</v>
      </c>
      <c r="AR4" s="35">
        <f t="shared" si="2"/>
        <v>107.8166667</v>
      </c>
      <c r="AS4" s="35">
        <f t="shared" si="2"/>
        <v>108.0708333</v>
      </c>
      <c r="AT4" s="35">
        <f t="shared" si="2"/>
        <v>108.3233333</v>
      </c>
      <c r="AU4" s="35">
        <f t="shared" si="2"/>
        <v>108.5758333</v>
      </c>
      <c r="AV4" s="35">
        <f t="shared" si="2"/>
        <v>108.8333333</v>
      </c>
      <c r="AW4" s="35">
        <f t="shared" si="2"/>
        <v>109.0875</v>
      </c>
      <c r="AX4" s="35">
        <f t="shared" si="2"/>
        <v>109.3483333</v>
      </c>
      <c r="AY4" s="35">
        <f t="shared" si="2"/>
        <v>109.6083333</v>
      </c>
      <c r="AZ4" s="35">
        <f t="shared" si="2"/>
        <v>109.8658333</v>
      </c>
      <c r="BA4" s="35">
        <f t="shared" si="2"/>
        <v>110.1291667</v>
      </c>
      <c r="BB4" s="35">
        <f t="shared" si="2"/>
        <v>110.395</v>
      </c>
      <c r="BC4" s="35">
        <f t="shared" si="2"/>
        <v>110.6566667</v>
      </c>
      <c r="BD4" s="35">
        <f t="shared" si="2"/>
        <v>110.9233333</v>
      </c>
      <c r="BE4" s="35">
        <f t="shared" si="2"/>
        <v>111.1916667</v>
      </c>
      <c r="BF4" s="35">
        <f t="shared" si="2"/>
        <v>111.4616667</v>
      </c>
      <c r="BG4" s="35">
        <f t="shared" si="2"/>
        <v>111.7333333</v>
      </c>
      <c r="BH4" s="35">
        <f t="shared" si="2"/>
        <v>112.005</v>
      </c>
      <c r="BI4" s="35">
        <f t="shared" si="2"/>
        <v>112.2783333</v>
      </c>
      <c r="BJ4" s="35">
        <f t="shared" si="2"/>
        <v>112.555</v>
      </c>
      <c r="BK4" s="35">
        <f t="shared" si="2"/>
        <v>112.8316667</v>
      </c>
      <c r="BL4" s="35">
        <f t="shared" si="2"/>
        <v>113.1116667</v>
      </c>
      <c r="BM4" s="35">
        <f t="shared" si="2"/>
        <v>113.3883333</v>
      </c>
      <c r="BN4" s="35">
        <f t="shared" si="2"/>
        <v>113.6691667</v>
      </c>
      <c r="BO4" s="35">
        <f t="shared" si="2"/>
        <v>113.9525</v>
      </c>
      <c r="BP4" s="35">
        <f t="shared" si="2"/>
        <v>114.2391667</v>
      </c>
      <c r="BQ4" s="35">
        <f t="shared" si="2"/>
        <v>114.5241667</v>
      </c>
      <c r="BR4" s="35">
        <f t="shared" si="2"/>
        <v>114.8125</v>
      </c>
      <c r="BS4" s="35">
        <f t="shared" si="2"/>
        <v>115.1016667</v>
      </c>
      <c r="BT4" s="35">
        <f t="shared" si="2"/>
        <v>115.3941667</v>
      </c>
      <c r="BU4" s="35">
        <f t="shared" si="2"/>
        <v>115.6858333</v>
      </c>
      <c r="BV4" s="35">
        <f t="shared" si="2"/>
        <v>115.98</v>
      </c>
      <c r="BW4" s="35">
        <f t="shared" si="2"/>
        <v>116.2766667</v>
      </c>
      <c r="BX4" s="35">
        <f t="shared" si="2"/>
        <v>116.5741667</v>
      </c>
    </row>
    <row r="5">
      <c r="A5" s="15"/>
      <c r="B5" s="18"/>
      <c r="C5" s="44">
        <v>240.0</v>
      </c>
      <c r="D5" s="45" t="s">
        <v>157</v>
      </c>
      <c r="E5" s="46">
        <f t="shared" ref="E5:BX5" si="3">E4*$B$3</f>
        <v>0</v>
      </c>
      <c r="F5" s="46">
        <f t="shared" si="3"/>
        <v>0</v>
      </c>
      <c r="G5" s="46">
        <f t="shared" si="3"/>
        <v>0</v>
      </c>
      <c r="H5" s="46">
        <f t="shared" si="3"/>
        <v>0</v>
      </c>
      <c r="I5" s="46">
        <f t="shared" si="3"/>
        <v>0</v>
      </c>
      <c r="J5" s="46">
        <f t="shared" si="3"/>
        <v>0</v>
      </c>
      <c r="K5" s="46">
        <f t="shared" si="3"/>
        <v>112.5</v>
      </c>
      <c r="L5" s="46">
        <f t="shared" si="3"/>
        <v>825</v>
      </c>
      <c r="M5" s="46">
        <f t="shared" si="3"/>
        <v>7249.5</v>
      </c>
      <c r="N5" s="46">
        <f t="shared" si="3"/>
        <v>7332</v>
      </c>
      <c r="O5" s="46">
        <f t="shared" si="3"/>
        <v>7365.75</v>
      </c>
      <c r="P5" s="46">
        <f t="shared" si="3"/>
        <v>8140.5</v>
      </c>
      <c r="Q5" s="46">
        <f t="shared" si="3"/>
        <v>8704.5</v>
      </c>
      <c r="R5" s="46">
        <f t="shared" si="3"/>
        <v>15311.25</v>
      </c>
      <c r="S5" s="46">
        <f t="shared" si="3"/>
        <v>20472.75</v>
      </c>
      <c r="T5" s="46">
        <f t="shared" si="3"/>
        <v>29622</v>
      </c>
      <c r="U5" s="46">
        <f t="shared" si="3"/>
        <v>29710.5</v>
      </c>
      <c r="V5" s="46">
        <f t="shared" si="3"/>
        <v>65751</v>
      </c>
      <c r="W5" s="46">
        <f t="shared" si="3"/>
        <v>65879.25</v>
      </c>
      <c r="X5" s="46">
        <f t="shared" si="3"/>
        <v>78682.5</v>
      </c>
      <c r="Y5" s="46">
        <f t="shared" si="3"/>
        <v>78857.25</v>
      </c>
      <c r="Z5" s="46">
        <f t="shared" si="3"/>
        <v>79028.25</v>
      </c>
      <c r="AA5" s="46">
        <f t="shared" si="3"/>
        <v>79207.5</v>
      </c>
      <c r="AB5" s="46">
        <f t="shared" si="3"/>
        <v>79386.75</v>
      </c>
      <c r="AC5" s="46">
        <f t="shared" si="3"/>
        <v>91563</v>
      </c>
      <c r="AD5" s="46">
        <f t="shared" si="3"/>
        <v>91755</v>
      </c>
      <c r="AE5" s="46">
        <f t="shared" si="3"/>
        <v>94194.75</v>
      </c>
      <c r="AF5" s="46">
        <f t="shared" si="3"/>
        <v>94407</v>
      </c>
      <c r="AG5" s="46">
        <f t="shared" si="3"/>
        <v>94623</v>
      </c>
      <c r="AH5" s="46">
        <f t="shared" si="3"/>
        <v>94833.75</v>
      </c>
      <c r="AI5" s="46">
        <f t="shared" si="3"/>
        <v>95049</v>
      </c>
      <c r="AJ5" s="46">
        <f t="shared" si="3"/>
        <v>95266.5</v>
      </c>
      <c r="AK5" s="46">
        <f t="shared" si="3"/>
        <v>95484.75</v>
      </c>
      <c r="AL5" s="46">
        <f t="shared" si="3"/>
        <v>95701.5</v>
      </c>
      <c r="AM5" s="46">
        <f t="shared" si="3"/>
        <v>95920.5</v>
      </c>
      <c r="AN5" s="46">
        <f t="shared" si="3"/>
        <v>96144</v>
      </c>
      <c r="AO5" s="46">
        <f t="shared" si="3"/>
        <v>96362.25</v>
      </c>
      <c r="AP5" s="46">
        <f t="shared" si="3"/>
        <v>96587.25</v>
      </c>
      <c r="AQ5" s="46">
        <f t="shared" si="3"/>
        <v>96812.25</v>
      </c>
      <c r="AR5" s="46">
        <f t="shared" si="3"/>
        <v>97035</v>
      </c>
      <c r="AS5" s="46">
        <f t="shared" si="3"/>
        <v>97263.75</v>
      </c>
      <c r="AT5" s="46">
        <f t="shared" si="3"/>
        <v>97491</v>
      </c>
      <c r="AU5" s="46">
        <f t="shared" si="3"/>
        <v>97718.25</v>
      </c>
      <c r="AV5" s="46">
        <f t="shared" si="3"/>
        <v>97950</v>
      </c>
      <c r="AW5" s="46">
        <f t="shared" si="3"/>
        <v>98178.75</v>
      </c>
      <c r="AX5" s="46">
        <f t="shared" si="3"/>
        <v>98413.5</v>
      </c>
      <c r="AY5" s="46">
        <f t="shared" si="3"/>
        <v>98647.5</v>
      </c>
      <c r="AZ5" s="46">
        <f t="shared" si="3"/>
        <v>98879.25</v>
      </c>
      <c r="BA5" s="46">
        <f t="shared" si="3"/>
        <v>99116.25</v>
      </c>
      <c r="BB5" s="46">
        <f t="shared" si="3"/>
        <v>99355.5</v>
      </c>
      <c r="BC5" s="46">
        <f t="shared" si="3"/>
        <v>99591</v>
      </c>
      <c r="BD5" s="46">
        <f t="shared" si="3"/>
        <v>99831</v>
      </c>
      <c r="BE5" s="46">
        <f t="shared" si="3"/>
        <v>100072.5</v>
      </c>
      <c r="BF5" s="46">
        <f t="shared" si="3"/>
        <v>100315.5</v>
      </c>
      <c r="BG5" s="46">
        <f t="shared" si="3"/>
        <v>100560</v>
      </c>
      <c r="BH5" s="46">
        <f t="shared" si="3"/>
        <v>100804.5</v>
      </c>
      <c r="BI5" s="46">
        <f t="shared" si="3"/>
        <v>101050.5</v>
      </c>
      <c r="BJ5" s="46">
        <f t="shared" si="3"/>
        <v>101299.5</v>
      </c>
      <c r="BK5" s="46">
        <f t="shared" si="3"/>
        <v>101548.5</v>
      </c>
      <c r="BL5" s="46">
        <f t="shared" si="3"/>
        <v>101800.5</v>
      </c>
      <c r="BM5" s="46">
        <f t="shared" si="3"/>
        <v>102049.5</v>
      </c>
      <c r="BN5" s="46">
        <f t="shared" si="3"/>
        <v>102302.25</v>
      </c>
      <c r="BO5" s="46">
        <f t="shared" si="3"/>
        <v>102557.25</v>
      </c>
      <c r="BP5" s="46">
        <f t="shared" si="3"/>
        <v>102815.25</v>
      </c>
      <c r="BQ5" s="46">
        <f t="shared" si="3"/>
        <v>103071.75</v>
      </c>
      <c r="BR5" s="46">
        <f t="shared" si="3"/>
        <v>103331.25</v>
      </c>
      <c r="BS5" s="46">
        <f t="shared" si="3"/>
        <v>103591.5</v>
      </c>
      <c r="BT5" s="46">
        <f t="shared" si="3"/>
        <v>103854.75</v>
      </c>
      <c r="BU5" s="46">
        <f t="shared" si="3"/>
        <v>104117.25</v>
      </c>
      <c r="BV5" s="46">
        <f t="shared" si="3"/>
        <v>104382</v>
      </c>
      <c r="BW5" s="46">
        <f t="shared" si="3"/>
        <v>104649</v>
      </c>
      <c r="BX5" s="46">
        <f t="shared" si="3"/>
        <v>104916.75</v>
      </c>
    </row>
    <row r="6">
      <c r="A6" s="47"/>
      <c r="B6" s="48"/>
      <c r="C6" s="48"/>
      <c r="D6" s="49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</row>
    <row r="8" ht="26.25" customHeight="1">
      <c r="A8" s="52" t="s">
        <v>158</v>
      </c>
      <c r="B8" s="53"/>
      <c r="C8" s="54" t="s">
        <v>159</v>
      </c>
      <c r="D8" s="55">
        <v>100.0</v>
      </c>
      <c r="E8" s="56">
        <f t="shared" ref="E8:BX8" si="4">$D$8*E4</f>
        <v>0</v>
      </c>
      <c r="F8" s="56">
        <f t="shared" si="4"/>
        <v>0</v>
      </c>
      <c r="G8" s="56">
        <f t="shared" si="4"/>
        <v>0</v>
      </c>
      <c r="H8" s="56">
        <f t="shared" si="4"/>
        <v>0</v>
      </c>
      <c r="I8" s="56">
        <f t="shared" si="4"/>
        <v>0</v>
      </c>
      <c r="J8" s="56">
        <f t="shared" si="4"/>
        <v>0</v>
      </c>
      <c r="K8" s="56">
        <f t="shared" si="4"/>
        <v>12.5</v>
      </c>
      <c r="L8" s="56">
        <f t="shared" si="4"/>
        <v>91.66666667</v>
      </c>
      <c r="M8" s="56">
        <f t="shared" si="4"/>
        <v>805.5</v>
      </c>
      <c r="N8" s="56">
        <f t="shared" si="4"/>
        <v>814.6666667</v>
      </c>
      <c r="O8" s="56">
        <f t="shared" si="4"/>
        <v>818.4166667</v>
      </c>
      <c r="P8" s="56">
        <f t="shared" si="4"/>
        <v>904.5</v>
      </c>
      <c r="Q8" s="56">
        <f t="shared" si="4"/>
        <v>967.1666667</v>
      </c>
      <c r="R8" s="56">
        <f t="shared" si="4"/>
        <v>1701.25</v>
      </c>
      <c r="S8" s="56">
        <f t="shared" si="4"/>
        <v>2274.75</v>
      </c>
      <c r="T8" s="56">
        <f t="shared" si="4"/>
        <v>3291.333333</v>
      </c>
      <c r="U8" s="56">
        <f t="shared" si="4"/>
        <v>3301.166667</v>
      </c>
      <c r="V8" s="56">
        <f t="shared" si="4"/>
        <v>7305.666667</v>
      </c>
      <c r="W8" s="56">
        <f t="shared" si="4"/>
        <v>7319.916667</v>
      </c>
      <c r="X8" s="56">
        <f t="shared" si="4"/>
        <v>8742.5</v>
      </c>
      <c r="Y8" s="56">
        <f t="shared" si="4"/>
        <v>8761.916667</v>
      </c>
      <c r="Z8" s="56">
        <f t="shared" si="4"/>
        <v>8780.916667</v>
      </c>
      <c r="AA8" s="56">
        <f t="shared" si="4"/>
        <v>8800.833333</v>
      </c>
      <c r="AB8" s="56">
        <f t="shared" si="4"/>
        <v>8820.75</v>
      </c>
      <c r="AC8" s="56">
        <f t="shared" si="4"/>
        <v>10173.66667</v>
      </c>
      <c r="AD8" s="56">
        <f t="shared" si="4"/>
        <v>10195</v>
      </c>
      <c r="AE8" s="56">
        <f t="shared" si="4"/>
        <v>10466.08333</v>
      </c>
      <c r="AF8" s="56">
        <f t="shared" si="4"/>
        <v>10489.66667</v>
      </c>
      <c r="AG8" s="56">
        <f t="shared" si="4"/>
        <v>10513.66667</v>
      </c>
      <c r="AH8" s="56">
        <f t="shared" si="4"/>
        <v>10537.08333</v>
      </c>
      <c r="AI8" s="56">
        <f t="shared" si="4"/>
        <v>10561</v>
      </c>
      <c r="AJ8" s="56">
        <f t="shared" si="4"/>
        <v>10585.16667</v>
      </c>
      <c r="AK8" s="56">
        <f t="shared" si="4"/>
        <v>10609.41667</v>
      </c>
      <c r="AL8" s="56">
        <f t="shared" si="4"/>
        <v>10633.5</v>
      </c>
      <c r="AM8" s="56">
        <f t="shared" si="4"/>
        <v>10657.83333</v>
      </c>
      <c r="AN8" s="56">
        <f t="shared" si="4"/>
        <v>10682.66667</v>
      </c>
      <c r="AO8" s="56">
        <f t="shared" si="4"/>
        <v>10706.91667</v>
      </c>
      <c r="AP8" s="56">
        <f t="shared" si="4"/>
        <v>10731.91667</v>
      </c>
      <c r="AQ8" s="56">
        <f t="shared" si="4"/>
        <v>10756.91667</v>
      </c>
      <c r="AR8" s="56">
        <f t="shared" si="4"/>
        <v>10781.66667</v>
      </c>
      <c r="AS8" s="56">
        <f t="shared" si="4"/>
        <v>10807.08333</v>
      </c>
      <c r="AT8" s="56">
        <f t="shared" si="4"/>
        <v>10832.33333</v>
      </c>
      <c r="AU8" s="56">
        <f t="shared" si="4"/>
        <v>10857.58333</v>
      </c>
      <c r="AV8" s="56">
        <f t="shared" si="4"/>
        <v>10883.33333</v>
      </c>
      <c r="AW8" s="56">
        <f t="shared" si="4"/>
        <v>10908.75</v>
      </c>
      <c r="AX8" s="56">
        <f t="shared" si="4"/>
        <v>10934.83333</v>
      </c>
      <c r="AY8" s="56">
        <f t="shared" si="4"/>
        <v>10960.83333</v>
      </c>
      <c r="AZ8" s="56">
        <f t="shared" si="4"/>
        <v>10986.58333</v>
      </c>
      <c r="BA8" s="56">
        <f t="shared" si="4"/>
        <v>11012.91667</v>
      </c>
      <c r="BB8" s="56">
        <f t="shared" si="4"/>
        <v>11039.5</v>
      </c>
      <c r="BC8" s="56">
        <f t="shared" si="4"/>
        <v>11065.66667</v>
      </c>
      <c r="BD8" s="56">
        <f t="shared" si="4"/>
        <v>11092.33333</v>
      </c>
      <c r="BE8" s="56">
        <f t="shared" si="4"/>
        <v>11119.16667</v>
      </c>
      <c r="BF8" s="56">
        <f t="shared" si="4"/>
        <v>11146.16667</v>
      </c>
      <c r="BG8" s="56">
        <f t="shared" si="4"/>
        <v>11173.33333</v>
      </c>
      <c r="BH8" s="56">
        <f t="shared" si="4"/>
        <v>11200.5</v>
      </c>
      <c r="BI8" s="56">
        <f t="shared" si="4"/>
        <v>11227.83333</v>
      </c>
      <c r="BJ8" s="56">
        <f t="shared" si="4"/>
        <v>11255.5</v>
      </c>
      <c r="BK8" s="56">
        <f t="shared" si="4"/>
        <v>11283.16667</v>
      </c>
      <c r="BL8" s="56">
        <f t="shared" si="4"/>
        <v>11311.16667</v>
      </c>
      <c r="BM8" s="56">
        <f t="shared" si="4"/>
        <v>11338.83333</v>
      </c>
      <c r="BN8" s="56">
        <f t="shared" si="4"/>
        <v>11366.91667</v>
      </c>
      <c r="BO8" s="56">
        <f t="shared" si="4"/>
        <v>11395.25</v>
      </c>
      <c r="BP8" s="56">
        <f t="shared" si="4"/>
        <v>11423.91667</v>
      </c>
      <c r="BQ8" s="56">
        <f t="shared" si="4"/>
        <v>11452.41667</v>
      </c>
      <c r="BR8" s="56">
        <f t="shared" si="4"/>
        <v>11481.25</v>
      </c>
      <c r="BS8" s="56">
        <f t="shared" si="4"/>
        <v>11510.16667</v>
      </c>
      <c r="BT8" s="56">
        <f t="shared" si="4"/>
        <v>11539.41667</v>
      </c>
      <c r="BU8" s="56">
        <f t="shared" si="4"/>
        <v>11568.58333</v>
      </c>
      <c r="BV8" s="56">
        <f t="shared" si="4"/>
        <v>11598</v>
      </c>
      <c r="BW8" s="56">
        <f t="shared" si="4"/>
        <v>11627.66667</v>
      </c>
      <c r="BX8" s="56">
        <f t="shared" si="4"/>
        <v>11657.41667</v>
      </c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</row>
    <row r="11">
      <c r="A11" s="57" t="s">
        <v>161</v>
      </c>
      <c r="B11" s="58" t="s">
        <v>162</v>
      </c>
      <c r="C11" s="59" t="s">
        <v>163</v>
      </c>
      <c r="D11" s="60">
        <v>0.0945</v>
      </c>
      <c r="E11" s="61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</row>
    <row r="12">
      <c r="A12" s="15"/>
      <c r="B12" s="62" t="s">
        <v>164</v>
      </c>
      <c r="C12" s="63" t="s">
        <v>165</v>
      </c>
      <c r="D12" s="64">
        <v>0.08</v>
      </c>
      <c r="E12" s="6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</row>
    <row r="13">
      <c r="A13" s="15"/>
      <c r="B13" s="62" t="s">
        <v>167</v>
      </c>
      <c r="C13" s="63" t="s">
        <v>168</v>
      </c>
      <c r="D13" s="64">
        <v>0.028</v>
      </c>
      <c r="E13" s="65" t="s">
        <v>169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</row>
    <row r="14">
      <c r="A14" s="15"/>
      <c r="B14" s="62" t="s">
        <v>170</v>
      </c>
      <c r="C14" s="66" t="s">
        <v>171</v>
      </c>
      <c r="D14" s="64">
        <v>0.0025</v>
      </c>
      <c r="E14" s="65">
        <v>1.5</v>
      </c>
      <c r="F14" s="68" t="s">
        <v>172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</row>
    <row r="15">
      <c r="A15" s="47"/>
      <c r="B15" s="69" t="s">
        <v>173</v>
      </c>
      <c r="C15" s="70"/>
      <c r="D15" s="71">
        <f>SUM(D11:D14)</f>
        <v>0.205</v>
      </c>
      <c r="E15" s="61">
        <f t="shared" ref="E15:BX15" si="5">$E$14*E1</f>
        <v>0</v>
      </c>
      <c r="F15" s="61">
        <f t="shared" si="5"/>
        <v>0</v>
      </c>
      <c r="G15" s="61">
        <f t="shared" si="5"/>
        <v>0</v>
      </c>
      <c r="H15" s="61">
        <f t="shared" si="5"/>
        <v>0</v>
      </c>
      <c r="I15" s="61">
        <f t="shared" si="5"/>
        <v>0</v>
      </c>
      <c r="J15" s="61">
        <f t="shared" si="5"/>
        <v>0</v>
      </c>
      <c r="K15" s="61">
        <f t="shared" si="5"/>
        <v>225</v>
      </c>
      <c r="L15" s="61">
        <f t="shared" si="5"/>
        <v>1650</v>
      </c>
      <c r="M15" s="61">
        <f t="shared" si="5"/>
        <v>14499</v>
      </c>
      <c r="N15" s="61">
        <f t="shared" si="5"/>
        <v>14664</v>
      </c>
      <c r="O15" s="61">
        <f t="shared" si="5"/>
        <v>14731.5</v>
      </c>
      <c r="P15" s="61">
        <f t="shared" si="5"/>
        <v>16281</v>
      </c>
      <c r="Q15" s="61">
        <f t="shared" si="5"/>
        <v>17409</v>
      </c>
      <c r="R15" s="61">
        <f t="shared" si="5"/>
        <v>30622.5</v>
      </c>
      <c r="S15" s="61">
        <f t="shared" si="5"/>
        <v>40945.5</v>
      </c>
      <c r="T15" s="61">
        <f t="shared" si="5"/>
        <v>59244</v>
      </c>
      <c r="U15" s="61">
        <f t="shared" si="5"/>
        <v>59421</v>
      </c>
      <c r="V15" s="61">
        <f t="shared" si="5"/>
        <v>131502</v>
      </c>
      <c r="W15" s="61">
        <f t="shared" si="5"/>
        <v>131758.5</v>
      </c>
      <c r="X15" s="61">
        <f t="shared" si="5"/>
        <v>157365</v>
      </c>
      <c r="Y15" s="61">
        <f t="shared" si="5"/>
        <v>157714.5</v>
      </c>
      <c r="Z15" s="61">
        <f t="shared" si="5"/>
        <v>158056.5</v>
      </c>
      <c r="AA15" s="61">
        <f t="shared" si="5"/>
        <v>158415</v>
      </c>
      <c r="AB15" s="61">
        <f t="shared" si="5"/>
        <v>158773.5</v>
      </c>
      <c r="AC15" s="61">
        <f t="shared" si="5"/>
        <v>183126</v>
      </c>
      <c r="AD15" s="61">
        <f t="shared" si="5"/>
        <v>183510</v>
      </c>
      <c r="AE15" s="61">
        <f t="shared" si="5"/>
        <v>188389.5</v>
      </c>
      <c r="AF15" s="61">
        <f t="shared" si="5"/>
        <v>188814</v>
      </c>
      <c r="AG15" s="61">
        <f t="shared" si="5"/>
        <v>189246</v>
      </c>
      <c r="AH15" s="61">
        <f t="shared" si="5"/>
        <v>189667.5</v>
      </c>
      <c r="AI15" s="61">
        <f t="shared" si="5"/>
        <v>190098</v>
      </c>
      <c r="AJ15" s="61">
        <f t="shared" si="5"/>
        <v>190533</v>
      </c>
      <c r="AK15" s="61">
        <f t="shared" si="5"/>
        <v>190969.5</v>
      </c>
      <c r="AL15" s="61">
        <f t="shared" si="5"/>
        <v>191403</v>
      </c>
      <c r="AM15" s="61">
        <f t="shared" si="5"/>
        <v>191841</v>
      </c>
      <c r="AN15" s="61">
        <f t="shared" si="5"/>
        <v>192288</v>
      </c>
      <c r="AO15" s="61">
        <f t="shared" si="5"/>
        <v>192724.5</v>
      </c>
      <c r="AP15" s="61">
        <f t="shared" si="5"/>
        <v>193174.5</v>
      </c>
      <c r="AQ15" s="61">
        <f t="shared" si="5"/>
        <v>193624.5</v>
      </c>
      <c r="AR15" s="61">
        <f t="shared" si="5"/>
        <v>194070</v>
      </c>
      <c r="AS15" s="61">
        <f t="shared" si="5"/>
        <v>194527.5</v>
      </c>
      <c r="AT15" s="61">
        <f t="shared" si="5"/>
        <v>194982</v>
      </c>
      <c r="AU15" s="61">
        <f t="shared" si="5"/>
        <v>195436.5</v>
      </c>
      <c r="AV15" s="61">
        <f t="shared" si="5"/>
        <v>195900</v>
      </c>
      <c r="AW15" s="61">
        <f t="shared" si="5"/>
        <v>196357.5</v>
      </c>
      <c r="AX15" s="61">
        <f t="shared" si="5"/>
        <v>196827</v>
      </c>
      <c r="AY15" s="61">
        <f t="shared" si="5"/>
        <v>197295</v>
      </c>
      <c r="AZ15" s="61">
        <f t="shared" si="5"/>
        <v>197758.5</v>
      </c>
      <c r="BA15" s="61">
        <f t="shared" si="5"/>
        <v>198232.5</v>
      </c>
      <c r="BB15" s="61">
        <f t="shared" si="5"/>
        <v>198711</v>
      </c>
      <c r="BC15" s="61">
        <f t="shared" si="5"/>
        <v>199182</v>
      </c>
      <c r="BD15" s="61">
        <f t="shared" si="5"/>
        <v>199662</v>
      </c>
      <c r="BE15" s="61">
        <f t="shared" si="5"/>
        <v>200145</v>
      </c>
      <c r="BF15" s="61">
        <f t="shared" si="5"/>
        <v>200631</v>
      </c>
      <c r="BG15" s="61">
        <f t="shared" si="5"/>
        <v>201120</v>
      </c>
      <c r="BH15" s="61">
        <f t="shared" si="5"/>
        <v>201609</v>
      </c>
      <c r="BI15" s="61">
        <f t="shared" si="5"/>
        <v>202101</v>
      </c>
      <c r="BJ15" s="61">
        <f t="shared" si="5"/>
        <v>202599</v>
      </c>
      <c r="BK15" s="61">
        <f t="shared" si="5"/>
        <v>203097</v>
      </c>
      <c r="BL15" s="61">
        <f t="shared" si="5"/>
        <v>203601</v>
      </c>
      <c r="BM15" s="61">
        <f t="shared" si="5"/>
        <v>204099</v>
      </c>
      <c r="BN15" s="61">
        <f t="shared" si="5"/>
        <v>204604.5</v>
      </c>
      <c r="BO15" s="61">
        <f t="shared" si="5"/>
        <v>205114.5</v>
      </c>
      <c r="BP15" s="61">
        <f t="shared" si="5"/>
        <v>205630.5</v>
      </c>
      <c r="BQ15" s="61">
        <f t="shared" si="5"/>
        <v>206143.5</v>
      </c>
      <c r="BR15" s="61">
        <f t="shared" si="5"/>
        <v>206662.5</v>
      </c>
      <c r="BS15" s="61">
        <f t="shared" si="5"/>
        <v>207183</v>
      </c>
      <c r="BT15" s="61">
        <f t="shared" si="5"/>
        <v>207709.5</v>
      </c>
      <c r="BU15" s="61">
        <f t="shared" si="5"/>
        <v>208234.5</v>
      </c>
      <c r="BV15" s="61">
        <f t="shared" si="5"/>
        <v>208764</v>
      </c>
      <c r="BW15" s="61">
        <f t="shared" si="5"/>
        <v>209298</v>
      </c>
      <c r="BX15" s="61">
        <f t="shared" si="5"/>
        <v>209833.5</v>
      </c>
    </row>
    <row r="16">
      <c r="A16" s="72"/>
      <c r="B16" s="73" t="s">
        <v>174</v>
      </c>
      <c r="C16" s="74">
        <v>7.0</v>
      </c>
      <c r="D16" s="75">
        <f>D15*C16</f>
        <v>1.435</v>
      </c>
      <c r="E16" s="76">
        <f t="shared" ref="E16:BX16" si="6">$D$16*E15</f>
        <v>0</v>
      </c>
      <c r="F16" s="76">
        <f t="shared" si="6"/>
        <v>0</v>
      </c>
      <c r="G16" s="76">
        <f t="shared" si="6"/>
        <v>0</v>
      </c>
      <c r="H16" s="76">
        <f t="shared" si="6"/>
        <v>0</v>
      </c>
      <c r="I16" s="76">
        <f t="shared" si="6"/>
        <v>0</v>
      </c>
      <c r="J16" s="76">
        <f t="shared" si="6"/>
        <v>0</v>
      </c>
      <c r="K16" s="76">
        <f t="shared" si="6"/>
        <v>322.875</v>
      </c>
      <c r="L16" s="76">
        <f t="shared" si="6"/>
        <v>2367.75</v>
      </c>
      <c r="M16" s="76">
        <f t="shared" si="6"/>
        <v>20806.065</v>
      </c>
      <c r="N16" s="76">
        <f t="shared" si="6"/>
        <v>21042.84</v>
      </c>
      <c r="O16" s="76">
        <f t="shared" si="6"/>
        <v>21139.7025</v>
      </c>
      <c r="P16" s="76">
        <f t="shared" si="6"/>
        <v>23363.235</v>
      </c>
      <c r="Q16" s="76">
        <f t="shared" si="6"/>
        <v>24981.915</v>
      </c>
      <c r="R16" s="76">
        <f t="shared" si="6"/>
        <v>43943.2875</v>
      </c>
      <c r="S16" s="76">
        <f t="shared" si="6"/>
        <v>58756.7925</v>
      </c>
      <c r="T16" s="76">
        <f t="shared" si="6"/>
        <v>85015.14</v>
      </c>
      <c r="U16" s="76">
        <f t="shared" si="6"/>
        <v>85269.135</v>
      </c>
      <c r="V16" s="76">
        <f t="shared" si="6"/>
        <v>188705.37</v>
      </c>
      <c r="W16" s="76">
        <f t="shared" si="6"/>
        <v>189073.4475</v>
      </c>
      <c r="X16" s="76">
        <f t="shared" si="6"/>
        <v>225818.775</v>
      </c>
      <c r="Y16" s="76">
        <f t="shared" si="6"/>
        <v>226320.3075</v>
      </c>
      <c r="Z16" s="76">
        <f t="shared" si="6"/>
        <v>226811.0775</v>
      </c>
      <c r="AA16" s="76">
        <f t="shared" si="6"/>
        <v>227325.525</v>
      </c>
      <c r="AB16" s="76">
        <f t="shared" si="6"/>
        <v>227839.9725</v>
      </c>
      <c r="AC16" s="76">
        <f t="shared" si="6"/>
        <v>262785.81</v>
      </c>
      <c r="AD16" s="76">
        <f t="shared" si="6"/>
        <v>263336.85</v>
      </c>
      <c r="AE16" s="76">
        <f t="shared" si="6"/>
        <v>270338.9325</v>
      </c>
      <c r="AF16" s="76">
        <f t="shared" si="6"/>
        <v>270948.09</v>
      </c>
      <c r="AG16" s="76">
        <f t="shared" si="6"/>
        <v>271568.01</v>
      </c>
      <c r="AH16" s="76">
        <f t="shared" si="6"/>
        <v>272172.8625</v>
      </c>
      <c r="AI16" s="76">
        <f t="shared" si="6"/>
        <v>272790.63</v>
      </c>
      <c r="AJ16" s="76">
        <f t="shared" si="6"/>
        <v>273414.855</v>
      </c>
      <c r="AK16" s="76">
        <f t="shared" si="6"/>
        <v>274041.2325</v>
      </c>
      <c r="AL16" s="76">
        <f t="shared" si="6"/>
        <v>274663.305</v>
      </c>
      <c r="AM16" s="76">
        <f t="shared" si="6"/>
        <v>275291.835</v>
      </c>
      <c r="AN16" s="76">
        <f t="shared" si="6"/>
        <v>275933.28</v>
      </c>
      <c r="AO16" s="76">
        <f t="shared" si="6"/>
        <v>276559.6575</v>
      </c>
      <c r="AP16" s="76">
        <f t="shared" si="6"/>
        <v>277205.4075</v>
      </c>
      <c r="AQ16" s="76">
        <f t="shared" si="6"/>
        <v>277851.1575</v>
      </c>
      <c r="AR16" s="76">
        <f t="shared" si="6"/>
        <v>278490.45</v>
      </c>
      <c r="AS16" s="76">
        <f t="shared" si="6"/>
        <v>279146.9625</v>
      </c>
      <c r="AT16" s="76">
        <f t="shared" si="6"/>
        <v>279799.17</v>
      </c>
      <c r="AU16" s="76">
        <f t="shared" si="6"/>
        <v>280451.3775</v>
      </c>
      <c r="AV16" s="76">
        <f t="shared" si="6"/>
        <v>281116.5</v>
      </c>
      <c r="AW16" s="76">
        <f t="shared" si="6"/>
        <v>281773.0125</v>
      </c>
      <c r="AX16" s="76">
        <f t="shared" si="6"/>
        <v>282446.745</v>
      </c>
      <c r="AY16" s="76">
        <f t="shared" si="6"/>
        <v>283118.325</v>
      </c>
      <c r="AZ16" s="76">
        <f t="shared" si="6"/>
        <v>283783.4475</v>
      </c>
      <c r="BA16" s="76">
        <f t="shared" si="6"/>
        <v>284463.6375</v>
      </c>
      <c r="BB16" s="76">
        <f t="shared" si="6"/>
        <v>285150.285</v>
      </c>
      <c r="BC16" s="76">
        <f t="shared" si="6"/>
        <v>285826.17</v>
      </c>
      <c r="BD16" s="76">
        <f t="shared" si="6"/>
        <v>286514.97</v>
      </c>
      <c r="BE16" s="76">
        <f t="shared" si="6"/>
        <v>287208.075</v>
      </c>
      <c r="BF16" s="76">
        <f t="shared" si="6"/>
        <v>287905.485</v>
      </c>
      <c r="BG16" s="76">
        <f t="shared" si="6"/>
        <v>288607.2</v>
      </c>
      <c r="BH16" s="76">
        <f t="shared" si="6"/>
        <v>289308.915</v>
      </c>
      <c r="BI16" s="76">
        <f t="shared" si="6"/>
        <v>290014.935</v>
      </c>
      <c r="BJ16" s="76">
        <f t="shared" si="6"/>
        <v>290729.565</v>
      </c>
      <c r="BK16" s="76">
        <f t="shared" si="6"/>
        <v>291444.195</v>
      </c>
      <c r="BL16" s="76">
        <f t="shared" si="6"/>
        <v>292167.435</v>
      </c>
      <c r="BM16" s="76">
        <f t="shared" si="6"/>
        <v>292882.065</v>
      </c>
      <c r="BN16" s="76">
        <f t="shared" si="6"/>
        <v>293607.4575</v>
      </c>
      <c r="BO16" s="76">
        <f t="shared" si="6"/>
        <v>294339.3075</v>
      </c>
      <c r="BP16" s="76">
        <f t="shared" si="6"/>
        <v>295079.7675</v>
      </c>
      <c r="BQ16" s="76">
        <f t="shared" si="6"/>
        <v>295815.9225</v>
      </c>
      <c r="BR16" s="76">
        <f t="shared" si="6"/>
        <v>296560.6875</v>
      </c>
      <c r="BS16" s="76">
        <f t="shared" si="6"/>
        <v>297307.605</v>
      </c>
      <c r="BT16" s="76">
        <f t="shared" si="6"/>
        <v>298063.1325</v>
      </c>
      <c r="BU16" s="76">
        <f t="shared" si="6"/>
        <v>298816.5075</v>
      </c>
      <c r="BV16" s="76">
        <f t="shared" si="6"/>
        <v>299576.34</v>
      </c>
      <c r="BW16" s="76">
        <f t="shared" si="6"/>
        <v>300342.63</v>
      </c>
      <c r="BX16" s="76">
        <f t="shared" si="6"/>
        <v>301111.0725</v>
      </c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  <c r="BX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  <c r="BX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  <c r="BX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  <c r="BX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  <c r="BX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  <c r="BX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  <c r="BX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  <c r="BX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  <c r="BX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  <c r="BX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  <c r="BX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  <c r="BX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  <c r="BX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  <c r="BX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  <c r="BX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  <c r="BX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  <c r="BX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  <c r="BX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  <c r="BX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  <c r="BX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  <c r="BX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  <c r="BX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  <c r="BX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  <c r="BX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  <c r="BX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  <c r="BX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  <c r="BX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  <c r="BX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  <c r="BX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  <c r="BX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  <c r="BX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  <c r="BX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  <c r="BX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  <c r="BX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  <c r="BX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  <c r="BX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  <c r="BX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  <c r="BX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  <c r="BX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  <c r="BX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  <c r="BX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  <c r="BX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  <c r="BX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  <c r="BX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  <c r="BX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/>
      <c r="BQ1001" s="18"/>
      <c r="BR1001" s="18"/>
      <c r="BS1001" s="18"/>
      <c r="BT1001" s="18"/>
      <c r="BU1001" s="18"/>
      <c r="BV1001" s="18"/>
      <c r="BW1001" s="18"/>
      <c r="BX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  <c r="BO1002" s="18"/>
      <c r="BP1002" s="18"/>
      <c r="BQ1002" s="18"/>
      <c r="BR1002" s="18"/>
      <c r="BS1002" s="18"/>
      <c r="BT1002" s="18"/>
      <c r="BU1002" s="18"/>
      <c r="BV1002" s="18"/>
      <c r="BW1002" s="18"/>
      <c r="BX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  <c r="BO1003" s="18"/>
      <c r="BP1003" s="18"/>
      <c r="BQ1003" s="18"/>
      <c r="BR1003" s="18"/>
      <c r="BS1003" s="18"/>
      <c r="BT1003" s="18"/>
      <c r="BU1003" s="18"/>
      <c r="BV1003" s="18"/>
      <c r="BW1003" s="18"/>
      <c r="BX1003" s="18"/>
    </row>
  </sheetData>
  <mergeCells count="4">
    <mergeCell ref="A1:A6"/>
    <mergeCell ref="C1:D1"/>
    <mergeCell ref="A8:B8"/>
    <mergeCell ref="A11:A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7.11"/>
    <col customWidth="1" min="2" max="2" width="11.89"/>
    <col customWidth="1" min="3" max="3" width="21.22"/>
    <col customWidth="1" min="4" max="4" width="21.44"/>
    <col customWidth="1" min="5" max="5" width="8.11"/>
    <col customWidth="1" min="6" max="6" width="13.33"/>
    <col customWidth="1" min="7" max="7" width="13.89"/>
    <col customWidth="1" min="8" max="8" width="15.89"/>
    <col customWidth="1" min="9" max="9" width="12.22"/>
    <col customWidth="1" min="10" max="10" width="9.89"/>
    <col customWidth="1" min="11" max="11" width="10.22"/>
  </cols>
  <sheetData>
    <row r="1">
      <c r="A1" s="1" t="s">
        <v>0</v>
      </c>
      <c r="E1" s="3"/>
      <c r="F1" s="5"/>
      <c r="G1" s="5"/>
      <c r="H1" s="5"/>
      <c r="I1" s="5"/>
      <c r="K1" s="3"/>
    </row>
    <row r="2">
      <c r="E2" s="3"/>
      <c r="F2" s="5"/>
      <c r="G2" s="5"/>
      <c r="H2" s="5"/>
      <c r="I2" s="5"/>
      <c r="K2" s="3"/>
    </row>
    <row r="3">
      <c r="A3" s="8" t="s">
        <v>9</v>
      </c>
      <c r="B3" s="8" t="s">
        <v>11</v>
      </c>
      <c r="C3" s="8" t="s">
        <v>1</v>
      </c>
      <c r="D3" s="8" t="s">
        <v>12</v>
      </c>
      <c r="E3" s="11" t="s">
        <v>2</v>
      </c>
      <c r="F3" s="12" t="s">
        <v>4</v>
      </c>
      <c r="G3" s="12" t="s">
        <v>5</v>
      </c>
      <c r="H3" s="12" t="s">
        <v>14</v>
      </c>
      <c r="I3" s="12" t="s">
        <v>15</v>
      </c>
      <c r="J3" s="8" t="s">
        <v>16</v>
      </c>
      <c r="K3" s="11" t="s">
        <v>17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18</v>
      </c>
      <c r="B4" s="1" t="s">
        <v>19</v>
      </c>
      <c r="C4" s="1" t="s">
        <v>6</v>
      </c>
      <c r="D4" s="1" t="s">
        <v>20</v>
      </c>
      <c r="E4" s="3">
        <v>105476.0</v>
      </c>
      <c r="F4" s="5">
        <v>4219054.0</v>
      </c>
      <c r="G4" s="5">
        <v>1393716.0</v>
      </c>
      <c r="H4" s="5">
        <v>2953338.0</v>
      </c>
      <c r="I4" s="5">
        <v>40.0</v>
      </c>
      <c r="J4" s="1">
        <v>30.0</v>
      </c>
      <c r="K4" s="3">
        <v>62203.0</v>
      </c>
    </row>
    <row r="5">
      <c r="A5" s="1" t="s">
        <v>21</v>
      </c>
      <c r="B5" s="1" t="s">
        <v>19</v>
      </c>
      <c r="C5" s="1" t="s">
        <v>7</v>
      </c>
      <c r="E5" s="3">
        <v>33417.0</v>
      </c>
      <c r="F5" s="5">
        <v>1670870.0</v>
      </c>
      <c r="G5" s="5">
        <v>501261.0</v>
      </c>
      <c r="H5" s="5">
        <v>1169609.0</v>
      </c>
      <c r="I5" s="5">
        <v>50.0</v>
      </c>
      <c r="J5" s="1">
        <v>30.0</v>
      </c>
      <c r="K5" s="3">
        <v>11580.0</v>
      </c>
    </row>
    <row r="6">
      <c r="A6" s="1" t="s">
        <v>22</v>
      </c>
      <c r="B6" s="1" t="s">
        <v>23</v>
      </c>
      <c r="C6" s="1" t="s">
        <v>8</v>
      </c>
      <c r="E6" s="3">
        <v>494985.0</v>
      </c>
      <c r="F6" s="5">
        <v>5.4448342E7</v>
      </c>
      <c r="G6" s="5">
        <v>1.1017668E7</v>
      </c>
      <c r="H6" s="5">
        <v>4.3558673E7</v>
      </c>
      <c r="I6" s="5">
        <v>110.0</v>
      </c>
      <c r="J6" s="1">
        <v>20.0</v>
      </c>
      <c r="K6" s="3">
        <v>283498.0</v>
      </c>
    </row>
    <row r="7">
      <c r="A7" s="1" t="s">
        <v>24</v>
      </c>
      <c r="B7" s="1" t="s">
        <v>25</v>
      </c>
      <c r="C7" s="1" t="s">
        <v>7</v>
      </c>
      <c r="E7" s="3">
        <v>20770.0</v>
      </c>
      <c r="F7" s="5">
        <v>1453867.0</v>
      </c>
      <c r="G7" s="5">
        <v>436160.0</v>
      </c>
      <c r="H7" s="5">
        <v>1017707.0</v>
      </c>
      <c r="I7" s="5">
        <v>70.0</v>
      </c>
      <c r="J7" s="1">
        <v>30.0</v>
      </c>
      <c r="K7" s="3">
        <v>10215.0</v>
      </c>
    </row>
    <row r="8">
      <c r="A8" s="1" t="s">
        <v>26</v>
      </c>
      <c r="B8" s="1" t="s">
        <v>27</v>
      </c>
      <c r="C8" s="1" t="s">
        <v>7</v>
      </c>
      <c r="E8" s="3">
        <v>10555.0</v>
      </c>
      <c r="F8" s="5">
        <v>474977.0</v>
      </c>
      <c r="G8" s="5">
        <v>142493.0</v>
      </c>
      <c r="H8" s="5">
        <v>332484.0</v>
      </c>
      <c r="I8" s="5">
        <v>45.0</v>
      </c>
      <c r="J8" s="1">
        <v>30.0</v>
      </c>
      <c r="K8" s="3">
        <v>4154.0</v>
      </c>
    </row>
    <row r="9">
      <c r="A9" s="1" t="s">
        <v>28</v>
      </c>
      <c r="B9" s="1" t="s">
        <v>29</v>
      </c>
      <c r="C9" s="1" t="s">
        <v>6</v>
      </c>
      <c r="E9" s="3">
        <v>27240.0</v>
      </c>
      <c r="F9" s="5">
        <v>1498174.0</v>
      </c>
      <c r="G9" s="5">
        <v>449452.0</v>
      </c>
      <c r="H9" s="5">
        <v>1048722.0</v>
      </c>
      <c r="I9" s="5">
        <v>55.0</v>
      </c>
      <c r="J9" s="1">
        <v>30.0</v>
      </c>
      <c r="K9" s="3">
        <v>8036.0</v>
      </c>
    </row>
    <row r="10">
      <c r="A10" s="1" t="s">
        <v>30</v>
      </c>
      <c r="B10" s="1" t="s">
        <v>25</v>
      </c>
      <c r="C10" s="1" t="s">
        <v>6</v>
      </c>
      <c r="E10" s="3">
        <v>6212.0</v>
      </c>
      <c r="F10" s="5">
        <v>496998.0</v>
      </c>
      <c r="G10" s="5">
        <v>149099.0</v>
      </c>
      <c r="H10" s="5">
        <v>347898.0</v>
      </c>
      <c r="I10" s="5">
        <v>80.0</v>
      </c>
      <c r="J10" s="1">
        <v>30.0</v>
      </c>
      <c r="K10" s="3">
        <v>4578.0</v>
      </c>
    </row>
    <row r="11">
      <c r="A11" s="1" t="s">
        <v>31</v>
      </c>
      <c r="B11" s="1" t="s">
        <v>23</v>
      </c>
      <c r="C11" s="1" t="s">
        <v>8</v>
      </c>
      <c r="E11" s="3">
        <v>20019.0</v>
      </c>
      <c r="F11" s="5">
        <v>2202054.0</v>
      </c>
      <c r="G11" s="5">
        <v>570411.0</v>
      </c>
      <c r="H11" s="5">
        <v>1761643.0</v>
      </c>
      <c r="I11" s="5">
        <v>110.0</v>
      </c>
      <c r="J11" s="1">
        <v>20.0</v>
      </c>
      <c r="K11" s="3">
        <v>11742.0</v>
      </c>
    </row>
    <row r="12">
      <c r="A12" s="1" t="s">
        <v>32</v>
      </c>
      <c r="B12" s="1" t="s">
        <v>23</v>
      </c>
      <c r="C12" s="1" t="s">
        <v>7</v>
      </c>
      <c r="E12" s="3">
        <v>6695.0</v>
      </c>
      <c r="F12" s="5">
        <v>1004179.0</v>
      </c>
      <c r="G12" s="5">
        <v>301254.0</v>
      </c>
      <c r="H12" s="5">
        <v>702925.0</v>
      </c>
      <c r="I12" s="5">
        <v>150.0</v>
      </c>
      <c r="J12" s="1">
        <v>30.0</v>
      </c>
      <c r="K12" s="3">
        <v>5607.0</v>
      </c>
    </row>
    <row r="13">
      <c r="A13" s="1" t="s">
        <v>33</v>
      </c>
      <c r="B13" s="1" t="s">
        <v>29</v>
      </c>
      <c r="C13" s="1" t="s">
        <v>6</v>
      </c>
      <c r="E13" s="3">
        <v>31154.0</v>
      </c>
      <c r="F13" s="5">
        <v>2180800.0</v>
      </c>
      <c r="G13" s="5">
        <v>784240.0</v>
      </c>
      <c r="H13" s="5">
        <v>1526560.0</v>
      </c>
      <c r="I13" s="5">
        <v>70.0</v>
      </c>
      <c r="J13" s="1">
        <v>30.0</v>
      </c>
      <c r="K13" s="3">
        <v>12258.0</v>
      </c>
    </row>
    <row r="14">
      <c r="A14" s="1" t="s">
        <v>34</v>
      </c>
      <c r="B14" s="1" t="s">
        <v>35</v>
      </c>
      <c r="C14" s="1" t="s">
        <v>6</v>
      </c>
      <c r="E14" s="3">
        <v>38504.0</v>
      </c>
      <c r="F14" s="5">
        <v>1925220.0</v>
      </c>
      <c r="G14" s="5">
        <v>577566.0</v>
      </c>
      <c r="H14" s="5">
        <v>1347654.0</v>
      </c>
      <c r="I14" s="5">
        <v>50.0</v>
      </c>
      <c r="J14" s="1">
        <v>30.0</v>
      </c>
      <c r="K14" s="3">
        <v>13354.0</v>
      </c>
    </row>
    <row r="15">
      <c r="A15" s="1" t="s">
        <v>37</v>
      </c>
      <c r="B15" s="1" t="s">
        <v>35</v>
      </c>
      <c r="C15" s="1" t="s">
        <v>10</v>
      </c>
      <c r="E15" s="3">
        <v>27008.0</v>
      </c>
      <c r="F15" s="5">
        <v>1620464.0</v>
      </c>
      <c r="G15" s="5">
        <v>604139.0</v>
      </c>
      <c r="H15" s="5">
        <v>1134325.0</v>
      </c>
      <c r="I15" s="5">
        <v>60.0</v>
      </c>
      <c r="J15" s="1">
        <v>30.0</v>
      </c>
      <c r="K15" s="3">
        <v>13255.0</v>
      </c>
    </row>
    <row r="16">
      <c r="A16" s="1" t="s">
        <v>38</v>
      </c>
      <c r="B16" s="1" t="s">
        <v>35</v>
      </c>
      <c r="C16" s="1" t="s">
        <v>7</v>
      </c>
      <c r="E16" s="3">
        <v>4217.0</v>
      </c>
      <c r="F16" s="5">
        <v>168675.0</v>
      </c>
      <c r="G16" s="5">
        <v>50602.0</v>
      </c>
      <c r="H16" s="5">
        <v>118072.0</v>
      </c>
      <c r="I16" s="5">
        <v>40.0</v>
      </c>
      <c r="J16" s="1">
        <v>30.0</v>
      </c>
      <c r="K16" s="3">
        <v>2418.0</v>
      </c>
    </row>
    <row r="17">
      <c r="A17" s="1" t="s">
        <v>40</v>
      </c>
      <c r="B17" s="1" t="s">
        <v>29</v>
      </c>
      <c r="C17" s="1" t="s">
        <v>6</v>
      </c>
      <c r="E17" s="3">
        <v>20005.0</v>
      </c>
      <c r="F17" s="5">
        <v>1400373.0</v>
      </c>
      <c r="G17" s="5">
        <v>542112.0</v>
      </c>
      <c r="H17" s="5">
        <v>980261.0</v>
      </c>
      <c r="I17" s="5">
        <v>70.0</v>
      </c>
      <c r="J17" s="1">
        <v>30.0</v>
      </c>
      <c r="K17" s="3">
        <v>9169.0</v>
      </c>
    </row>
    <row r="18">
      <c r="A18" s="1" t="s">
        <v>42</v>
      </c>
      <c r="B18" s="1" t="s">
        <v>27</v>
      </c>
      <c r="C18" s="1" t="s">
        <v>7</v>
      </c>
      <c r="E18" s="3">
        <v>12771.0</v>
      </c>
      <c r="F18" s="5">
        <v>510842.0</v>
      </c>
      <c r="G18" s="5">
        <v>153253.0</v>
      </c>
      <c r="H18" s="5">
        <v>357589.0</v>
      </c>
      <c r="I18" s="5">
        <v>40.0</v>
      </c>
      <c r="J18" s="1">
        <v>30.0</v>
      </c>
      <c r="K18" s="3">
        <v>6752.0</v>
      </c>
    </row>
    <row r="19">
      <c r="A19" s="1" t="s">
        <v>43</v>
      </c>
      <c r="B19" s="1" t="s">
        <v>35</v>
      </c>
      <c r="C19" s="1" t="s">
        <v>8</v>
      </c>
      <c r="E19" s="3">
        <v>25722.0</v>
      </c>
      <c r="F19" s="5">
        <v>771650.0</v>
      </c>
      <c r="G19" s="5">
        <v>231495.0</v>
      </c>
      <c r="H19" s="5">
        <v>540155.0</v>
      </c>
      <c r="I19" s="5">
        <v>30.0</v>
      </c>
      <c r="J19" s="1">
        <v>30.0</v>
      </c>
      <c r="K19" s="3">
        <v>8837.0</v>
      </c>
    </row>
    <row r="20">
      <c r="A20" s="1" t="s">
        <v>44</v>
      </c>
      <c r="B20" s="1" t="s">
        <v>19</v>
      </c>
      <c r="C20" s="1" t="s">
        <v>6</v>
      </c>
      <c r="E20" s="3">
        <v>20514.0</v>
      </c>
      <c r="F20" s="5">
        <v>1230824.0</v>
      </c>
      <c r="G20" s="5">
        <v>369247.0</v>
      </c>
      <c r="H20" s="5">
        <v>861577.0</v>
      </c>
      <c r="I20" s="5">
        <v>60.0</v>
      </c>
      <c r="J20" s="1">
        <v>30.0</v>
      </c>
      <c r="K20" s="3">
        <v>10839.0</v>
      </c>
    </row>
    <row r="21" ht="15.75" customHeight="1">
      <c r="A21" s="1" t="s">
        <v>45</v>
      </c>
      <c r="B21" s="1" t="s">
        <v>46</v>
      </c>
      <c r="C21" s="1" t="s">
        <v>8</v>
      </c>
      <c r="E21" s="3">
        <v>343987.0</v>
      </c>
      <c r="F21" s="5">
        <v>1.375947E7</v>
      </c>
      <c r="G21" s="5">
        <v>4127841.0</v>
      </c>
      <c r="H21" s="5">
        <v>9631629.0</v>
      </c>
      <c r="I21" s="5">
        <v>40.0</v>
      </c>
      <c r="J21" s="1">
        <v>30.0</v>
      </c>
      <c r="K21" s="3">
        <v>149898.0</v>
      </c>
    </row>
    <row r="22" ht="15.75" customHeight="1">
      <c r="A22" s="1" t="s">
        <v>47</v>
      </c>
      <c r="B22" s="1" t="s">
        <v>23</v>
      </c>
      <c r="C22" s="1" t="s">
        <v>8</v>
      </c>
      <c r="E22" s="3">
        <v>292093.0</v>
      </c>
      <c r="F22" s="5">
        <v>3.2130215E7</v>
      </c>
      <c r="G22" s="5">
        <v>6532043.0</v>
      </c>
      <c r="H22" s="5">
        <v>2.5704172E7</v>
      </c>
      <c r="I22" s="5">
        <v>110.0</v>
      </c>
      <c r="J22" s="1">
        <v>20.0</v>
      </c>
      <c r="K22" s="3">
        <v>142369.0</v>
      </c>
    </row>
    <row r="23" ht="15.75" customHeight="1">
      <c r="A23" s="1" t="s">
        <v>48</v>
      </c>
      <c r="B23" s="1" t="s">
        <v>23</v>
      </c>
      <c r="C23" s="1" t="s">
        <v>7</v>
      </c>
      <c r="E23" s="3">
        <v>169364.0</v>
      </c>
      <c r="F23" s="5">
        <v>2.5404566E7</v>
      </c>
      <c r="G23" s="5">
        <v>5080913.0</v>
      </c>
      <c r="H23" s="5">
        <v>2.0323653E7</v>
      </c>
      <c r="I23" s="5">
        <v>150.0</v>
      </c>
      <c r="J23" s="1">
        <v>20.0</v>
      </c>
      <c r="K23" s="3">
        <v>148416.0</v>
      </c>
    </row>
    <row r="24" ht="15.75" customHeight="1">
      <c r="A24" s="1" t="s">
        <v>49</v>
      </c>
      <c r="B24" s="1" t="s">
        <v>29</v>
      </c>
      <c r="C24" s="1" t="s">
        <v>10</v>
      </c>
      <c r="E24" s="3">
        <v>98588.0</v>
      </c>
      <c r="F24" s="5">
        <v>6901142.0</v>
      </c>
      <c r="G24" s="5">
        <v>2188343.0</v>
      </c>
      <c r="H24" s="5">
        <v>4830799.0</v>
      </c>
      <c r="I24" s="5">
        <v>70.0</v>
      </c>
      <c r="J24" s="1">
        <v>30.0</v>
      </c>
      <c r="K24" s="3">
        <v>44709.0</v>
      </c>
    </row>
    <row r="25" ht="15.75" customHeight="1">
      <c r="A25" s="1" t="s">
        <v>50</v>
      </c>
      <c r="B25" s="1" t="s">
        <v>29</v>
      </c>
      <c r="C25" s="1" t="s">
        <v>7</v>
      </c>
      <c r="E25" s="3">
        <v>42160.0</v>
      </c>
      <c r="F25" s="5">
        <v>2108022.0</v>
      </c>
      <c r="G25" s="5">
        <v>632407.0</v>
      </c>
      <c r="H25" s="5">
        <v>1475616.0</v>
      </c>
      <c r="I25" s="5">
        <v>50.0</v>
      </c>
      <c r="J25" s="1">
        <v>30.0</v>
      </c>
      <c r="K25" s="3">
        <v>20700.0</v>
      </c>
    </row>
    <row r="26" ht="15.75" customHeight="1">
      <c r="A26" s="1" t="s">
        <v>51</v>
      </c>
      <c r="B26" s="1" t="s">
        <v>29</v>
      </c>
      <c r="C26" s="1" t="s">
        <v>10</v>
      </c>
      <c r="E26" s="3">
        <v>295763.0</v>
      </c>
      <c r="F26" s="5">
        <v>2.0703425E7</v>
      </c>
      <c r="G26" s="5">
        <v>6329028.0</v>
      </c>
      <c r="H26" s="5">
        <v>1.4492398E7</v>
      </c>
      <c r="I26" s="5">
        <v>70.0</v>
      </c>
      <c r="J26" s="1">
        <v>30.0</v>
      </c>
      <c r="K26" s="3">
        <v>134128.0</v>
      </c>
    </row>
    <row r="27" ht="15.75" customHeight="1">
      <c r="A27" s="1" t="s">
        <v>52</v>
      </c>
      <c r="B27" s="1" t="s">
        <v>29</v>
      </c>
      <c r="C27" s="1" t="s">
        <v>7</v>
      </c>
      <c r="E27" s="3">
        <v>87364.0</v>
      </c>
      <c r="F27" s="5">
        <v>4368195.0</v>
      </c>
      <c r="G27" s="5">
        <v>1310459.0</v>
      </c>
      <c r="H27" s="5">
        <v>3057737.0</v>
      </c>
      <c r="I27" s="5">
        <v>50.0</v>
      </c>
      <c r="J27" s="1">
        <v>30.0</v>
      </c>
      <c r="K27" s="3">
        <v>42921.0</v>
      </c>
    </row>
    <row r="28" ht="15.75" customHeight="1">
      <c r="A28" s="1" t="s">
        <v>53</v>
      </c>
      <c r="B28" s="1" t="s">
        <v>23</v>
      </c>
      <c r="C28" s="1" t="s">
        <v>10</v>
      </c>
      <c r="E28" s="3">
        <v>1461978.0</v>
      </c>
      <c r="F28" s="5">
        <v>1.46197757E8</v>
      </c>
      <c r="G28" s="5">
        <v>2.9349551E7</v>
      </c>
      <c r="H28" s="5">
        <v>1.16958205E8</v>
      </c>
      <c r="I28" s="5">
        <v>100.0</v>
      </c>
      <c r="J28" s="1">
        <v>20.0</v>
      </c>
      <c r="K28" s="3">
        <v>860822.0</v>
      </c>
    </row>
    <row r="29" ht="15.75" customHeight="1">
      <c r="A29" s="1" t="s">
        <v>55</v>
      </c>
      <c r="B29" s="1" t="s">
        <v>23</v>
      </c>
      <c r="C29" s="1" t="s">
        <v>10</v>
      </c>
      <c r="E29" s="3">
        <v>968631.0</v>
      </c>
      <c r="F29" s="5">
        <v>9.686307E7</v>
      </c>
      <c r="G29" s="5">
        <v>1.9372614E7</v>
      </c>
      <c r="H29" s="5">
        <v>7.7490456E7</v>
      </c>
      <c r="I29" s="5">
        <v>100.0</v>
      </c>
      <c r="J29" s="1">
        <v>20.0</v>
      </c>
      <c r="K29" s="3">
        <v>518487.0</v>
      </c>
    </row>
    <row r="30" ht="15.75" customHeight="1">
      <c r="A30" s="1" t="s">
        <v>56</v>
      </c>
      <c r="B30" s="1" t="s">
        <v>29</v>
      </c>
      <c r="C30" s="1" t="s">
        <v>10</v>
      </c>
      <c r="E30" s="3">
        <v>282756.0</v>
      </c>
      <c r="F30" s="5">
        <v>1.9792934E7</v>
      </c>
      <c r="G30" s="5">
        <v>6047880.0</v>
      </c>
      <c r="H30" s="5">
        <v>1.3855054E7</v>
      </c>
      <c r="I30" s="5">
        <v>70.0</v>
      </c>
      <c r="J30" s="1">
        <v>30.0</v>
      </c>
      <c r="K30" s="3">
        <v>128003.0</v>
      </c>
    </row>
    <row r="31" ht="15.75" customHeight="1">
      <c r="A31" s="1" t="s">
        <v>60</v>
      </c>
      <c r="B31" s="1" t="s">
        <v>29</v>
      </c>
      <c r="C31" s="1" t="s">
        <v>7</v>
      </c>
      <c r="E31" s="3">
        <v>133875.0</v>
      </c>
      <c r="F31" s="5">
        <v>6693760.0</v>
      </c>
      <c r="G31" s="5">
        <v>2008128.0</v>
      </c>
      <c r="H31" s="5">
        <v>4685632.0</v>
      </c>
      <c r="I31" s="5">
        <v>50.0</v>
      </c>
      <c r="J31" s="1">
        <v>30.0</v>
      </c>
      <c r="K31" s="3">
        <v>65610.0</v>
      </c>
    </row>
    <row r="32" ht="15.75" customHeight="1">
      <c r="A32" s="1" t="s">
        <v>62</v>
      </c>
      <c r="B32" s="1" t="s">
        <v>35</v>
      </c>
      <c r="C32" s="1" t="s">
        <v>10</v>
      </c>
      <c r="E32" s="3">
        <v>410275.0</v>
      </c>
      <c r="F32" s="5">
        <v>2.461649E7</v>
      </c>
      <c r="G32" s="5">
        <v>7500947.0</v>
      </c>
      <c r="H32" s="5">
        <v>1.7231543E7</v>
      </c>
      <c r="I32" s="5">
        <v>60.0</v>
      </c>
      <c r="J32" s="1">
        <v>30.0</v>
      </c>
      <c r="K32" s="3">
        <v>216782.0</v>
      </c>
    </row>
    <row r="33" ht="15.75" customHeight="1">
      <c r="A33" s="1" t="s">
        <v>69</v>
      </c>
      <c r="B33" s="1" t="s">
        <v>35</v>
      </c>
      <c r="C33" s="1" t="s">
        <v>7</v>
      </c>
      <c r="E33" s="3">
        <v>371626.0</v>
      </c>
      <c r="F33" s="5">
        <v>1.4865054E7</v>
      </c>
      <c r="G33" s="5">
        <v>4459516.0</v>
      </c>
      <c r="H33" s="5">
        <v>1.0405538E7</v>
      </c>
      <c r="I33" s="5">
        <v>40.0</v>
      </c>
      <c r="J33" s="1">
        <v>30.0</v>
      </c>
      <c r="K33" s="3">
        <v>212659.0</v>
      </c>
    </row>
    <row r="34" ht="15.75" customHeight="1">
      <c r="A34" s="1" t="s">
        <v>78</v>
      </c>
      <c r="B34" s="1" t="s">
        <v>23</v>
      </c>
      <c r="C34" s="1" t="s">
        <v>10</v>
      </c>
      <c r="E34" s="3">
        <v>785547.0</v>
      </c>
      <c r="F34" s="5">
        <v>7.8554672E7</v>
      </c>
      <c r="G34" s="5">
        <v>1.5806934E7</v>
      </c>
      <c r="H34" s="5">
        <v>6.2843738E7</v>
      </c>
      <c r="I34" s="5">
        <v>100.0</v>
      </c>
      <c r="J34" s="1">
        <v>20.0</v>
      </c>
      <c r="K34" s="3">
        <v>576608.0</v>
      </c>
    </row>
    <row r="35" ht="15.75" customHeight="1">
      <c r="A35" s="1" t="s">
        <v>88</v>
      </c>
      <c r="B35" s="1" t="s">
        <v>23</v>
      </c>
      <c r="C35" s="1" t="s">
        <v>7</v>
      </c>
      <c r="E35" s="3">
        <v>570590.0</v>
      </c>
      <c r="F35" s="5">
        <v>8.5588466E7</v>
      </c>
      <c r="G35" s="5">
        <v>1.7117693E7</v>
      </c>
      <c r="H35" s="5">
        <v>6.8470773E7</v>
      </c>
      <c r="I35" s="5">
        <v>150.0</v>
      </c>
      <c r="J35" s="1">
        <v>20.0</v>
      </c>
      <c r="K35" s="3">
        <v>479617.0</v>
      </c>
    </row>
    <row r="36" ht="15.75" customHeight="1">
      <c r="A36" s="24" t="s">
        <v>97</v>
      </c>
      <c r="B36" s="24"/>
      <c r="C36" s="24"/>
      <c r="D36" s="24"/>
      <c r="E36" s="25">
        <v>7219860.0</v>
      </c>
      <c r="F36" s="26">
        <v>6.55824602E8</v>
      </c>
      <c r="G36" s="26">
        <v>1.46138466E8</v>
      </c>
      <c r="H36" s="26">
        <v>5.11216136E8</v>
      </c>
      <c r="I36" s="26">
        <v>90.84</v>
      </c>
      <c r="J36" s="24">
        <v>22.28</v>
      </c>
      <c r="K36" s="25">
        <v>4220222.0</v>
      </c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E37" s="3"/>
      <c r="F37" s="5"/>
      <c r="G37" s="5"/>
      <c r="H37" s="5"/>
      <c r="I37" s="5"/>
      <c r="K37" s="3"/>
    </row>
    <row r="38" ht="15.75" customHeight="1">
      <c r="E38" s="3"/>
      <c r="F38" s="5"/>
      <c r="G38" s="5"/>
      <c r="H38" s="5"/>
      <c r="I38" s="5"/>
      <c r="K38" s="3"/>
    </row>
    <row r="39" ht="15.75" customHeight="1">
      <c r="E39" s="3"/>
      <c r="F39" s="5"/>
      <c r="G39" s="5"/>
      <c r="H39" s="5"/>
      <c r="I39" s="5"/>
      <c r="K39" s="3"/>
    </row>
    <row r="40" ht="15.75" customHeight="1">
      <c r="E40" s="3"/>
      <c r="F40" s="5"/>
      <c r="G40" s="5"/>
      <c r="H40" s="5"/>
      <c r="I40" s="5"/>
      <c r="K40" s="3"/>
    </row>
    <row r="41" ht="15.75" customHeight="1">
      <c r="E41" s="3"/>
      <c r="F41" s="5"/>
      <c r="G41" s="5"/>
      <c r="H41" s="5"/>
      <c r="I41" s="5"/>
      <c r="K41" s="3"/>
    </row>
    <row r="42" ht="15.75" customHeight="1">
      <c r="E42" s="3"/>
      <c r="F42" s="5"/>
      <c r="G42" s="5"/>
      <c r="H42" s="5"/>
      <c r="I42" s="5"/>
      <c r="K42" s="3"/>
    </row>
    <row r="43" ht="15.75" customHeight="1">
      <c r="E43" s="3"/>
      <c r="F43" s="5"/>
      <c r="G43" s="5"/>
      <c r="H43" s="5"/>
      <c r="I43" s="5"/>
      <c r="K43" s="3"/>
    </row>
    <row r="44" ht="15.75" customHeight="1">
      <c r="E44" s="3"/>
      <c r="F44" s="5"/>
      <c r="G44" s="5"/>
      <c r="H44" s="5"/>
      <c r="I44" s="5"/>
      <c r="K44" s="3"/>
    </row>
    <row r="45" ht="15.75" customHeight="1">
      <c r="E45" s="3"/>
      <c r="F45" s="5"/>
      <c r="G45" s="5"/>
      <c r="H45" s="5"/>
      <c r="I45" s="5"/>
      <c r="K45" s="3"/>
    </row>
    <row r="46" ht="15.75" customHeight="1">
      <c r="E46" s="3"/>
      <c r="F46" s="5"/>
      <c r="G46" s="5"/>
      <c r="H46" s="5"/>
      <c r="I46" s="5"/>
      <c r="K46" s="3"/>
    </row>
    <row r="47" ht="15.75" customHeight="1">
      <c r="E47" s="3"/>
      <c r="F47" s="5"/>
      <c r="G47" s="5"/>
      <c r="H47" s="5"/>
      <c r="I47" s="5"/>
      <c r="K47" s="3"/>
    </row>
    <row r="48" ht="15.75" customHeight="1">
      <c r="E48" s="3"/>
      <c r="F48" s="5"/>
      <c r="G48" s="5"/>
      <c r="H48" s="5"/>
      <c r="I48" s="5"/>
      <c r="K48" s="3"/>
    </row>
    <row r="49" ht="15.75" customHeight="1">
      <c r="E49" s="3"/>
      <c r="F49" s="5"/>
      <c r="G49" s="5"/>
      <c r="H49" s="5"/>
      <c r="I49" s="5"/>
      <c r="K49" s="3"/>
    </row>
    <row r="50" ht="15.75" customHeight="1">
      <c r="E50" s="3"/>
      <c r="F50" s="5"/>
      <c r="G50" s="5"/>
      <c r="H50" s="5"/>
      <c r="I50" s="5"/>
      <c r="K50" s="3"/>
    </row>
    <row r="51" ht="15.75" customHeight="1">
      <c r="E51" s="3"/>
      <c r="F51" s="5"/>
      <c r="G51" s="5"/>
      <c r="H51" s="5"/>
      <c r="I51" s="5"/>
      <c r="K51" s="3"/>
    </row>
    <row r="52" ht="15.75" customHeight="1">
      <c r="E52" s="3"/>
      <c r="F52" s="5"/>
      <c r="G52" s="5"/>
      <c r="H52" s="5"/>
      <c r="I52" s="5"/>
      <c r="K52" s="3"/>
    </row>
    <row r="53" ht="15.75" customHeight="1">
      <c r="E53" s="3"/>
      <c r="F53" s="5"/>
      <c r="G53" s="5"/>
      <c r="H53" s="5"/>
      <c r="I53" s="5"/>
      <c r="K53" s="3"/>
    </row>
    <row r="54" ht="15.75" customHeight="1">
      <c r="E54" s="3"/>
      <c r="F54" s="5"/>
      <c r="G54" s="5"/>
      <c r="H54" s="5"/>
      <c r="I54" s="5"/>
      <c r="K54" s="3"/>
    </row>
    <row r="55" ht="15.75" customHeight="1">
      <c r="E55" s="3"/>
      <c r="F55" s="5"/>
      <c r="G55" s="5"/>
      <c r="H55" s="5"/>
      <c r="I55" s="5"/>
      <c r="K55" s="3"/>
    </row>
    <row r="56" ht="15.75" customHeight="1">
      <c r="E56" s="3"/>
      <c r="F56" s="5"/>
      <c r="G56" s="5"/>
      <c r="H56" s="5"/>
      <c r="I56" s="5"/>
      <c r="K56" s="3"/>
    </row>
    <row r="57" ht="15.75" customHeight="1">
      <c r="E57" s="3"/>
      <c r="F57" s="5"/>
      <c r="G57" s="5"/>
      <c r="H57" s="5"/>
      <c r="I57" s="5"/>
      <c r="K57" s="3"/>
    </row>
    <row r="58" ht="15.75" customHeight="1">
      <c r="E58" s="3"/>
      <c r="F58" s="5"/>
      <c r="G58" s="5"/>
      <c r="H58" s="5"/>
      <c r="I58" s="5"/>
      <c r="K58" s="3"/>
    </row>
    <row r="59" ht="15.75" customHeight="1">
      <c r="E59" s="3"/>
      <c r="F59" s="5"/>
      <c r="G59" s="5"/>
      <c r="H59" s="5"/>
      <c r="I59" s="5"/>
      <c r="K59" s="3"/>
    </row>
    <row r="60" ht="15.75" customHeight="1">
      <c r="E60" s="3"/>
      <c r="F60" s="5"/>
      <c r="G60" s="5"/>
      <c r="H60" s="5"/>
      <c r="I60" s="5"/>
      <c r="K60" s="3"/>
    </row>
    <row r="61" ht="15.75" customHeight="1">
      <c r="E61" s="3"/>
      <c r="F61" s="5"/>
      <c r="G61" s="5"/>
      <c r="H61" s="5"/>
      <c r="I61" s="5"/>
      <c r="K61" s="3"/>
    </row>
    <row r="62" ht="15.75" customHeight="1">
      <c r="E62" s="3"/>
      <c r="F62" s="5"/>
      <c r="G62" s="5"/>
      <c r="H62" s="5"/>
      <c r="I62" s="5"/>
      <c r="K62" s="3"/>
    </row>
    <row r="63" ht="15.75" customHeight="1">
      <c r="E63" s="3"/>
      <c r="F63" s="5"/>
      <c r="G63" s="5"/>
      <c r="H63" s="5"/>
      <c r="I63" s="5"/>
      <c r="K63" s="3"/>
    </row>
    <row r="64" ht="15.75" customHeight="1">
      <c r="E64" s="3"/>
      <c r="F64" s="5"/>
      <c r="G64" s="5"/>
      <c r="H64" s="5"/>
      <c r="I64" s="5"/>
      <c r="K64" s="3"/>
    </row>
    <row r="65" ht="15.75" customHeight="1">
      <c r="E65" s="3"/>
      <c r="F65" s="5"/>
      <c r="G65" s="5"/>
      <c r="H65" s="5"/>
      <c r="I65" s="5"/>
      <c r="K65" s="3"/>
    </row>
    <row r="66" ht="15.75" customHeight="1">
      <c r="E66" s="3"/>
      <c r="F66" s="5"/>
      <c r="G66" s="5"/>
      <c r="H66" s="5"/>
      <c r="I66" s="5"/>
      <c r="K66" s="3"/>
    </row>
    <row r="67" ht="15.75" customHeight="1">
      <c r="E67" s="3"/>
      <c r="F67" s="5"/>
      <c r="G67" s="5"/>
      <c r="H67" s="5"/>
      <c r="I67" s="5"/>
      <c r="K67" s="3"/>
    </row>
    <row r="68" ht="15.75" customHeight="1">
      <c r="E68" s="3"/>
      <c r="F68" s="5"/>
      <c r="G68" s="5"/>
      <c r="H68" s="5"/>
      <c r="I68" s="5"/>
      <c r="K68" s="3"/>
    </row>
    <row r="69" ht="15.75" customHeight="1">
      <c r="E69" s="3"/>
      <c r="F69" s="5"/>
      <c r="G69" s="5"/>
      <c r="H69" s="5"/>
      <c r="I69" s="5"/>
      <c r="K69" s="3"/>
    </row>
    <row r="70" ht="15.75" customHeight="1">
      <c r="E70" s="3"/>
      <c r="F70" s="5"/>
      <c r="G70" s="5"/>
      <c r="H70" s="5"/>
      <c r="I70" s="5"/>
      <c r="K70" s="3"/>
    </row>
    <row r="71" ht="15.75" customHeight="1">
      <c r="E71" s="3"/>
      <c r="F71" s="5"/>
      <c r="G71" s="5"/>
      <c r="H71" s="5"/>
      <c r="I71" s="5"/>
      <c r="K71" s="3"/>
    </row>
    <row r="72" ht="15.75" customHeight="1">
      <c r="E72" s="3"/>
      <c r="F72" s="5"/>
      <c r="G72" s="5"/>
      <c r="H72" s="5"/>
      <c r="I72" s="5"/>
      <c r="K72" s="3"/>
    </row>
    <row r="73" ht="15.75" customHeight="1">
      <c r="E73" s="3"/>
      <c r="F73" s="5"/>
      <c r="G73" s="5"/>
      <c r="H73" s="5"/>
      <c r="I73" s="5"/>
      <c r="K73" s="3"/>
    </row>
    <row r="74" ht="15.75" customHeight="1">
      <c r="E74" s="3"/>
      <c r="F74" s="5"/>
      <c r="G74" s="5"/>
      <c r="H74" s="5"/>
      <c r="I74" s="5"/>
      <c r="K74" s="3"/>
    </row>
    <row r="75" ht="15.75" customHeight="1">
      <c r="E75" s="3"/>
      <c r="F75" s="5"/>
      <c r="G75" s="5"/>
      <c r="H75" s="5"/>
      <c r="I75" s="5"/>
      <c r="K75" s="3"/>
    </row>
    <row r="76" ht="15.75" customHeight="1">
      <c r="E76" s="3"/>
      <c r="F76" s="5"/>
      <c r="G76" s="5"/>
      <c r="H76" s="5"/>
      <c r="I76" s="5"/>
      <c r="K76" s="3"/>
    </row>
    <row r="77" ht="15.75" customHeight="1">
      <c r="E77" s="3"/>
      <c r="F77" s="5"/>
      <c r="G77" s="5"/>
      <c r="H77" s="5"/>
      <c r="I77" s="5"/>
      <c r="K77" s="3"/>
    </row>
    <row r="78" ht="15.75" customHeight="1">
      <c r="E78" s="3"/>
      <c r="F78" s="5"/>
      <c r="G78" s="5"/>
      <c r="H78" s="5"/>
      <c r="I78" s="5"/>
      <c r="K78" s="3"/>
    </row>
    <row r="79" ht="15.75" customHeight="1">
      <c r="E79" s="3"/>
      <c r="F79" s="5"/>
      <c r="G79" s="5"/>
      <c r="H79" s="5"/>
      <c r="I79" s="5"/>
      <c r="K79" s="3"/>
    </row>
    <row r="80" ht="15.75" customHeight="1">
      <c r="E80" s="3"/>
      <c r="F80" s="5"/>
      <c r="G80" s="5"/>
      <c r="H80" s="5"/>
      <c r="I80" s="5"/>
      <c r="K80" s="3"/>
    </row>
    <row r="81" ht="15.75" customHeight="1">
      <c r="E81" s="3"/>
      <c r="F81" s="5"/>
      <c r="G81" s="5"/>
      <c r="H81" s="5"/>
      <c r="I81" s="5"/>
      <c r="K81" s="3"/>
    </row>
    <row r="82" ht="15.75" customHeight="1">
      <c r="E82" s="3"/>
      <c r="F82" s="5"/>
      <c r="G82" s="5"/>
      <c r="H82" s="5"/>
      <c r="I82" s="5"/>
      <c r="K82" s="3"/>
    </row>
    <row r="83" ht="15.75" customHeight="1">
      <c r="E83" s="3"/>
      <c r="F83" s="5"/>
      <c r="G83" s="5"/>
      <c r="H83" s="5"/>
      <c r="I83" s="5"/>
      <c r="K83" s="3"/>
    </row>
    <row r="84" ht="15.75" customHeight="1">
      <c r="E84" s="3"/>
      <c r="F84" s="5"/>
      <c r="G84" s="5"/>
      <c r="H84" s="5"/>
      <c r="I84" s="5"/>
      <c r="K84" s="3"/>
    </row>
    <row r="85" ht="15.75" customHeight="1">
      <c r="E85" s="3"/>
      <c r="F85" s="5"/>
      <c r="G85" s="5"/>
      <c r="H85" s="5"/>
      <c r="I85" s="5"/>
      <c r="K85" s="3"/>
    </row>
    <row r="86" ht="15.75" customHeight="1">
      <c r="E86" s="3"/>
      <c r="F86" s="5"/>
      <c r="G86" s="5"/>
      <c r="H86" s="5"/>
      <c r="I86" s="5"/>
      <c r="K86" s="3"/>
    </row>
    <row r="87" ht="15.75" customHeight="1">
      <c r="E87" s="3"/>
      <c r="F87" s="5"/>
      <c r="G87" s="5"/>
      <c r="H87" s="5"/>
      <c r="I87" s="5"/>
      <c r="K87" s="3"/>
    </row>
    <row r="88" ht="15.75" customHeight="1">
      <c r="E88" s="3"/>
      <c r="F88" s="5"/>
      <c r="G88" s="5"/>
      <c r="H88" s="5"/>
      <c r="I88" s="5"/>
      <c r="K88" s="3"/>
    </row>
    <row r="89" ht="15.75" customHeight="1">
      <c r="E89" s="3"/>
      <c r="F89" s="5"/>
      <c r="G89" s="5"/>
      <c r="H89" s="5"/>
      <c r="I89" s="5"/>
      <c r="K89" s="3"/>
    </row>
    <row r="90" ht="15.75" customHeight="1">
      <c r="E90" s="3"/>
      <c r="F90" s="5"/>
      <c r="G90" s="5"/>
      <c r="H90" s="5"/>
      <c r="I90" s="5"/>
      <c r="K90" s="3"/>
    </row>
    <row r="91" ht="15.75" customHeight="1">
      <c r="E91" s="3"/>
      <c r="F91" s="5"/>
      <c r="G91" s="5"/>
      <c r="H91" s="5"/>
      <c r="I91" s="5"/>
      <c r="K91" s="3"/>
    </row>
    <row r="92" ht="15.75" customHeight="1">
      <c r="E92" s="3"/>
      <c r="F92" s="5"/>
      <c r="G92" s="5"/>
      <c r="H92" s="5"/>
      <c r="I92" s="5"/>
      <c r="K92" s="3"/>
    </row>
    <row r="93" ht="15.75" customHeight="1">
      <c r="E93" s="3"/>
      <c r="F93" s="5"/>
      <c r="G93" s="5"/>
      <c r="H93" s="5"/>
      <c r="I93" s="5"/>
      <c r="K93" s="3"/>
    </row>
    <row r="94" ht="15.75" customHeight="1">
      <c r="E94" s="3"/>
      <c r="F94" s="5"/>
      <c r="G94" s="5"/>
      <c r="H94" s="5"/>
      <c r="I94" s="5"/>
      <c r="K94" s="3"/>
    </row>
    <row r="95" ht="15.75" customHeight="1">
      <c r="E95" s="3"/>
      <c r="F95" s="5"/>
      <c r="G95" s="5"/>
      <c r="H95" s="5"/>
      <c r="I95" s="5"/>
      <c r="K95" s="3"/>
    </row>
    <row r="96" ht="15.75" customHeight="1">
      <c r="E96" s="3"/>
      <c r="F96" s="5"/>
      <c r="G96" s="5"/>
      <c r="H96" s="5"/>
      <c r="I96" s="5"/>
      <c r="K96" s="3"/>
    </row>
    <row r="97" ht="15.75" customHeight="1">
      <c r="E97" s="3"/>
      <c r="F97" s="5"/>
      <c r="G97" s="5"/>
      <c r="H97" s="5"/>
      <c r="I97" s="5"/>
      <c r="K97" s="3"/>
    </row>
    <row r="98" ht="15.75" customHeight="1">
      <c r="E98" s="3"/>
      <c r="F98" s="5"/>
      <c r="G98" s="5"/>
      <c r="H98" s="5"/>
      <c r="I98" s="5"/>
      <c r="K98" s="3"/>
    </row>
    <row r="99" ht="15.75" customHeight="1">
      <c r="E99" s="3"/>
      <c r="F99" s="5"/>
      <c r="G99" s="5"/>
      <c r="H99" s="5"/>
      <c r="I99" s="5"/>
      <c r="K99" s="3"/>
    </row>
    <row r="100" ht="15.75" customHeight="1">
      <c r="E100" s="3"/>
      <c r="F100" s="5"/>
      <c r="G100" s="5"/>
      <c r="H100" s="5"/>
      <c r="I100" s="5"/>
      <c r="K100" s="3"/>
    </row>
    <row r="101" ht="15.75" customHeight="1">
      <c r="E101" s="3"/>
      <c r="F101" s="5"/>
      <c r="G101" s="5"/>
      <c r="H101" s="5"/>
      <c r="I101" s="5"/>
      <c r="K101" s="3"/>
    </row>
    <row r="102" ht="15.75" customHeight="1">
      <c r="E102" s="3"/>
      <c r="F102" s="5"/>
      <c r="G102" s="5"/>
      <c r="H102" s="5"/>
      <c r="I102" s="5"/>
      <c r="K102" s="3"/>
    </row>
    <row r="103" ht="15.75" customHeight="1">
      <c r="E103" s="3"/>
      <c r="F103" s="5"/>
      <c r="G103" s="5"/>
      <c r="H103" s="5"/>
      <c r="I103" s="5"/>
      <c r="K103" s="3"/>
    </row>
    <row r="104" ht="15.75" customHeight="1">
      <c r="E104" s="3"/>
      <c r="F104" s="5"/>
      <c r="G104" s="5"/>
      <c r="H104" s="5"/>
      <c r="I104" s="5"/>
      <c r="K104" s="3"/>
    </row>
    <row r="105" ht="15.75" customHeight="1">
      <c r="E105" s="3"/>
      <c r="F105" s="5"/>
      <c r="G105" s="5"/>
      <c r="H105" s="5"/>
      <c r="I105" s="5"/>
      <c r="K105" s="3"/>
    </row>
    <row r="106" ht="15.75" customHeight="1">
      <c r="E106" s="3"/>
      <c r="F106" s="5"/>
      <c r="G106" s="5"/>
      <c r="H106" s="5"/>
      <c r="I106" s="5"/>
      <c r="K106" s="3"/>
    </row>
    <row r="107" ht="15.75" customHeight="1">
      <c r="E107" s="3"/>
      <c r="F107" s="5"/>
      <c r="G107" s="5"/>
      <c r="H107" s="5"/>
      <c r="I107" s="5"/>
      <c r="K107" s="3"/>
    </row>
    <row r="108" ht="15.75" customHeight="1">
      <c r="E108" s="3"/>
      <c r="F108" s="5"/>
      <c r="G108" s="5"/>
      <c r="H108" s="5"/>
      <c r="I108" s="5"/>
      <c r="K108" s="3"/>
    </row>
    <row r="109" ht="15.75" customHeight="1">
      <c r="E109" s="3"/>
      <c r="F109" s="5"/>
      <c r="G109" s="5"/>
      <c r="H109" s="5"/>
      <c r="I109" s="5"/>
      <c r="K109" s="3"/>
    </row>
    <row r="110" ht="15.75" customHeight="1">
      <c r="E110" s="3"/>
      <c r="F110" s="5"/>
      <c r="G110" s="5"/>
      <c r="H110" s="5"/>
      <c r="I110" s="5"/>
      <c r="K110" s="3"/>
    </row>
    <row r="111" ht="15.75" customHeight="1">
      <c r="E111" s="3"/>
      <c r="F111" s="5"/>
      <c r="G111" s="5"/>
      <c r="H111" s="5"/>
      <c r="I111" s="5"/>
      <c r="K111" s="3"/>
    </row>
    <row r="112" ht="15.75" customHeight="1">
      <c r="E112" s="3"/>
      <c r="F112" s="5"/>
      <c r="G112" s="5"/>
      <c r="H112" s="5"/>
      <c r="I112" s="5"/>
      <c r="K112" s="3"/>
    </row>
    <row r="113" ht="15.75" customHeight="1">
      <c r="E113" s="3"/>
      <c r="F113" s="5"/>
      <c r="G113" s="5"/>
      <c r="H113" s="5"/>
      <c r="I113" s="5"/>
      <c r="K113" s="3"/>
    </row>
    <row r="114" ht="15.75" customHeight="1">
      <c r="E114" s="3"/>
      <c r="F114" s="5"/>
      <c r="G114" s="5"/>
      <c r="H114" s="5"/>
      <c r="I114" s="5"/>
      <c r="K114" s="3"/>
    </row>
    <row r="115" ht="15.75" customHeight="1">
      <c r="E115" s="3"/>
      <c r="F115" s="5"/>
      <c r="G115" s="5"/>
      <c r="H115" s="5"/>
      <c r="I115" s="5"/>
      <c r="K115" s="3"/>
    </row>
    <row r="116" ht="15.75" customHeight="1">
      <c r="E116" s="3"/>
      <c r="F116" s="5"/>
      <c r="G116" s="5"/>
      <c r="H116" s="5"/>
      <c r="I116" s="5"/>
      <c r="K116" s="3"/>
    </row>
    <row r="117" ht="15.75" customHeight="1">
      <c r="E117" s="3"/>
      <c r="F117" s="5"/>
      <c r="G117" s="5"/>
      <c r="H117" s="5"/>
      <c r="I117" s="5"/>
      <c r="K117" s="3"/>
    </row>
    <row r="118" ht="15.75" customHeight="1">
      <c r="E118" s="3"/>
      <c r="F118" s="5"/>
      <c r="G118" s="5"/>
      <c r="H118" s="5"/>
      <c r="I118" s="5"/>
      <c r="K118" s="3"/>
    </row>
    <row r="119" ht="15.75" customHeight="1">
      <c r="E119" s="3"/>
      <c r="F119" s="5"/>
      <c r="G119" s="5"/>
      <c r="H119" s="5"/>
      <c r="I119" s="5"/>
      <c r="K119" s="3"/>
    </row>
    <row r="120" ht="15.75" customHeight="1">
      <c r="E120" s="3"/>
      <c r="F120" s="5"/>
      <c r="G120" s="5"/>
      <c r="H120" s="5"/>
      <c r="I120" s="5"/>
      <c r="K120" s="3"/>
    </row>
    <row r="121" ht="15.75" customHeight="1">
      <c r="E121" s="3"/>
      <c r="F121" s="5"/>
      <c r="G121" s="5"/>
      <c r="H121" s="5"/>
      <c r="I121" s="5"/>
      <c r="K121" s="3"/>
    </row>
    <row r="122" ht="15.75" customHeight="1">
      <c r="E122" s="3"/>
      <c r="F122" s="5"/>
      <c r="G122" s="5"/>
      <c r="H122" s="5"/>
      <c r="I122" s="5"/>
      <c r="K122" s="3"/>
    </row>
    <row r="123" ht="15.75" customHeight="1">
      <c r="E123" s="3"/>
      <c r="F123" s="5"/>
      <c r="G123" s="5"/>
      <c r="H123" s="5"/>
      <c r="I123" s="5"/>
      <c r="K123" s="3"/>
    </row>
    <row r="124" ht="15.75" customHeight="1">
      <c r="E124" s="3"/>
      <c r="F124" s="5"/>
      <c r="G124" s="5"/>
      <c r="H124" s="5"/>
      <c r="I124" s="5"/>
      <c r="K124" s="3"/>
    </row>
    <row r="125" ht="15.75" customHeight="1">
      <c r="E125" s="3"/>
      <c r="F125" s="5"/>
      <c r="G125" s="5"/>
      <c r="H125" s="5"/>
      <c r="I125" s="5"/>
      <c r="K125" s="3"/>
    </row>
    <row r="126" ht="15.75" customHeight="1">
      <c r="E126" s="3"/>
      <c r="F126" s="5"/>
      <c r="G126" s="5"/>
      <c r="H126" s="5"/>
      <c r="I126" s="5"/>
      <c r="K126" s="3"/>
    </row>
    <row r="127" ht="15.75" customHeight="1">
      <c r="E127" s="3"/>
      <c r="F127" s="5"/>
      <c r="G127" s="5"/>
      <c r="H127" s="5"/>
      <c r="I127" s="5"/>
      <c r="K127" s="3"/>
    </row>
    <row r="128" ht="15.75" customHeight="1">
      <c r="E128" s="3"/>
      <c r="F128" s="5"/>
      <c r="G128" s="5"/>
      <c r="H128" s="5"/>
      <c r="I128" s="5"/>
      <c r="K128" s="3"/>
    </row>
    <row r="129" ht="15.75" customHeight="1">
      <c r="E129" s="3"/>
      <c r="F129" s="5"/>
      <c r="G129" s="5"/>
      <c r="H129" s="5"/>
      <c r="I129" s="5"/>
      <c r="K129" s="3"/>
    </row>
    <row r="130" ht="15.75" customHeight="1">
      <c r="E130" s="3"/>
      <c r="F130" s="5"/>
      <c r="G130" s="5"/>
      <c r="H130" s="5"/>
      <c r="I130" s="5"/>
      <c r="K130" s="3"/>
    </row>
    <row r="131" ht="15.75" customHeight="1">
      <c r="E131" s="3"/>
      <c r="F131" s="5"/>
      <c r="G131" s="5"/>
      <c r="H131" s="5"/>
      <c r="I131" s="5"/>
      <c r="K131" s="3"/>
    </row>
    <row r="132" ht="15.75" customHeight="1">
      <c r="E132" s="3"/>
      <c r="F132" s="5"/>
      <c r="G132" s="5"/>
      <c r="H132" s="5"/>
      <c r="I132" s="5"/>
      <c r="K132" s="3"/>
    </row>
    <row r="133" ht="15.75" customHeight="1">
      <c r="E133" s="3"/>
      <c r="F133" s="5"/>
      <c r="G133" s="5"/>
      <c r="H133" s="5"/>
      <c r="I133" s="5"/>
      <c r="K133" s="3"/>
    </row>
    <row r="134" ht="15.75" customHeight="1">
      <c r="E134" s="3"/>
      <c r="F134" s="5"/>
      <c r="G134" s="5"/>
      <c r="H134" s="5"/>
      <c r="I134" s="5"/>
      <c r="K134" s="3"/>
    </row>
    <row r="135" ht="15.75" customHeight="1">
      <c r="E135" s="3"/>
      <c r="F135" s="5"/>
      <c r="G135" s="5"/>
      <c r="H135" s="5"/>
      <c r="I135" s="5"/>
      <c r="K135" s="3"/>
    </row>
    <row r="136" ht="15.75" customHeight="1">
      <c r="E136" s="3"/>
      <c r="F136" s="5"/>
      <c r="G136" s="5"/>
      <c r="H136" s="5"/>
      <c r="I136" s="5"/>
      <c r="K136" s="3"/>
    </row>
    <row r="137" ht="15.75" customHeight="1">
      <c r="E137" s="3"/>
      <c r="F137" s="5"/>
      <c r="G137" s="5"/>
      <c r="H137" s="5"/>
      <c r="I137" s="5"/>
      <c r="K137" s="3"/>
    </row>
    <row r="138" ht="15.75" customHeight="1">
      <c r="E138" s="3"/>
      <c r="F138" s="5"/>
      <c r="G138" s="5"/>
      <c r="H138" s="5"/>
      <c r="I138" s="5"/>
      <c r="K138" s="3"/>
    </row>
    <row r="139" ht="15.75" customHeight="1">
      <c r="E139" s="3"/>
      <c r="F139" s="5"/>
      <c r="G139" s="5"/>
      <c r="H139" s="5"/>
      <c r="I139" s="5"/>
      <c r="K139" s="3"/>
    </row>
    <row r="140" ht="15.75" customHeight="1">
      <c r="E140" s="3"/>
      <c r="F140" s="5"/>
      <c r="G140" s="5"/>
      <c r="H140" s="5"/>
      <c r="I140" s="5"/>
      <c r="K140" s="3"/>
    </row>
    <row r="141" ht="15.75" customHeight="1">
      <c r="E141" s="3"/>
      <c r="F141" s="5"/>
      <c r="G141" s="5"/>
      <c r="H141" s="5"/>
      <c r="I141" s="5"/>
      <c r="K141" s="3"/>
    </row>
    <row r="142" ht="15.75" customHeight="1">
      <c r="E142" s="3"/>
      <c r="F142" s="5"/>
      <c r="G142" s="5"/>
      <c r="H142" s="5"/>
      <c r="I142" s="5"/>
      <c r="K142" s="3"/>
    </row>
    <row r="143" ht="15.75" customHeight="1">
      <c r="E143" s="3"/>
      <c r="F143" s="5"/>
      <c r="G143" s="5"/>
      <c r="H143" s="5"/>
      <c r="I143" s="5"/>
      <c r="K143" s="3"/>
    </row>
    <row r="144" ht="15.75" customHeight="1">
      <c r="E144" s="3"/>
      <c r="F144" s="5"/>
      <c r="G144" s="5"/>
      <c r="H144" s="5"/>
      <c r="I144" s="5"/>
      <c r="K144" s="3"/>
    </row>
    <row r="145" ht="15.75" customHeight="1">
      <c r="E145" s="3"/>
      <c r="F145" s="5"/>
      <c r="G145" s="5"/>
      <c r="H145" s="5"/>
      <c r="I145" s="5"/>
      <c r="K145" s="3"/>
    </row>
    <row r="146" ht="15.75" customHeight="1">
      <c r="E146" s="3"/>
      <c r="F146" s="5"/>
      <c r="G146" s="5"/>
      <c r="H146" s="5"/>
      <c r="I146" s="5"/>
      <c r="K146" s="3"/>
    </row>
    <row r="147" ht="15.75" customHeight="1">
      <c r="E147" s="3"/>
      <c r="F147" s="5"/>
      <c r="G147" s="5"/>
      <c r="H147" s="5"/>
      <c r="I147" s="5"/>
      <c r="K147" s="3"/>
    </row>
    <row r="148" ht="15.75" customHeight="1">
      <c r="E148" s="3"/>
      <c r="F148" s="5"/>
      <c r="G148" s="5"/>
      <c r="H148" s="5"/>
      <c r="I148" s="5"/>
      <c r="K148" s="3"/>
    </row>
    <row r="149" ht="15.75" customHeight="1">
      <c r="E149" s="3"/>
      <c r="F149" s="5"/>
      <c r="G149" s="5"/>
      <c r="H149" s="5"/>
      <c r="I149" s="5"/>
      <c r="K149" s="3"/>
    </row>
    <row r="150" ht="15.75" customHeight="1">
      <c r="E150" s="3"/>
      <c r="F150" s="5"/>
      <c r="G150" s="5"/>
      <c r="H150" s="5"/>
      <c r="I150" s="5"/>
      <c r="K150" s="3"/>
    </row>
    <row r="151" ht="15.75" customHeight="1">
      <c r="E151" s="3"/>
      <c r="F151" s="5"/>
      <c r="G151" s="5"/>
      <c r="H151" s="5"/>
      <c r="I151" s="5"/>
      <c r="K151" s="3"/>
    </row>
    <row r="152" ht="15.75" customHeight="1">
      <c r="E152" s="3"/>
      <c r="F152" s="5"/>
      <c r="G152" s="5"/>
      <c r="H152" s="5"/>
      <c r="I152" s="5"/>
      <c r="K152" s="3"/>
    </row>
    <row r="153" ht="15.75" customHeight="1">
      <c r="E153" s="3"/>
      <c r="F153" s="5"/>
      <c r="G153" s="5"/>
      <c r="H153" s="5"/>
      <c r="I153" s="5"/>
      <c r="K153" s="3"/>
    </row>
    <row r="154" ht="15.75" customHeight="1">
      <c r="E154" s="3"/>
      <c r="F154" s="5"/>
      <c r="G154" s="5"/>
      <c r="H154" s="5"/>
      <c r="I154" s="5"/>
      <c r="K154" s="3"/>
    </row>
    <row r="155" ht="15.75" customHeight="1">
      <c r="E155" s="3"/>
      <c r="F155" s="5"/>
      <c r="G155" s="5"/>
      <c r="H155" s="5"/>
      <c r="I155" s="5"/>
      <c r="K155" s="3"/>
    </row>
    <row r="156" ht="15.75" customHeight="1">
      <c r="E156" s="3"/>
      <c r="F156" s="5"/>
      <c r="G156" s="5"/>
      <c r="H156" s="5"/>
      <c r="I156" s="5"/>
      <c r="K156" s="3"/>
    </row>
    <row r="157" ht="15.75" customHeight="1">
      <c r="E157" s="3"/>
      <c r="F157" s="5"/>
      <c r="G157" s="5"/>
      <c r="H157" s="5"/>
      <c r="I157" s="5"/>
      <c r="K157" s="3"/>
    </row>
    <row r="158" ht="15.75" customHeight="1">
      <c r="E158" s="3"/>
      <c r="F158" s="5"/>
      <c r="G158" s="5"/>
      <c r="H158" s="5"/>
      <c r="I158" s="5"/>
      <c r="K158" s="3"/>
    </row>
    <row r="159" ht="15.75" customHeight="1">
      <c r="E159" s="3"/>
      <c r="F159" s="5"/>
      <c r="G159" s="5"/>
      <c r="H159" s="5"/>
      <c r="I159" s="5"/>
      <c r="K159" s="3"/>
    </row>
    <row r="160" ht="15.75" customHeight="1">
      <c r="E160" s="3"/>
      <c r="F160" s="5"/>
      <c r="G160" s="5"/>
      <c r="H160" s="5"/>
      <c r="I160" s="5"/>
      <c r="K160" s="3"/>
    </row>
    <row r="161" ht="15.75" customHeight="1">
      <c r="E161" s="3"/>
      <c r="F161" s="5"/>
      <c r="G161" s="5"/>
      <c r="H161" s="5"/>
      <c r="I161" s="5"/>
      <c r="K161" s="3"/>
    </row>
    <row r="162" ht="15.75" customHeight="1">
      <c r="E162" s="3"/>
      <c r="F162" s="5"/>
      <c r="G162" s="5"/>
      <c r="H162" s="5"/>
      <c r="I162" s="5"/>
      <c r="K162" s="3"/>
    </row>
    <row r="163" ht="15.75" customHeight="1">
      <c r="E163" s="3"/>
      <c r="F163" s="5"/>
      <c r="G163" s="5"/>
      <c r="H163" s="5"/>
      <c r="I163" s="5"/>
      <c r="K163" s="3"/>
    </row>
    <row r="164" ht="15.75" customHeight="1">
      <c r="E164" s="3"/>
      <c r="F164" s="5"/>
      <c r="G164" s="5"/>
      <c r="H164" s="5"/>
      <c r="I164" s="5"/>
      <c r="K164" s="3"/>
    </row>
    <row r="165" ht="15.75" customHeight="1">
      <c r="E165" s="3"/>
      <c r="F165" s="5"/>
      <c r="G165" s="5"/>
      <c r="H165" s="5"/>
      <c r="I165" s="5"/>
      <c r="K165" s="3"/>
    </row>
    <row r="166" ht="15.75" customHeight="1">
      <c r="E166" s="3"/>
      <c r="F166" s="5"/>
      <c r="G166" s="5"/>
      <c r="H166" s="5"/>
      <c r="I166" s="5"/>
      <c r="K166" s="3"/>
    </row>
    <row r="167" ht="15.75" customHeight="1">
      <c r="E167" s="3"/>
      <c r="F167" s="5"/>
      <c r="G167" s="5"/>
      <c r="H167" s="5"/>
      <c r="I167" s="5"/>
      <c r="K167" s="3"/>
    </row>
    <row r="168" ht="15.75" customHeight="1">
      <c r="E168" s="3"/>
      <c r="F168" s="5"/>
      <c r="G168" s="5"/>
      <c r="H168" s="5"/>
      <c r="I168" s="5"/>
      <c r="K168" s="3"/>
    </row>
    <row r="169" ht="15.75" customHeight="1">
      <c r="E169" s="3"/>
      <c r="F169" s="5"/>
      <c r="G169" s="5"/>
      <c r="H169" s="5"/>
      <c r="I169" s="5"/>
      <c r="K169" s="3"/>
    </row>
    <row r="170" ht="15.75" customHeight="1">
      <c r="E170" s="3"/>
      <c r="F170" s="5"/>
      <c r="G170" s="5"/>
      <c r="H170" s="5"/>
      <c r="I170" s="5"/>
      <c r="K170" s="3"/>
    </row>
    <row r="171" ht="15.75" customHeight="1">
      <c r="E171" s="3"/>
      <c r="F171" s="5"/>
      <c r="G171" s="5"/>
      <c r="H171" s="5"/>
      <c r="I171" s="5"/>
      <c r="K171" s="3"/>
    </row>
    <row r="172" ht="15.75" customHeight="1">
      <c r="E172" s="3"/>
      <c r="F172" s="5"/>
      <c r="G172" s="5"/>
      <c r="H172" s="5"/>
      <c r="I172" s="5"/>
      <c r="K172" s="3"/>
    </row>
    <row r="173" ht="15.75" customHeight="1">
      <c r="E173" s="3"/>
      <c r="F173" s="5"/>
      <c r="G173" s="5"/>
      <c r="H173" s="5"/>
      <c r="I173" s="5"/>
      <c r="K173" s="3"/>
    </row>
    <row r="174" ht="15.75" customHeight="1">
      <c r="E174" s="3"/>
      <c r="F174" s="5"/>
      <c r="G174" s="5"/>
      <c r="H174" s="5"/>
      <c r="I174" s="5"/>
      <c r="K174" s="3"/>
    </row>
    <row r="175" ht="15.75" customHeight="1">
      <c r="E175" s="3"/>
      <c r="F175" s="5"/>
      <c r="G175" s="5"/>
      <c r="H175" s="5"/>
      <c r="I175" s="5"/>
      <c r="K175" s="3"/>
    </row>
    <row r="176" ht="15.75" customHeight="1">
      <c r="E176" s="3"/>
      <c r="F176" s="5"/>
      <c r="G176" s="5"/>
      <c r="H176" s="5"/>
      <c r="I176" s="5"/>
      <c r="K176" s="3"/>
    </row>
    <row r="177" ht="15.75" customHeight="1">
      <c r="E177" s="3"/>
      <c r="F177" s="5"/>
      <c r="G177" s="5"/>
      <c r="H177" s="5"/>
      <c r="I177" s="5"/>
      <c r="K177" s="3"/>
    </row>
    <row r="178" ht="15.75" customHeight="1">
      <c r="E178" s="3"/>
      <c r="F178" s="5"/>
      <c r="G178" s="5"/>
      <c r="H178" s="5"/>
      <c r="I178" s="5"/>
      <c r="K178" s="3"/>
    </row>
    <row r="179" ht="15.75" customHeight="1">
      <c r="E179" s="3"/>
      <c r="F179" s="5"/>
      <c r="G179" s="5"/>
      <c r="H179" s="5"/>
      <c r="I179" s="5"/>
      <c r="K179" s="3"/>
    </row>
    <row r="180" ht="15.75" customHeight="1">
      <c r="E180" s="3"/>
      <c r="F180" s="5"/>
      <c r="G180" s="5"/>
      <c r="H180" s="5"/>
      <c r="I180" s="5"/>
      <c r="K180" s="3"/>
    </row>
    <row r="181" ht="15.75" customHeight="1">
      <c r="E181" s="3"/>
      <c r="F181" s="5"/>
      <c r="G181" s="5"/>
      <c r="H181" s="5"/>
      <c r="I181" s="5"/>
      <c r="K181" s="3"/>
    </row>
    <row r="182" ht="15.75" customHeight="1">
      <c r="E182" s="3"/>
      <c r="F182" s="5"/>
      <c r="G182" s="5"/>
      <c r="H182" s="5"/>
      <c r="I182" s="5"/>
      <c r="K182" s="3"/>
    </row>
    <row r="183" ht="15.75" customHeight="1">
      <c r="E183" s="3"/>
      <c r="F183" s="5"/>
      <c r="G183" s="5"/>
      <c r="H183" s="5"/>
      <c r="I183" s="5"/>
      <c r="K183" s="3"/>
    </row>
    <row r="184" ht="15.75" customHeight="1">
      <c r="E184" s="3"/>
      <c r="F184" s="5"/>
      <c r="G184" s="5"/>
      <c r="H184" s="5"/>
      <c r="I184" s="5"/>
      <c r="K184" s="3"/>
    </row>
    <row r="185" ht="15.75" customHeight="1">
      <c r="E185" s="3"/>
      <c r="F185" s="5"/>
      <c r="G185" s="5"/>
      <c r="H185" s="5"/>
      <c r="I185" s="5"/>
      <c r="K185" s="3"/>
    </row>
    <row r="186" ht="15.75" customHeight="1">
      <c r="E186" s="3"/>
      <c r="F186" s="5"/>
      <c r="G186" s="5"/>
      <c r="H186" s="5"/>
      <c r="I186" s="5"/>
      <c r="K186" s="3"/>
    </row>
    <row r="187" ht="15.75" customHeight="1">
      <c r="E187" s="3"/>
      <c r="F187" s="5"/>
      <c r="G187" s="5"/>
      <c r="H187" s="5"/>
      <c r="I187" s="5"/>
      <c r="K187" s="3"/>
    </row>
    <row r="188" ht="15.75" customHeight="1">
      <c r="E188" s="3"/>
      <c r="F188" s="5"/>
      <c r="G188" s="5"/>
      <c r="H188" s="5"/>
      <c r="I188" s="5"/>
      <c r="K188" s="3"/>
    </row>
    <row r="189" ht="15.75" customHeight="1">
      <c r="E189" s="3"/>
      <c r="F189" s="5"/>
      <c r="G189" s="5"/>
      <c r="H189" s="5"/>
      <c r="I189" s="5"/>
      <c r="K189" s="3"/>
    </row>
    <row r="190" ht="15.75" customHeight="1">
      <c r="E190" s="3"/>
      <c r="F190" s="5"/>
      <c r="G190" s="5"/>
      <c r="H190" s="5"/>
      <c r="I190" s="5"/>
      <c r="K190" s="3"/>
    </row>
    <row r="191" ht="15.75" customHeight="1">
      <c r="E191" s="3"/>
      <c r="F191" s="5"/>
      <c r="G191" s="5"/>
      <c r="H191" s="5"/>
      <c r="I191" s="5"/>
      <c r="K191" s="3"/>
    </row>
    <row r="192" ht="15.75" customHeight="1">
      <c r="E192" s="3"/>
      <c r="F192" s="5"/>
      <c r="G192" s="5"/>
      <c r="H192" s="5"/>
      <c r="I192" s="5"/>
      <c r="K192" s="3"/>
    </row>
    <row r="193" ht="15.75" customHeight="1">
      <c r="E193" s="3"/>
      <c r="F193" s="5"/>
      <c r="G193" s="5"/>
      <c r="H193" s="5"/>
      <c r="I193" s="5"/>
      <c r="K193" s="3"/>
    </row>
    <row r="194" ht="15.75" customHeight="1">
      <c r="E194" s="3"/>
      <c r="F194" s="5"/>
      <c r="G194" s="5"/>
      <c r="H194" s="5"/>
      <c r="I194" s="5"/>
      <c r="K194" s="3"/>
    </row>
    <row r="195" ht="15.75" customHeight="1">
      <c r="E195" s="3"/>
      <c r="F195" s="5"/>
      <c r="G195" s="5"/>
      <c r="H195" s="5"/>
      <c r="I195" s="5"/>
      <c r="K195" s="3"/>
    </row>
    <row r="196" ht="15.75" customHeight="1">
      <c r="E196" s="3"/>
      <c r="F196" s="5"/>
      <c r="G196" s="5"/>
      <c r="H196" s="5"/>
      <c r="I196" s="5"/>
      <c r="K196" s="3"/>
    </row>
    <row r="197" ht="15.75" customHeight="1">
      <c r="E197" s="3"/>
      <c r="F197" s="5"/>
      <c r="G197" s="5"/>
      <c r="H197" s="5"/>
      <c r="I197" s="5"/>
      <c r="K197" s="3"/>
    </row>
    <row r="198" ht="15.75" customHeight="1">
      <c r="E198" s="3"/>
      <c r="F198" s="5"/>
      <c r="G198" s="5"/>
      <c r="H198" s="5"/>
      <c r="I198" s="5"/>
      <c r="K198" s="3"/>
    </row>
    <row r="199" ht="15.75" customHeight="1">
      <c r="E199" s="3"/>
      <c r="F199" s="5"/>
      <c r="G199" s="5"/>
      <c r="H199" s="5"/>
      <c r="I199" s="5"/>
      <c r="K199" s="3"/>
    </row>
    <row r="200" ht="15.75" customHeight="1">
      <c r="E200" s="3"/>
      <c r="F200" s="5"/>
      <c r="G200" s="5"/>
      <c r="H200" s="5"/>
      <c r="I200" s="5"/>
      <c r="K200" s="3"/>
    </row>
    <row r="201" ht="15.75" customHeight="1">
      <c r="E201" s="3"/>
      <c r="F201" s="5"/>
      <c r="G201" s="5"/>
      <c r="H201" s="5"/>
      <c r="I201" s="5"/>
      <c r="K201" s="3"/>
    </row>
    <row r="202" ht="15.75" customHeight="1">
      <c r="E202" s="3"/>
      <c r="F202" s="5"/>
      <c r="G202" s="5"/>
      <c r="H202" s="5"/>
      <c r="I202" s="5"/>
      <c r="K202" s="3"/>
    </row>
    <row r="203" ht="15.75" customHeight="1">
      <c r="E203" s="3"/>
      <c r="F203" s="5"/>
      <c r="G203" s="5"/>
      <c r="H203" s="5"/>
      <c r="I203" s="5"/>
      <c r="K203" s="3"/>
    </row>
    <row r="204" ht="15.75" customHeight="1">
      <c r="E204" s="3"/>
      <c r="F204" s="5"/>
      <c r="G204" s="5"/>
      <c r="H204" s="5"/>
      <c r="I204" s="5"/>
      <c r="K204" s="3"/>
    </row>
    <row r="205" ht="15.75" customHeight="1">
      <c r="E205" s="3"/>
      <c r="F205" s="5"/>
      <c r="G205" s="5"/>
      <c r="H205" s="5"/>
      <c r="I205" s="5"/>
      <c r="K205" s="3"/>
    </row>
    <row r="206" ht="15.75" customHeight="1">
      <c r="E206" s="3"/>
      <c r="F206" s="5"/>
      <c r="G206" s="5"/>
      <c r="H206" s="5"/>
      <c r="I206" s="5"/>
      <c r="K206" s="3"/>
    </row>
    <row r="207" ht="15.75" customHeight="1">
      <c r="E207" s="3"/>
      <c r="F207" s="5"/>
      <c r="G207" s="5"/>
      <c r="H207" s="5"/>
      <c r="I207" s="5"/>
      <c r="K207" s="3"/>
    </row>
    <row r="208" ht="15.75" customHeight="1">
      <c r="E208" s="3"/>
      <c r="F208" s="5"/>
      <c r="G208" s="5"/>
      <c r="H208" s="5"/>
      <c r="I208" s="5"/>
      <c r="K208" s="3"/>
    </row>
    <row r="209" ht="15.75" customHeight="1">
      <c r="E209" s="3"/>
      <c r="F209" s="5"/>
      <c r="G209" s="5"/>
      <c r="H209" s="5"/>
      <c r="I209" s="5"/>
      <c r="K209" s="3"/>
    </row>
    <row r="210" ht="15.75" customHeight="1">
      <c r="E210" s="3"/>
      <c r="F210" s="5"/>
      <c r="G210" s="5"/>
      <c r="H210" s="5"/>
      <c r="I210" s="5"/>
      <c r="K210" s="3"/>
    </row>
    <row r="211" ht="15.75" customHeight="1">
      <c r="E211" s="3"/>
      <c r="F211" s="5"/>
      <c r="G211" s="5"/>
      <c r="H211" s="5"/>
      <c r="I211" s="5"/>
      <c r="K211" s="3"/>
    </row>
    <row r="212" ht="15.75" customHeight="1">
      <c r="E212" s="3"/>
      <c r="F212" s="5"/>
      <c r="G212" s="5"/>
      <c r="H212" s="5"/>
      <c r="I212" s="5"/>
      <c r="K212" s="3"/>
    </row>
    <row r="213" ht="15.75" customHeight="1">
      <c r="E213" s="3"/>
      <c r="F213" s="5"/>
      <c r="G213" s="5"/>
      <c r="H213" s="5"/>
      <c r="I213" s="5"/>
      <c r="K213" s="3"/>
    </row>
    <row r="214" ht="15.75" customHeight="1">
      <c r="E214" s="3"/>
      <c r="F214" s="5"/>
      <c r="G214" s="5"/>
      <c r="H214" s="5"/>
      <c r="I214" s="5"/>
      <c r="K214" s="3"/>
    </row>
    <row r="215" ht="15.75" customHeight="1">
      <c r="E215" s="3"/>
      <c r="F215" s="5"/>
      <c r="G215" s="5"/>
      <c r="H215" s="5"/>
      <c r="I215" s="5"/>
      <c r="K215" s="3"/>
    </row>
    <row r="216" ht="15.75" customHeight="1">
      <c r="E216" s="3"/>
      <c r="F216" s="5"/>
      <c r="G216" s="5"/>
      <c r="H216" s="5"/>
      <c r="I216" s="5"/>
      <c r="K216" s="3"/>
    </row>
    <row r="217" ht="15.75" customHeight="1">
      <c r="E217" s="3"/>
      <c r="F217" s="5"/>
      <c r="G217" s="5"/>
      <c r="H217" s="5"/>
      <c r="I217" s="5"/>
      <c r="K217" s="3"/>
    </row>
    <row r="218" ht="15.75" customHeight="1">
      <c r="E218" s="3"/>
      <c r="F218" s="5"/>
      <c r="G218" s="5"/>
      <c r="H218" s="5"/>
      <c r="I218" s="5"/>
      <c r="K218" s="3"/>
    </row>
    <row r="219" ht="15.75" customHeight="1">
      <c r="E219" s="3"/>
      <c r="F219" s="5"/>
      <c r="G219" s="5"/>
      <c r="H219" s="5"/>
      <c r="I219" s="5"/>
      <c r="K219" s="3"/>
    </row>
    <row r="220" ht="15.75" customHeight="1">
      <c r="E220" s="3"/>
      <c r="F220" s="5"/>
      <c r="G220" s="5"/>
      <c r="H220" s="5"/>
      <c r="I220" s="5"/>
      <c r="K220" s="3"/>
    </row>
    <row r="221" ht="15.75" customHeight="1">
      <c r="E221" s="3"/>
      <c r="F221" s="5"/>
      <c r="G221" s="5"/>
      <c r="H221" s="5"/>
      <c r="I221" s="5"/>
      <c r="K221" s="3"/>
    </row>
    <row r="222" ht="15.75" customHeight="1">
      <c r="E222" s="3"/>
      <c r="F222" s="5"/>
      <c r="G222" s="5"/>
      <c r="H222" s="5"/>
      <c r="I222" s="5"/>
      <c r="K222" s="3"/>
    </row>
    <row r="223" ht="15.75" customHeight="1">
      <c r="E223" s="3"/>
      <c r="F223" s="5"/>
      <c r="G223" s="5"/>
      <c r="H223" s="5"/>
      <c r="I223" s="5"/>
      <c r="K223" s="3"/>
    </row>
    <row r="224" ht="15.75" customHeight="1">
      <c r="E224" s="3"/>
      <c r="F224" s="5"/>
      <c r="G224" s="5"/>
      <c r="H224" s="5"/>
      <c r="I224" s="5"/>
      <c r="K224" s="3"/>
    </row>
    <row r="225" ht="15.75" customHeight="1">
      <c r="E225" s="3"/>
      <c r="F225" s="5"/>
      <c r="G225" s="5"/>
      <c r="H225" s="5"/>
      <c r="I225" s="5"/>
      <c r="K225" s="3"/>
    </row>
    <row r="226" ht="15.75" customHeight="1">
      <c r="E226" s="3"/>
      <c r="F226" s="5"/>
      <c r="G226" s="5"/>
      <c r="H226" s="5"/>
      <c r="I226" s="5"/>
      <c r="K226" s="3"/>
    </row>
    <row r="227" ht="15.75" customHeight="1">
      <c r="E227" s="3"/>
      <c r="F227" s="5"/>
      <c r="G227" s="5"/>
      <c r="H227" s="5"/>
      <c r="I227" s="5"/>
      <c r="K227" s="3"/>
    </row>
    <row r="228" ht="15.75" customHeight="1">
      <c r="E228" s="3"/>
      <c r="F228" s="5"/>
      <c r="G228" s="5"/>
      <c r="H228" s="5"/>
      <c r="I228" s="5"/>
      <c r="K228" s="3"/>
    </row>
    <row r="229" ht="15.75" customHeight="1">
      <c r="E229" s="3"/>
      <c r="F229" s="5"/>
      <c r="G229" s="5"/>
      <c r="H229" s="5"/>
      <c r="I229" s="5"/>
      <c r="K229" s="3"/>
    </row>
    <row r="230" ht="15.75" customHeight="1">
      <c r="E230" s="3"/>
      <c r="F230" s="5"/>
      <c r="G230" s="5"/>
      <c r="H230" s="5"/>
      <c r="I230" s="5"/>
      <c r="K230" s="3"/>
    </row>
    <row r="231" ht="15.75" customHeight="1">
      <c r="E231" s="3"/>
      <c r="F231" s="5"/>
      <c r="G231" s="5"/>
      <c r="H231" s="5"/>
      <c r="I231" s="5"/>
      <c r="K231" s="3"/>
    </row>
    <row r="232" ht="15.75" customHeight="1">
      <c r="E232" s="3"/>
      <c r="F232" s="5"/>
      <c r="G232" s="5"/>
      <c r="H232" s="5"/>
      <c r="I232" s="5"/>
      <c r="K232" s="3"/>
    </row>
    <row r="233" ht="15.75" customHeight="1">
      <c r="E233" s="3"/>
      <c r="F233" s="5"/>
      <c r="G233" s="5"/>
      <c r="H233" s="5"/>
      <c r="I233" s="5"/>
      <c r="K233" s="3"/>
    </row>
    <row r="234" ht="15.75" customHeight="1">
      <c r="E234" s="3"/>
      <c r="F234" s="5"/>
      <c r="G234" s="5"/>
      <c r="H234" s="5"/>
      <c r="I234" s="5"/>
      <c r="K234" s="3"/>
    </row>
    <row r="235" ht="15.75" customHeight="1">
      <c r="E235" s="3"/>
      <c r="F235" s="5"/>
      <c r="G235" s="5"/>
      <c r="H235" s="5"/>
      <c r="I235" s="5"/>
      <c r="K235" s="3"/>
    </row>
    <row r="236" ht="15.75" customHeight="1">
      <c r="E236" s="3"/>
      <c r="F236" s="5"/>
      <c r="G236" s="5"/>
      <c r="H236" s="5"/>
      <c r="I236" s="5"/>
      <c r="K236" s="3"/>
    </row>
    <row r="237" ht="15.75" customHeight="1">
      <c r="E237" s="3"/>
      <c r="F237" s="5"/>
      <c r="G237" s="5"/>
      <c r="H237" s="5"/>
      <c r="I237" s="5"/>
      <c r="K237" s="3"/>
    </row>
    <row r="238" ht="15.75" customHeight="1">
      <c r="E238" s="3"/>
      <c r="F238" s="5"/>
      <c r="G238" s="5"/>
      <c r="H238" s="5"/>
      <c r="I238" s="5"/>
      <c r="K238" s="3"/>
    </row>
    <row r="239" ht="15.75" customHeight="1">
      <c r="E239" s="3"/>
      <c r="F239" s="5"/>
      <c r="G239" s="5"/>
      <c r="H239" s="5"/>
      <c r="I239" s="5"/>
      <c r="K239" s="3"/>
    </row>
    <row r="240" ht="15.75" customHeight="1">
      <c r="E240" s="3"/>
      <c r="F240" s="5"/>
      <c r="G240" s="5"/>
      <c r="H240" s="5"/>
      <c r="I240" s="5"/>
      <c r="K240" s="3"/>
    </row>
    <row r="241" ht="15.75" customHeight="1">
      <c r="E241" s="3"/>
      <c r="F241" s="5"/>
      <c r="G241" s="5"/>
      <c r="H241" s="5"/>
      <c r="I241" s="5"/>
      <c r="K241" s="3"/>
    </row>
    <row r="242" ht="15.75" customHeight="1">
      <c r="E242" s="3"/>
      <c r="F242" s="5"/>
      <c r="G242" s="5"/>
      <c r="H242" s="5"/>
      <c r="I242" s="5"/>
      <c r="K242" s="3"/>
    </row>
    <row r="243" ht="15.75" customHeight="1">
      <c r="E243" s="3"/>
      <c r="F243" s="5"/>
      <c r="G243" s="5"/>
      <c r="H243" s="5"/>
      <c r="I243" s="5"/>
      <c r="K243" s="3"/>
    </row>
    <row r="244" ht="15.75" customHeight="1">
      <c r="E244" s="3"/>
      <c r="F244" s="5"/>
      <c r="G244" s="5"/>
      <c r="H244" s="5"/>
      <c r="I244" s="5"/>
      <c r="K244" s="3"/>
    </row>
    <row r="245" ht="15.75" customHeight="1">
      <c r="E245" s="3"/>
      <c r="F245" s="5"/>
      <c r="G245" s="5"/>
      <c r="H245" s="5"/>
      <c r="I245" s="5"/>
      <c r="K245" s="3"/>
    </row>
    <row r="246" ht="15.75" customHeight="1">
      <c r="E246" s="3"/>
      <c r="F246" s="5"/>
      <c r="G246" s="5"/>
      <c r="H246" s="5"/>
      <c r="I246" s="5"/>
      <c r="K246" s="3"/>
    </row>
    <row r="247" ht="15.75" customHeight="1">
      <c r="E247" s="3"/>
      <c r="F247" s="5"/>
      <c r="G247" s="5"/>
      <c r="H247" s="5"/>
      <c r="I247" s="5"/>
      <c r="K247" s="3"/>
    </row>
    <row r="248" ht="15.75" customHeight="1">
      <c r="E248" s="3"/>
      <c r="F248" s="5"/>
      <c r="G248" s="5"/>
      <c r="H248" s="5"/>
      <c r="I248" s="5"/>
      <c r="K248" s="3"/>
    </row>
    <row r="249" ht="15.75" customHeight="1">
      <c r="E249" s="3"/>
      <c r="F249" s="5"/>
      <c r="G249" s="5"/>
      <c r="H249" s="5"/>
      <c r="I249" s="5"/>
      <c r="K249" s="3"/>
    </row>
    <row r="250" ht="15.75" customHeight="1">
      <c r="E250" s="3"/>
      <c r="F250" s="5"/>
      <c r="G250" s="5"/>
      <c r="H250" s="5"/>
      <c r="I250" s="5"/>
      <c r="K250" s="3"/>
    </row>
    <row r="251" ht="15.75" customHeight="1">
      <c r="E251" s="3"/>
      <c r="F251" s="5"/>
      <c r="G251" s="5"/>
      <c r="H251" s="5"/>
      <c r="I251" s="5"/>
      <c r="K251" s="3"/>
    </row>
    <row r="252" ht="15.75" customHeight="1">
      <c r="E252" s="3"/>
      <c r="F252" s="5"/>
      <c r="G252" s="5"/>
      <c r="H252" s="5"/>
      <c r="I252" s="5"/>
      <c r="K252" s="3"/>
    </row>
    <row r="253" ht="15.75" customHeight="1">
      <c r="E253" s="3"/>
      <c r="F253" s="5"/>
      <c r="G253" s="5"/>
      <c r="H253" s="5"/>
      <c r="I253" s="5"/>
      <c r="K253" s="3"/>
    </row>
    <row r="254" ht="15.75" customHeight="1">
      <c r="E254" s="3"/>
      <c r="F254" s="5"/>
      <c r="G254" s="5"/>
      <c r="H254" s="5"/>
      <c r="I254" s="5"/>
      <c r="K254" s="3"/>
    </row>
    <row r="255" ht="15.75" customHeight="1">
      <c r="E255" s="3"/>
      <c r="F255" s="5"/>
      <c r="G255" s="5"/>
      <c r="H255" s="5"/>
      <c r="I255" s="5"/>
      <c r="K255" s="3"/>
    </row>
    <row r="256" ht="15.75" customHeight="1">
      <c r="E256" s="3"/>
      <c r="F256" s="5"/>
      <c r="G256" s="5"/>
      <c r="H256" s="5"/>
      <c r="I256" s="5"/>
      <c r="K256" s="3"/>
    </row>
    <row r="257" ht="15.75" customHeight="1">
      <c r="E257" s="3"/>
      <c r="F257" s="5"/>
      <c r="G257" s="5"/>
      <c r="H257" s="5"/>
      <c r="I257" s="5"/>
      <c r="K257" s="3"/>
    </row>
    <row r="258" ht="15.75" customHeight="1">
      <c r="E258" s="3"/>
      <c r="F258" s="5"/>
      <c r="G258" s="5"/>
      <c r="H258" s="5"/>
      <c r="I258" s="5"/>
      <c r="K258" s="3"/>
    </row>
    <row r="259" ht="15.75" customHeight="1">
      <c r="E259" s="3"/>
      <c r="F259" s="5"/>
      <c r="G259" s="5"/>
      <c r="H259" s="5"/>
      <c r="I259" s="5"/>
      <c r="K259" s="3"/>
    </row>
    <row r="260" ht="15.75" customHeight="1">
      <c r="E260" s="3"/>
      <c r="F260" s="5"/>
      <c r="G260" s="5"/>
      <c r="H260" s="5"/>
      <c r="I260" s="5"/>
      <c r="K260" s="3"/>
    </row>
    <row r="261" ht="15.75" customHeight="1">
      <c r="E261" s="3"/>
      <c r="F261" s="5"/>
      <c r="G261" s="5"/>
      <c r="H261" s="5"/>
      <c r="I261" s="5"/>
      <c r="K261" s="3"/>
    </row>
    <row r="262" ht="15.75" customHeight="1">
      <c r="E262" s="3"/>
      <c r="F262" s="5"/>
      <c r="G262" s="5"/>
      <c r="H262" s="5"/>
      <c r="I262" s="5"/>
      <c r="K262" s="3"/>
    </row>
    <row r="263" ht="15.75" customHeight="1">
      <c r="E263" s="3"/>
      <c r="F263" s="5"/>
      <c r="G263" s="5"/>
      <c r="H263" s="5"/>
      <c r="I263" s="5"/>
      <c r="K263" s="3"/>
    </row>
    <row r="264" ht="15.75" customHeight="1">
      <c r="E264" s="3"/>
      <c r="F264" s="5"/>
      <c r="G264" s="5"/>
      <c r="H264" s="5"/>
      <c r="I264" s="5"/>
      <c r="K264" s="3"/>
    </row>
    <row r="265" ht="15.75" customHeight="1">
      <c r="E265" s="3"/>
      <c r="F265" s="5"/>
      <c r="G265" s="5"/>
      <c r="H265" s="5"/>
      <c r="I265" s="5"/>
      <c r="K265" s="3"/>
    </row>
    <row r="266" ht="15.75" customHeight="1">
      <c r="E266" s="3"/>
      <c r="F266" s="5"/>
      <c r="G266" s="5"/>
      <c r="H266" s="5"/>
      <c r="I266" s="5"/>
      <c r="K266" s="3"/>
    </row>
    <row r="267" ht="15.75" customHeight="1">
      <c r="E267" s="3"/>
      <c r="F267" s="5"/>
      <c r="G267" s="5"/>
      <c r="H267" s="5"/>
      <c r="I267" s="5"/>
      <c r="K267" s="3"/>
    </row>
    <row r="268" ht="15.75" customHeight="1">
      <c r="E268" s="3"/>
      <c r="F268" s="5"/>
      <c r="G268" s="5"/>
      <c r="H268" s="5"/>
      <c r="I268" s="5"/>
      <c r="K268" s="3"/>
    </row>
    <row r="269" ht="15.75" customHeight="1">
      <c r="E269" s="3"/>
      <c r="F269" s="5"/>
      <c r="G269" s="5"/>
      <c r="H269" s="5"/>
      <c r="I269" s="5"/>
      <c r="K269" s="3"/>
    </row>
    <row r="270" ht="15.75" customHeight="1">
      <c r="E270" s="3"/>
      <c r="F270" s="5"/>
      <c r="G270" s="5"/>
      <c r="H270" s="5"/>
      <c r="I270" s="5"/>
      <c r="K270" s="3"/>
    </row>
    <row r="271" ht="15.75" customHeight="1">
      <c r="E271" s="3"/>
      <c r="F271" s="5"/>
      <c r="G271" s="5"/>
      <c r="H271" s="5"/>
      <c r="I271" s="5"/>
      <c r="K271" s="3"/>
    </row>
    <row r="272" ht="15.75" customHeight="1">
      <c r="E272" s="3"/>
      <c r="F272" s="5"/>
      <c r="G272" s="5"/>
      <c r="H272" s="5"/>
      <c r="I272" s="5"/>
      <c r="K272" s="3"/>
    </row>
    <row r="273" ht="15.75" customHeight="1">
      <c r="E273" s="3"/>
      <c r="F273" s="5"/>
      <c r="G273" s="5"/>
      <c r="H273" s="5"/>
      <c r="I273" s="5"/>
      <c r="K273" s="3"/>
    </row>
    <row r="274" ht="15.75" customHeight="1">
      <c r="E274" s="3"/>
      <c r="F274" s="5"/>
      <c r="G274" s="5"/>
      <c r="H274" s="5"/>
      <c r="I274" s="5"/>
      <c r="K274" s="3"/>
    </row>
    <row r="275" ht="15.75" customHeight="1">
      <c r="E275" s="3"/>
      <c r="F275" s="5"/>
      <c r="G275" s="5"/>
      <c r="H275" s="5"/>
      <c r="I275" s="5"/>
      <c r="K275" s="3"/>
    </row>
    <row r="276" ht="15.75" customHeight="1">
      <c r="E276" s="3"/>
      <c r="F276" s="5"/>
      <c r="G276" s="5"/>
      <c r="H276" s="5"/>
      <c r="I276" s="5"/>
      <c r="K276" s="3"/>
    </row>
    <row r="277" ht="15.75" customHeight="1">
      <c r="E277" s="3"/>
      <c r="F277" s="5"/>
      <c r="G277" s="5"/>
      <c r="H277" s="5"/>
      <c r="I277" s="5"/>
      <c r="K277" s="3"/>
    </row>
    <row r="278" ht="15.75" customHeight="1">
      <c r="E278" s="3"/>
      <c r="F278" s="5"/>
      <c r="G278" s="5"/>
      <c r="H278" s="5"/>
      <c r="I278" s="5"/>
      <c r="K278" s="3"/>
    </row>
    <row r="279" ht="15.75" customHeight="1">
      <c r="E279" s="3"/>
      <c r="F279" s="5"/>
      <c r="G279" s="5"/>
      <c r="H279" s="5"/>
      <c r="I279" s="5"/>
      <c r="K279" s="3"/>
    </row>
    <row r="280" ht="15.75" customHeight="1">
      <c r="E280" s="3"/>
      <c r="F280" s="5"/>
      <c r="G280" s="5"/>
      <c r="H280" s="5"/>
      <c r="I280" s="5"/>
      <c r="K280" s="3"/>
    </row>
    <row r="281" ht="15.75" customHeight="1">
      <c r="E281" s="3"/>
      <c r="F281" s="5"/>
      <c r="G281" s="5"/>
      <c r="H281" s="5"/>
      <c r="I281" s="5"/>
      <c r="K281" s="3"/>
    </row>
    <row r="282" ht="15.75" customHeight="1">
      <c r="E282" s="3"/>
      <c r="F282" s="5"/>
      <c r="G282" s="5"/>
      <c r="H282" s="5"/>
      <c r="I282" s="5"/>
      <c r="K282" s="3"/>
    </row>
    <row r="283" ht="15.75" customHeight="1">
      <c r="E283" s="3"/>
      <c r="F283" s="5"/>
      <c r="G283" s="5"/>
      <c r="H283" s="5"/>
      <c r="I283" s="5"/>
      <c r="K283" s="3"/>
    </row>
    <row r="284" ht="15.75" customHeight="1">
      <c r="E284" s="3"/>
      <c r="F284" s="5"/>
      <c r="G284" s="5"/>
      <c r="H284" s="5"/>
      <c r="I284" s="5"/>
      <c r="K284" s="3"/>
    </row>
    <row r="285" ht="15.75" customHeight="1">
      <c r="E285" s="3"/>
      <c r="F285" s="5"/>
      <c r="G285" s="5"/>
      <c r="H285" s="5"/>
      <c r="I285" s="5"/>
      <c r="K285" s="3"/>
    </row>
    <row r="286" ht="15.75" customHeight="1">
      <c r="E286" s="3"/>
      <c r="F286" s="5"/>
      <c r="G286" s="5"/>
      <c r="H286" s="5"/>
      <c r="I286" s="5"/>
      <c r="K286" s="3"/>
    </row>
    <row r="287" ht="15.75" customHeight="1">
      <c r="E287" s="3"/>
      <c r="F287" s="5"/>
      <c r="G287" s="5"/>
      <c r="H287" s="5"/>
      <c r="I287" s="5"/>
      <c r="K287" s="3"/>
    </row>
    <row r="288" ht="15.75" customHeight="1">
      <c r="E288" s="3"/>
      <c r="F288" s="5"/>
      <c r="G288" s="5"/>
      <c r="H288" s="5"/>
      <c r="I288" s="5"/>
      <c r="K288" s="3"/>
    </row>
    <row r="289" ht="15.75" customHeight="1">
      <c r="E289" s="3"/>
      <c r="F289" s="5"/>
      <c r="G289" s="5"/>
      <c r="H289" s="5"/>
      <c r="I289" s="5"/>
      <c r="K289" s="3"/>
    </row>
    <row r="290" ht="15.75" customHeight="1">
      <c r="E290" s="3"/>
      <c r="F290" s="5"/>
      <c r="G290" s="5"/>
      <c r="H290" s="5"/>
      <c r="I290" s="5"/>
      <c r="K290" s="3"/>
    </row>
    <row r="291" ht="15.75" customHeight="1">
      <c r="E291" s="3"/>
      <c r="F291" s="5"/>
      <c r="G291" s="5"/>
      <c r="H291" s="5"/>
      <c r="I291" s="5"/>
      <c r="K291" s="3"/>
    </row>
    <row r="292" ht="15.75" customHeight="1">
      <c r="E292" s="3"/>
      <c r="F292" s="5"/>
      <c r="G292" s="5"/>
      <c r="H292" s="5"/>
      <c r="I292" s="5"/>
      <c r="K292" s="3"/>
    </row>
    <row r="293" ht="15.75" customHeight="1">
      <c r="E293" s="3"/>
      <c r="F293" s="5"/>
      <c r="G293" s="5"/>
      <c r="H293" s="5"/>
      <c r="I293" s="5"/>
      <c r="K293" s="3"/>
    </row>
    <row r="294" ht="15.75" customHeight="1">
      <c r="E294" s="3"/>
      <c r="F294" s="5"/>
      <c r="G294" s="5"/>
      <c r="H294" s="5"/>
      <c r="I294" s="5"/>
      <c r="K294" s="3"/>
    </row>
    <row r="295" ht="15.75" customHeight="1">
      <c r="E295" s="3"/>
      <c r="F295" s="5"/>
      <c r="G295" s="5"/>
      <c r="H295" s="5"/>
      <c r="I295" s="5"/>
      <c r="K295" s="3"/>
    </row>
    <row r="296" ht="15.75" customHeight="1">
      <c r="E296" s="3"/>
      <c r="F296" s="5"/>
      <c r="G296" s="5"/>
      <c r="H296" s="5"/>
      <c r="I296" s="5"/>
      <c r="K296" s="3"/>
    </row>
    <row r="297" ht="15.75" customHeight="1">
      <c r="E297" s="3"/>
      <c r="F297" s="5"/>
      <c r="G297" s="5"/>
      <c r="H297" s="5"/>
      <c r="I297" s="5"/>
      <c r="K297" s="3"/>
    </row>
    <row r="298" ht="15.75" customHeight="1">
      <c r="E298" s="3"/>
      <c r="F298" s="5"/>
      <c r="G298" s="5"/>
      <c r="H298" s="5"/>
      <c r="I298" s="5"/>
      <c r="K298" s="3"/>
    </row>
    <row r="299" ht="15.75" customHeight="1">
      <c r="E299" s="3"/>
      <c r="F299" s="5"/>
      <c r="G299" s="5"/>
      <c r="H299" s="5"/>
      <c r="I299" s="5"/>
      <c r="K299" s="3"/>
    </row>
    <row r="300" ht="15.75" customHeight="1">
      <c r="E300" s="3"/>
      <c r="F300" s="5"/>
      <c r="G300" s="5"/>
      <c r="H300" s="5"/>
      <c r="I300" s="5"/>
      <c r="K300" s="3"/>
    </row>
    <row r="301" ht="15.75" customHeight="1">
      <c r="E301" s="3"/>
      <c r="F301" s="5"/>
      <c r="G301" s="5"/>
      <c r="H301" s="5"/>
      <c r="I301" s="5"/>
      <c r="K301" s="3"/>
    </row>
    <row r="302" ht="15.75" customHeight="1">
      <c r="E302" s="3"/>
      <c r="F302" s="5"/>
      <c r="G302" s="5"/>
      <c r="H302" s="5"/>
      <c r="I302" s="5"/>
      <c r="K302" s="3"/>
    </row>
    <row r="303" ht="15.75" customHeight="1">
      <c r="E303" s="3"/>
      <c r="F303" s="5"/>
      <c r="G303" s="5"/>
      <c r="H303" s="5"/>
      <c r="I303" s="5"/>
      <c r="K303" s="3"/>
    </row>
    <row r="304" ht="15.75" customHeight="1">
      <c r="E304" s="3"/>
      <c r="F304" s="5"/>
      <c r="G304" s="5"/>
      <c r="H304" s="5"/>
      <c r="I304" s="5"/>
      <c r="K304" s="3"/>
    </row>
    <row r="305" ht="15.75" customHeight="1">
      <c r="E305" s="3"/>
      <c r="F305" s="5"/>
      <c r="G305" s="5"/>
      <c r="H305" s="5"/>
      <c r="I305" s="5"/>
      <c r="K305" s="3"/>
    </row>
    <row r="306" ht="15.75" customHeight="1">
      <c r="E306" s="3"/>
      <c r="F306" s="5"/>
      <c r="G306" s="5"/>
      <c r="H306" s="5"/>
      <c r="I306" s="5"/>
      <c r="K306" s="3"/>
    </row>
    <row r="307" ht="15.75" customHeight="1">
      <c r="E307" s="3"/>
      <c r="F307" s="5"/>
      <c r="G307" s="5"/>
      <c r="H307" s="5"/>
      <c r="I307" s="5"/>
      <c r="K307" s="3"/>
    </row>
    <row r="308" ht="15.75" customHeight="1">
      <c r="E308" s="3"/>
      <c r="F308" s="5"/>
      <c r="G308" s="5"/>
      <c r="H308" s="5"/>
      <c r="I308" s="5"/>
      <c r="K308" s="3"/>
    </row>
    <row r="309" ht="15.75" customHeight="1">
      <c r="E309" s="3"/>
      <c r="F309" s="5"/>
      <c r="G309" s="5"/>
      <c r="H309" s="5"/>
      <c r="I309" s="5"/>
      <c r="K309" s="3"/>
    </row>
    <row r="310" ht="15.75" customHeight="1">
      <c r="E310" s="3"/>
      <c r="F310" s="5"/>
      <c r="G310" s="5"/>
      <c r="H310" s="5"/>
      <c r="I310" s="5"/>
      <c r="K310" s="3"/>
    </row>
    <row r="311" ht="15.75" customHeight="1">
      <c r="E311" s="3"/>
      <c r="F311" s="5"/>
      <c r="G311" s="5"/>
      <c r="H311" s="5"/>
      <c r="I311" s="5"/>
      <c r="K311" s="3"/>
    </row>
    <row r="312" ht="15.75" customHeight="1">
      <c r="E312" s="3"/>
      <c r="F312" s="5"/>
      <c r="G312" s="5"/>
      <c r="H312" s="5"/>
      <c r="I312" s="5"/>
      <c r="K312" s="3"/>
    </row>
    <row r="313" ht="15.75" customHeight="1">
      <c r="E313" s="3"/>
      <c r="F313" s="5"/>
      <c r="G313" s="5"/>
      <c r="H313" s="5"/>
      <c r="I313" s="5"/>
      <c r="K313" s="3"/>
    </row>
    <row r="314" ht="15.75" customHeight="1">
      <c r="E314" s="3"/>
      <c r="F314" s="5"/>
      <c r="G314" s="5"/>
      <c r="H314" s="5"/>
      <c r="I314" s="5"/>
      <c r="K314" s="3"/>
    </row>
    <row r="315" ht="15.75" customHeight="1">
      <c r="E315" s="3"/>
      <c r="F315" s="5"/>
      <c r="G315" s="5"/>
      <c r="H315" s="5"/>
      <c r="I315" s="5"/>
      <c r="K315" s="3"/>
    </row>
    <row r="316" ht="15.75" customHeight="1">
      <c r="E316" s="3"/>
      <c r="F316" s="5"/>
      <c r="G316" s="5"/>
      <c r="H316" s="5"/>
      <c r="I316" s="5"/>
      <c r="K316" s="3"/>
    </row>
    <row r="317" ht="15.75" customHeight="1">
      <c r="E317" s="3"/>
      <c r="F317" s="5"/>
      <c r="G317" s="5"/>
      <c r="H317" s="5"/>
      <c r="I317" s="5"/>
      <c r="K317" s="3"/>
    </row>
    <row r="318" ht="15.75" customHeight="1">
      <c r="E318" s="3"/>
      <c r="F318" s="5"/>
      <c r="G318" s="5"/>
      <c r="H318" s="5"/>
      <c r="I318" s="5"/>
      <c r="K318" s="3"/>
    </row>
    <row r="319" ht="15.75" customHeight="1">
      <c r="E319" s="3"/>
      <c r="F319" s="5"/>
      <c r="G319" s="5"/>
      <c r="H319" s="5"/>
      <c r="I319" s="5"/>
      <c r="K319" s="3"/>
    </row>
    <row r="320" ht="15.75" customHeight="1">
      <c r="E320" s="3"/>
      <c r="F320" s="5"/>
      <c r="G320" s="5"/>
      <c r="H320" s="5"/>
      <c r="I320" s="5"/>
      <c r="K320" s="3"/>
    </row>
    <row r="321" ht="15.75" customHeight="1">
      <c r="E321" s="3"/>
      <c r="F321" s="5"/>
      <c r="G321" s="5"/>
      <c r="H321" s="5"/>
      <c r="I321" s="5"/>
      <c r="K321" s="3"/>
    </row>
    <row r="322" ht="15.75" customHeight="1">
      <c r="E322" s="3"/>
      <c r="F322" s="5"/>
      <c r="G322" s="5"/>
      <c r="H322" s="5"/>
      <c r="I322" s="5"/>
      <c r="K322" s="3"/>
    </row>
    <row r="323" ht="15.75" customHeight="1">
      <c r="E323" s="3"/>
      <c r="F323" s="5"/>
      <c r="G323" s="5"/>
      <c r="H323" s="5"/>
      <c r="I323" s="5"/>
      <c r="K323" s="3"/>
    </row>
    <row r="324" ht="15.75" customHeight="1">
      <c r="E324" s="3"/>
      <c r="F324" s="5"/>
      <c r="G324" s="5"/>
      <c r="H324" s="5"/>
      <c r="I324" s="5"/>
      <c r="K324" s="3"/>
    </row>
    <row r="325" ht="15.75" customHeight="1">
      <c r="E325" s="3"/>
      <c r="F325" s="5"/>
      <c r="G325" s="5"/>
      <c r="H325" s="5"/>
      <c r="I325" s="5"/>
      <c r="K325" s="3"/>
    </row>
    <row r="326" ht="15.75" customHeight="1">
      <c r="E326" s="3"/>
      <c r="F326" s="5"/>
      <c r="G326" s="5"/>
      <c r="H326" s="5"/>
      <c r="I326" s="5"/>
      <c r="K326" s="3"/>
    </row>
    <row r="327" ht="15.75" customHeight="1">
      <c r="E327" s="3"/>
      <c r="F327" s="5"/>
      <c r="G327" s="5"/>
      <c r="H327" s="5"/>
      <c r="I327" s="5"/>
      <c r="K327" s="3"/>
    </row>
    <row r="328" ht="15.75" customHeight="1">
      <c r="E328" s="3"/>
      <c r="F328" s="5"/>
      <c r="G328" s="5"/>
      <c r="H328" s="5"/>
      <c r="I328" s="5"/>
      <c r="K328" s="3"/>
    </row>
    <row r="329" ht="15.75" customHeight="1">
      <c r="E329" s="3"/>
      <c r="F329" s="5"/>
      <c r="G329" s="5"/>
      <c r="H329" s="5"/>
      <c r="I329" s="5"/>
      <c r="K329" s="3"/>
    </row>
    <row r="330" ht="15.75" customHeight="1">
      <c r="E330" s="3"/>
      <c r="F330" s="5"/>
      <c r="G330" s="5"/>
      <c r="H330" s="5"/>
      <c r="I330" s="5"/>
      <c r="K330" s="3"/>
    </row>
    <row r="331" ht="15.75" customHeight="1">
      <c r="E331" s="3"/>
      <c r="F331" s="5"/>
      <c r="G331" s="5"/>
      <c r="H331" s="5"/>
      <c r="I331" s="5"/>
      <c r="K331" s="3"/>
    </row>
    <row r="332" ht="15.75" customHeight="1">
      <c r="E332" s="3"/>
      <c r="F332" s="5"/>
      <c r="G332" s="5"/>
      <c r="H332" s="5"/>
      <c r="I332" s="5"/>
      <c r="K332" s="3"/>
    </row>
    <row r="333" ht="15.75" customHeight="1">
      <c r="E333" s="3"/>
      <c r="F333" s="5"/>
      <c r="G333" s="5"/>
      <c r="H333" s="5"/>
      <c r="I333" s="5"/>
      <c r="K333" s="3"/>
    </row>
    <row r="334" ht="15.75" customHeight="1">
      <c r="E334" s="3"/>
      <c r="F334" s="5"/>
      <c r="G334" s="5"/>
      <c r="H334" s="5"/>
      <c r="I334" s="5"/>
      <c r="K334" s="3"/>
    </row>
    <row r="335" ht="15.75" customHeight="1">
      <c r="E335" s="3"/>
      <c r="F335" s="5"/>
      <c r="G335" s="5"/>
      <c r="H335" s="5"/>
      <c r="I335" s="5"/>
      <c r="K335" s="3"/>
    </row>
    <row r="336" ht="15.75" customHeight="1">
      <c r="E336" s="3"/>
      <c r="F336" s="5"/>
      <c r="G336" s="5"/>
      <c r="H336" s="5"/>
      <c r="I336" s="5"/>
      <c r="K336" s="3"/>
    </row>
    <row r="337" ht="15.75" customHeight="1">
      <c r="E337" s="3"/>
      <c r="F337" s="5"/>
      <c r="G337" s="5"/>
      <c r="H337" s="5"/>
      <c r="I337" s="5"/>
      <c r="K337" s="3"/>
    </row>
    <row r="338" ht="15.75" customHeight="1">
      <c r="E338" s="3"/>
      <c r="F338" s="5"/>
      <c r="G338" s="5"/>
      <c r="H338" s="5"/>
      <c r="I338" s="5"/>
      <c r="K338" s="3"/>
    </row>
    <row r="339" ht="15.75" customHeight="1">
      <c r="E339" s="3"/>
      <c r="F339" s="5"/>
      <c r="G339" s="5"/>
      <c r="H339" s="5"/>
      <c r="I339" s="5"/>
      <c r="K339" s="3"/>
    </row>
    <row r="340" ht="15.75" customHeight="1">
      <c r="E340" s="3"/>
      <c r="F340" s="5"/>
      <c r="G340" s="5"/>
      <c r="H340" s="5"/>
      <c r="I340" s="5"/>
      <c r="K340" s="3"/>
    </row>
    <row r="341" ht="15.75" customHeight="1">
      <c r="E341" s="3"/>
      <c r="F341" s="5"/>
      <c r="G341" s="5"/>
      <c r="H341" s="5"/>
      <c r="I341" s="5"/>
      <c r="K341" s="3"/>
    </row>
    <row r="342" ht="15.75" customHeight="1">
      <c r="E342" s="3"/>
      <c r="F342" s="5"/>
      <c r="G342" s="5"/>
      <c r="H342" s="5"/>
      <c r="I342" s="5"/>
      <c r="K342" s="3"/>
    </row>
    <row r="343" ht="15.75" customHeight="1">
      <c r="E343" s="3"/>
      <c r="F343" s="5"/>
      <c r="G343" s="5"/>
      <c r="H343" s="5"/>
      <c r="I343" s="5"/>
      <c r="K343" s="3"/>
    </row>
    <row r="344" ht="15.75" customHeight="1">
      <c r="E344" s="3"/>
      <c r="F344" s="5"/>
      <c r="G344" s="5"/>
      <c r="H344" s="5"/>
      <c r="I344" s="5"/>
      <c r="K344" s="3"/>
    </row>
    <row r="345" ht="15.75" customHeight="1">
      <c r="E345" s="3"/>
      <c r="F345" s="5"/>
      <c r="G345" s="5"/>
      <c r="H345" s="5"/>
      <c r="I345" s="5"/>
      <c r="K345" s="3"/>
    </row>
    <row r="346" ht="15.75" customHeight="1">
      <c r="E346" s="3"/>
      <c r="F346" s="5"/>
      <c r="G346" s="5"/>
      <c r="H346" s="5"/>
      <c r="I346" s="5"/>
      <c r="K346" s="3"/>
    </row>
    <row r="347" ht="15.75" customHeight="1">
      <c r="E347" s="3"/>
      <c r="F347" s="5"/>
      <c r="G347" s="5"/>
      <c r="H347" s="5"/>
      <c r="I347" s="5"/>
      <c r="K347" s="3"/>
    </row>
    <row r="348" ht="15.75" customHeight="1">
      <c r="E348" s="3"/>
      <c r="F348" s="5"/>
      <c r="G348" s="5"/>
      <c r="H348" s="5"/>
      <c r="I348" s="5"/>
      <c r="K348" s="3"/>
    </row>
    <row r="349" ht="15.75" customHeight="1">
      <c r="E349" s="3"/>
      <c r="F349" s="5"/>
      <c r="G349" s="5"/>
      <c r="H349" s="5"/>
      <c r="I349" s="5"/>
      <c r="K349" s="3"/>
    </row>
    <row r="350" ht="15.75" customHeight="1">
      <c r="E350" s="3"/>
      <c r="F350" s="5"/>
      <c r="G350" s="5"/>
      <c r="H350" s="5"/>
      <c r="I350" s="5"/>
      <c r="K350" s="3"/>
    </row>
    <row r="351" ht="15.75" customHeight="1">
      <c r="E351" s="3"/>
      <c r="F351" s="5"/>
      <c r="G351" s="5"/>
      <c r="H351" s="5"/>
      <c r="I351" s="5"/>
      <c r="K351" s="3"/>
    </row>
    <row r="352" ht="15.75" customHeight="1">
      <c r="E352" s="3"/>
      <c r="F352" s="5"/>
      <c r="G352" s="5"/>
      <c r="H352" s="5"/>
      <c r="I352" s="5"/>
      <c r="K352" s="3"/>
    </row>
    <row r="353" ht="15.75" customHeight="1">
      <c r="E353" s="3"/>
      <c r="F353" s="5"/>
      <c r="G353" s="5"/>
      <c r="H353" s="5"/>
      <c r="I353" s="5"/>
      <c r="K353" s="3"/>
    </row>
    <row r="354" ht="15.75" customHeight="1">
      <c r="E354" s="3"/>
      <c r="F354" s="5"/>
      <c r="G354" s="5"/>
      <c r="H354" s="5"/>
      <c r="I354" s="5"/>
      <c r="K354" s="3"/>
    </row>
    <row r="355" ht="15.75" customHeight="1">
      <c r="E355" s="3"/>
      <c r="F355" s="5"/>
      <c r="G355" s="5"/>
      <c r="H355" s="5"/>
      <c r="I355" s="5"/>
      <c r="K355" s="3"/>
    </row>
    <row r="356" ht="15.75" customHeight="1">
      <c r="E356" s="3"/>
      <c r="F356" s="5"/>
      <c r="G356" s="5"/>
      <c r="H356" s="5"/>
      <c r="I356" s="5"/>
      <c r="K356" s="3"/>
    </row>
    <row r="357" ht="15.75" customHeight="1">
      <c r="E357" s="3"/>
      <c r="F357" s="5"/>
      <c r="G357" s="5"/>
      <c r="H357" s="5"/>
      <c r="I357" s="5"/>
      <c r="K357" s="3"/>
    </row>
    <row r="358" ht="15.75" customHeight="1">
      <c r="E358" s="3"/>
      <c r="F358" s="5"/>
      <c r="G358" s="5"/>
      <c r="H358" s="5"/>
      <c r="I358" s="5"/>
      <c r="K358" s="3"/>
    </row>
    <row r="359" ht="15.75" customHeight="1">
      <c r="E359" s="3"/>
      <c r="F359" s="5"/>
      <c r="G359" s="5"/>
      <c r="H359" s="5"/>
      <c r="I359" s="5"/>
      <c r="K359" s="3"/>
    </row>
    <row r="360" ht="15.75" customHeight="1">
      <c r="E360" s="3"/>
      <c r="F360" s="5"/>
      <c r="G360" s="5"/>
      <c r="H360" s="5"/>
      <c r="I360" s="5"/>
      <c r="K360" s="3"/>
    </row>
    <row r="361" ht="15.75" customHeight="1">
      <c r="E361" s="3"/>
      <c r="F361" s="5"/>
      <c r="G361" s="5"/>
      <c r="H361" s="5"/>
      <c r="I361" s="5"/>
      <c r="K361" s="3"/>
    </row>
    <row r="362" ht="15.75" customHeight="1">
      <c r="E362" s="3"/>
      <c r="F362" s="5"/>
      <c r="G362" s="5"/>
      <c r="H362" s="5"/>
      <c r="I362" s="5"/>
      <c r="K362" s="3"/>
    </row>
    <row r="363" ht="15.75" customHeight="1">
      <c r="E363" s="3"/>
      <c r="F363" s="5"/>
      <c r="G363" s="5"/>
      <c r="H363" s="5"/>
      <c r="I363" s="5"/>
      <c r="K363" s="3"/>
    </row>
    <row r="364" ht="15.75" customHeight="1">
      <c r="E364" s="3"/>
      <c r="F364" s="5"/>
      <c r="G364" s="5"/>
      <c r="H364" s="5"/>
      <c r="I364" s="5"/>
      <c r="K364" s="3"/>
    </row>
    <row r="365" ht="15.75" customHeight="1">
      <c r="E365" s="3"/>
      <c r="F365" s="5"/>
      <c r="G365" s="5"/>
      <c r="H365" s="5"/>
      <c r="I365" s="5"/>
      <c r="K365" s="3"/>
    </row>
    <row r="366" ht="15.75" customHeight="1">
      <c r="E366" s="3"/>
      <c r="F366" s="5"/>
      <c r="G366" s="5"/>
      <c r="H366" s="5"/>
      <c r="I366" s="5"/>
      <c r="K366" s="3"/>
    </row>
    <row r="367" ht="15.75" customHeight="1">
      <c r="E367" s="3"/>
      <c r="F367" s="5"/>
      <c r="G367" s="5"/>
      <c r="H367" s="5"/>
      <c r="I367" s="5"/>
      <c r="K367" s="3"/>
    </row>
    <row r="368" ht="15.75" customHeight="1">
      <c r="E368" s="3"/>
      <c r="F368" s="5"/>
      <c r="G368" s="5"/>
      <c r="H368" s="5"/>
      <c r="I368" s="5"/>
      <c r="K368" s="3"/>
    </row>
    <row r="369" ht="15.75" customHeight="1">
      <c r="E369" s="3"/>
      <c r="F369" s="5"/>
      <c r="G369" s="5"/>
      <c r="H369" s="5"/>
      <c r="I369" s="5"/>
      <c r="K369" s="3"/>
    </row>
    <row r="370" ht="15.75" customHeight="1">
      <c r="E370" s="3"/>
      <c r="F370" s="5"/>
      <c r="G370" s="5"/>
      <c r="H370" s="5"/>
      <c r="I370" s="5"/>
      <c r="K370" s="3"/>
    </row>
    <row r="371" ht="15.75" customHeight="1">
      <c r="E371" s="3"/>
      <c r="F371" s="5"/>
      <c r="G371" s="5"/>
      <c r="H371" s="5"/>
      <c r="I371" s="5"/>
      <c r="K371" s="3"/>
    </row>
    <row r="372" ht="15.75" customHeight="1">
      <c r="E372" s="3"/>
      <c r="F372" s="5"/>
      <c r="G372" s="5"/>
      <c r="H372" s="5"/>
      <c r="I372" s="5"/>
      <c r="K372" s="3"/>
    </row>
    <row r="373" ht="15.75" customHeight="1">
      <c r="E373" s="3"/>
      <c r="F373" s="5"/>
      <c r="G373" s="5"/>
      <c r="H373" s="5"/>
      <c r="I373" s="5"/>
      <c r="K373" s="3"/>
    </row>
    <row r="374" ht="15.75" customHeight="1">
      <c r="E374" s="3"/>
      <c r="F374" s="5"/>
      <c r="G374" s="5"/>
      <c r="H374" s="5"/>
      <c r="I374" s="5"/>
      <c r="K374" s="3"/>
    </row>
    <row r="375" ht="15.75" customHeight="1">
      <c r="E375" s="3"/>
      <c r="F375" s="5"/>
      <c r="G375" s="5"/>
      <c r="H375" s="5"/>
      <c r="I375" s="5"/>
      <c r="K375" s="3"/>
    </row>
    <row r="376" ht="15.75" customHeight="1">
      <c r="E376" s="3"/>
      <c r="F376" s="5"/>
      <c r="G376" s="5"/>
      <c r="H376" s="5"/>
      <c r="I376" s="5"/>
      <c r="K376" s="3"/>
    </row>
    <row r="377" ht="15.75" customHeight="1">
      <c r="E377" s="3"/>
      <c r="F377" s="5"/>
      <c r="G377" s="5"/>
      <c r="H377" s="5"/>
      <c r="I377" s="5"/>
      <c r="K377" s="3"/>
    </row>
    <row r="378" ht="15.75" customHeight="1">
      <c r="E378" s="3"/>
      <c r="F378" s="5"/>
      <c r="G378" s="5"/>
      <c r="H378" s="5"/>
      <c r="I378" s="5"/>
      <c r="K378" s="3"/>
    </row>
    <row r="379" ht="15.75" customHeight="1">
      <c r="E379" s="3"/>
      <c r="F379" s="5"/>
      <c r="G379" s="5"/>
      <c r="H379" s="5"/>
      <c r="I379" s="5"/>
      <c r="K379" s="3"/>
    </row>
    <row r="380" ht="15.75" customHeight="1">
      <c r="E380" s="3"/>
      <c r="F380" s="5"/>
      <c r="G380" s="5"/>
      <c r="H380" s="5"/>
      <c r="I380" s="5"/>
      <c r="K380" s="3"/>
    </row>
    <row r="381" ht="15.75" customHeight="1">
      <c r="E381" s="3"/>
      <c r="F381" s="5"/>
      <c r="G381" s="5"/>
      <c r="H381" s="5"/>
      <c r="I381" s="5"/>
      <c r="K381" s="3"/>
    </row>
    <row r="382" ht="15.75" customHeight="1">
      <c r="E382" s="3"/>
      <c r="F382" s="5"/>
      <c r="G382" s="5"/>
      <c r="H382" s="5"/>
      <c r="I382" s="5"/>
      <c r="K382" s="3"/>
    </row>
    <row r="383" ht="15.75" customHeight="1">
      <c r="E383" s="3"/>
      <c r="F383" s="5"/>
      <c r="G383" s="5"/>
      <c r="H383" s="5"/>
      <c r="I383" s="5"/>
      <c r="K383" s="3"/>
    </row>
    <row r="384" ht="15.75" customHeight="1">
      <c r="E384" s="3"/>
      <c r="F384" s="5"/>
      <c r="G384" s="5"/>
      <c r="H384" s="5"/>
      <c r="I384" s="5"/>
      <c r="K384" s="3"/>
    </row>
    <row r="385" ht="15.75" customHeight="1">
      <c r="E385" s="3"/>
      <c r="F385" s="5"/>
      <c r="G385" s="5"/>
      <c r="H385" s="5"/>
      <c r="I385" s="5"/>
      <c r="K385" s="3"/>
    </row>
    <row r="386" ht="15.75" customHeight="1">
      <c r="E386" s="3"/>
      <c r="F386" s="5"/>
      <c r="G386" s="5"/>
      <c r="H386" s="5"/>
      <c r="I386" s="5"/>
      <c r="K386" s="3"/>
    </row>
    <row r="387" ht="15.75" customHeight="1">
      <c r="E387" s="3"/>
      <c r="F387" s="5"/>
      <c r="G387" s="5"/>
      <c r="H387" s="5"/>
      <c r="I387" s="5"/>
      <c r="K387" s="3"/>
    </row>
    <row r="388" ht="15.75" customHeight="1">
      <c r="E388" s="3"/>
      <c r="F388" s="5"/>
      <c r="G388" s="5"/>
      <c r="H388" s="5"/>
      <c r="I388" s="5"/>
      <c r="K388" s="3"/>
    </row>
    <row r="389" ht="15.75" customHeight="1">
      <c r="E389" s="3"/>
      <c r="F389" s="5"/>
      <c r="G389" s="5"/>
      <c r="H389" s="5"/>
      <c r="I389" s="5"/>
      <c r="K389" s="3"/>
    </row>
    <row r="390" ht="15.75" customHeight="1">
      <c r="E390" s="3"/>
      <c r="F390" s="5"/>
      <c r="G390" s="5"/>
      <c r="H390" s="5"/>
      <c r="I390" s="5"/>
      <c r="K390" s="3"/>
    </row>
    <row r="391" ht="15.75" customHeight="1">
      <c r="E391" s="3"/>
      <c r="F391" s="5"/>
      <c r="G391" s="5"/>
      <c r="H391" s="5"/>
      <c r="I391" s="5"/>
      <c r="K391" s="3"/>
    </row>
    <row r="392" ht="15.75" customHeight="1">
      <c r="E392" s="3"/>
      <c r="F392" s="5"/>
      <c r="G392" s="5"/>
      <c r="H392" s="5"/>
      <c r="I392" s="5"/>
      <c r="K392" s="3"/>
    </row>
    <row r="393" ht="15.75" customHeight="1">
      <c r="E393" s="3"/>
      <c r="F393" s="5"/>
      <c r="G393" s="5"/>
      <c r="H393" s="5"/>
      <c r="I393" s="5"/>
      <c r="K393" s="3"/>
    </row>
    <row r="394" ht="15.75" customHeight="1">
      <c r="E394" s="3"/>
      <c r="F394" s="5"/>
      <c r="G394" s="5"/>
      <c r="H394" s="5"/>
      <c r="I394" s="5"/>
      <c r="K394" s="3"/>
    </row>
    <row r="395" ht="15.75" customHeight="1">
      <c r="E395" s="3"/>
      <c r="F395" s="5"/>
      <c r="G395" s="5"/>
      <c r="H395" s="5"/>
      <c r="I395" s="5"/>
      <c r="K395" s="3"/>
    </row>
    <row r="396" ht="15.75" customHeight="1">
      <c r="E396" s="3"/>
      <c r="F396" s="5"/>
      <c r="G396" s="5"/>
      <c r="H396" s="5"/>
      <c r="I396" s="5"/>
      <c r="K396" s="3"/>
    </row>
    <row r="397" ht="15.75" customHeight="1">
      <c r="E397" s="3"/>
      <c r="F397" s="5"/>
      <c r="G397" s="5"/>
      <c r="H397" s="5"/>
      <c r="I397" s="5"/>
      <c r="K397" s="3"/>
    </row>
    <row r="398" ht="15.75" customHeight="1">
      <c r="E398" s="3"/>
      <c r="F398" s="5"/>
      <c r="G398" s="5"/>
      <c r="H398" s="5"/>
      <c r="I398" s="5"/>
      <c r="K398" s="3"/>
    </row>
    <row r="399" ht="15.75" customHeight="1">
      <c r="E399" s="3"/>
      <c r="F399" s="5"/>
      <c r="G399" s="5"/>
      <c r="H399" s="5"/>
      <c r="I399" s="5"/>
      <c r="K399" s="3"/>
    </row>
    <row r="400" ht="15.75" customHeight="1">
      <c r="E400" s="3"/>
      <c r="F400" s="5"/>
      <c r="G400" s="5"/>
      <c r="H400" s="5"/>
      <c r="I400" s="5"/>
      <c r="K400" s="3"/>
    </row>
    <row r="401" ht="15.75" customHeight="1">
      <c r="E401" s="3"/>
      <c r="F401" s="5"/>
      <c r="G401" s="5"/>
      <c r="H401" s="5"/>
      <c r="I401" s="5"/>
      <c r="K401" s="3"/>
    </row>
    <row r="402" ht="15.75" customHeight="1">
      <c r="E402" s="3"/>
      <c r="F402" s="5"/>
      <c r="G402" s="5"/>
      <c r="H402" s="5"/>
      <c r="I402" s="5"/>
      <c r="K402" s="3"/>
    </row>
    <row r="403" ht="15.75" customHeight="1">
      <c r="E403" s="3"/>
      <c r="F403" s="5"/>
      <c r="G403" s="5"/>
      <c r="H403" s="5"/>
      <c r="I403" s="5"/>
      <c r="K403" s="3"/>
    </row>
    <row r="404" ht="15.75" customHeight="1">
      <c r="E404" s="3"/>
      <c r="F404" s="5"/>
      <c r="G404" s="5"/>
      <c r="H404" s="5"/>
      <c r="I404" s="5"/>
      <c r="K404" s="3"/>
    </row>
    <row r="405" ht="15.75" customHeight="1">
      <c r="E405" s="3"/>
      <c r="F405" s="5"/>
      <c r="G405" s="5"/>
      <c r="H405" s="5"/>
      <c r="I405" s="5"/>
      <c r="K405" s="3"/>
    </row>
    <row r="406" ht="15.75" customHeight="1">
      <c r="E406" s="3"/>
      <c r="F406" s="5"/>
      <c r="G406" s="5"/>
      <c r="H406" s="5"/>
      <c r="I406" s="5"/>
      <c r="K406" s="3"/>
    </row>
    <row r="407" ht="15.75" customHeight="1">
      <c r="E407" s="3"/>
      <c r="F407" s="5"/>
      <c r="G407" s="5"/>
      <c r="H407" s="5"/>
      <c r="I407" s="5"/>
      <c r="K407" s="3"/>
    </row>
    <row r="408" ht="15.75" customHeight="1">
      <c r="E408" s="3"/>
      <c r="F408" s="5"/>
      <c r="G408" s="5"/>
      <c r="H408" s="5"/>
      <c r="I408" s="5"/>
      <c r="K408" s="3"/>
    </row>
    <row r="409" ht="15.75" customHeight="1">
      <c r="E409" s="3"/>
      <c r="F409" s="5"/>
      <c r="G409" s="5"/>
      <c r="H409" s="5"/>
      <c r="I409" s="5"/>
      <c r="K409" s="3"/>
    </row>
    <row r="410" ht="15.75" customHeight="1">
      <c r="E410" s="3"/>
      <c r="F410" s="5"/>
      <c r="G410" s="5"/>
      <c r="H410" s="5"/>
      <c r="I410" s="5"/>
      <c r="K410" s="3"/>
    </row>
    <row r="411" ht="15.75" customHeight="1">
      <c r="E411" s="3"/>
      <c r="F411" s="5"/>
      <c r="G411" s="5"/>
      <c r="H411" s="5"/>
      <c r="I411" s="5"/>
      <c r="K411" s="3"/>
    </row>
    <row r="412" ht="15.75" customHeight="1">
      <c r="E412" s="3"/>
      <c r="F412" s="5"/>
      <c r="G412" s="5"/>
      <c r="H412" s="5"/>
      <c r="I412" s="5"/>
      <c r="K412" s="3"/>
    </row>
    <row r="413" ht="15.75" customHeight="1">
      <c r="E413" s="3"/>
      <c r="F413" s="5"/>
      <c r="G413" s="5"/>
      <c r="H413" s="5"/>
      <c r="I413" s="5"/>
      <c r="K413" s="3"/>
    </row>
    <row r="414" ht="15.75" customHeight="1">
      <c r="E414" s="3"/>
      <c r="F414" s="5"/>
      <c r="G414" s="5"/>
      <c r="H414" s="5"/>
      <c r="I414" s="5"/>
      <c r="K414" s="3"/>
    </row>
    <row r="415" ht="15.75" customHeight="1">
      <c r="E415" s="3"/>
      <c r="F415" s="5"/>
      <c r="G415" s="5"/>
      <c r="H415" s="5"/>
      <c r="I415" s="5"/>
      <c r="K415" s="3"/>
    </row>
    <row r="416" ht="15.75" customHeight="1">
      <c r="E416" s="3"/>
      <c r="F416" s="5"/>
      <c r="G416" s="5"/>
      <c r="H416" s="5"/>
      <c r="I416" s="5"/>
      <c r="K416" s="3"/>
    </row>
    <row r="417" ht="15.75" customHeight="1">
      <c r="E417" s="3"/>
      <c r="F417" s="5"/>
      <c r="G417" s="5"/>
      <c r="H417" s="5"/>
      <c r="I417" s="5"/>
      <c r="K417" s="3"/>
    </row>
    <row r="418" ht="15.75" customHeight="1">
      <c r="E418" s="3"/>
      <c r="F418" s="5"/>
      <c r="G418" s="5"/>
      <c r="H418" s="5"/>
      <c r="I418" s="5"/>
      <c r="K418" s="3"/>
    </row>
    <row r="419" ht="15.75" customHeight="1">
      <c r="E419" s="3"/>
      <c r="F419" s="5"/>
      <c r="G419" s="5"/>
      <c r="H419" s="5"/>
      <c r="I419" s="5"/>
      <c r="K419" s="3"/>
    </row>
    <row r="420" ht="15.75" customHeight="1">
      <c r="E420" s="3"/>
      <c r="F420" s="5"/>
      <c r="G420" s="5"/>
      <c r="H420" s="5"/>
      <c r="I420" s="5"/>
      <c r="K420" s="3"/>
    </row>
    <row r="421" ht="15.75" customHeight="1">
      <c r="E421" s="3"/>
      <c r="F421" s="5"/>
      <c r="G421" s="5"/>
      <c r="H421" s="5"/>
      <c r="I421" s="5"/>
      <c r="K421" s="3"/>
    </row>
    <row r="422" ht="15.75" customHeight="1">
      <c r="E422" s="3"/>
      <c r="F422" s="5"/>
      <c r="G422" s="5"/>
      <c r="H422" s="5"/>
      <c r="I422" s="5"/>
      <c r="K422" s="3"/>
    </row>
    <row r="423" ht="15.75" customHeight="1">
      <c r="E423" s="3"/>
      <c r="F423" s="5"/>
      <c r="G423" s="5"/>
      <c r="H423" s="5"/>
      <c r="I423" s="5"/>
      <c r="K423" s="3"/>
    </row>
    <row r="424" ht="15.75" customHeight="1">
      <c r="E424" s="3"/>
      <c r="F424" s="5"/>
      <c r="G424" s="5"/>
      <c r="H424" s="5"/>
      <c r="I424" s="5"/>
      <c r="K424" s="3"/>
    </row>
    <row r="425" ht="15.75" customHeight="1">
      <c r="E425" s="3"/>
      <c r="F425" s="5"/>
      <c r="G425" s="5"/>
      <c r="H425" s="5"/>
      <c r="I425" s="5"/>
      <c r="K425" s="3"/>
    </row>
    <row r="426" ht="15.75" customHeight="1">
      <c r="E426" s="3"/>
      <c r="F426" s="5"/>
      <c r="G426" s="5"/>
      <c r="H426" s="5"/>
      <c r="I426" s="5"/>
      <c r="K426" s="3"/>
    </row>
    <row r="427" ht="15.75" customHeight="1">
      <c r="E427" s="3"/>
      <c r="F427" s="5"/>
      <c r="G427" s="5"/>
      <c r="H427" s="5"/>
      <c r="I427" s="5"/>
      <c r="K427" s="3"/>
    </row>
    <row r="428" ht="15.75" customHeight="1">
      <c r="E428" s="3"/>
      <c r="F428" s="5"/>
      <c r="G428" s="5"/>
      <c r="H428" s="5"/>
      <c r="I428" s="5"/>
      <c r="K428" s="3"/>
    </row>
    <row r="429" ht="15.75" customHeight="1">
      <c r="E429" s="3"/>
      <c r="F429" s="5"/>
      <c r="G429" s="5"/>
      <c r="H429" s="5"/>
      <c r="I429" s="5"/>
      <c r="K429" s="3"/>
    </row>
    <row r="430" ht="15.75" customHeight="1">
      <c r="E430" s="3"/>
      <c r="F430" s="5"/>
      <c r="G430" s="5"/>
      <c r="H430" s="5"/>
      <c r="I430" s="5"/>
      <c r="K430" s="3"/>
    </row>
    <row r="431" ht="15.75" customHeight="1">
      <c r="E431" s="3"/>
      <c r="F431" s="5"/>
      <c r="G431" s="5"/>
      <c r="H431" s="5"/>
      <c r="I431" s="5"/>
      <c r="K431" s="3"/>
    </row>
    <row r="432" ht="15.75" customHeight="1">
      <c r="E432" s="3"/>
      <c r="F432" s="5"/>
      <c r="G432" s="5"/>
      <c r="H432" s="5"/>
      <c r="I432" s="5"/>
      <c r="K432" s="3"/>
    </row>
    <row r="433" ht="15.75" customHeight="1">
      <c r="E433" s="3"/>
      <c r="F433" s="5"/>
      <c r="G433" s="5"/>
      <c r="H433" s="5"/>
      <c r="I433" s="5"/>
      <c r="K433" s="3"/>
    </row>
    <row r="434" ht="15.75" customHeight="1">
      <c r="E434" s="3"/>
      <c r="F434" s="5"/>
      <c r="G434" s="5"/>
      <c r="H434" s="5"/>
      <c r="I434" s="5"/>
      <c r="K434" s="3"/>
    </row>
    <row r="435" ht="15.75" customHeight="1">
      <c r="E435" s="3"/>
      <c r="F435" s="5"/>
      <c r="G435" s="5"/>
      <c r="H435" s="5"/>
      <c r="I435" s="5"/>
      <c r="K435" s="3"/>
    </row>
    <row r="436" ht="15.75" customHeight="1">
      <c r="E436" s="3"/>
      <c r="F436" s="5"/>
      <c r="G436" s="5"/>
      <c r="H436" s="5"/>
      <c r="I436" s="5"/>
      <c r="K436" s="3"/>
    </row>
    <row r="437" ht="15.75" customHeight="1">
      <c r="E437" s="3"/>
      <c r="F437" s="5"/>
      <c r="G437" s="5"/>
      <c r="H437" s="5"/>
      <c r="I437" s="5"/>
      <c r="K437" s="3"/>
    </row>
    <row r="438" ht="15.75" customHeight="1">
      <c r="E438" s="3"/>
      <c r="F438" s="5"/>
      <c r="G438" s="5"/>
      <c r="H438" s="5"/>
      <c r="I438" s="5"/>
      <c r="K438" s="3"/>
    </row>
    <row r="439" ht="15.75" customHeight="1">
      <c r="E439" s="3"/>
      <c r="F439" s="5"/>
      <c r="G439" s="5"/>
      <c r="H439" s="5"/>
      <c r="I439" s="5"/>
      <c r="K439" s="3"/>
    </row>
    <row r="440" ht="15.75" customHeight="1">
      <c r="E440" s="3"/>
      <c r="F440" s="5"/>
      <c r="G440" s="5"/>
      <c r="H440" s="5"/>
      <c r="I440" s="5"/>
      <c r="K440" s="3"/>
    </row>
    <row r="441" ht="15.75" customHeight="1">
      <c r="E441" s="3"/>
      <c r="F441" s="5"/>
      <c r="G441" s="5"/>
      <c r="H441" s="5"/>
      <c r="I441" s="5"/>
      <c r="K441" s="3"/>
    </row>
    <row r="442" ht="15.75" customHeight="1">
      <c r="E442" s="3"/>
      <c r="F442" s="5"/>
      <c r="G442" s="5"/>
      <c r="H442" s="5"/>
      <c r="I442" s="5"/>
      <c r="K442" s="3"/>
    </row>
    <row r="443" ht="15.75" customHeight="1">
      <c r="E443" s="3"/>
      <c r="F443" s="5"/>
      <c r="G443" s="5"/>
      <c r="H443" s="5"/>
      <c r="I443" s="5"/>
      <c r="K443" s="3"/>
    </row>
    <row r="444" ht="15.75" customHeight="1">
      <c r="E444" s="3"/>
      <c r="F444" s="5"/>
      <c r="G444" s="5"/>
      <c r="H444" s="5"/>
      <c r="I444" s="5"/>
      <c r="K444" s="3"/>
    </row>
    <row r="445" ht="15.75" customHeight="1">
      <c r="E445" s="3"/>
      <c r="F445" s="5"/>
      <c r="G445" s="5"/>
      <c r="H445" s="5"/>
      <c r="I445" s="5"/>
      <c r="K445" s="3"/>
    </row>
    <row r="446" ht="15.75" customHeight="1">
      <c r="E446" s="3"/>
      <c r="F446" s="5"/>
      <c r="G446" s="5"/>
      <c r="H446" s="5"/>
      <c r="I446" s="5"/>
      <c r="K446" s="3"/>
    </row>
    <row r="447" ht="15.75" customHeight="1">
      <c r="E447" s="3"/>
      <c r="F447" s="5"/>
      <c r="G447" s="5"/>
      <c r="H447" s="5"/>
      <c r="I447" s="5"/>
      <c r="K447" s="3"/>
    </row>
    <row r="448" ht="15.75" customHeight="1">
      <c r="E448" s="3"/>
      <c r="F448" s="5"/>
      <c r="G448" s="5"/>
      <c r="H448" s="5"/>
      <c r="I448" s="5"/>
      <c r="K448" s="3"/>
    </row>
    <row r="449" ht="15.75" customHeight="1">
      <c r="E449" s="3"/>
      <c r="F449" s="5"/>
      <c r="G449" s="5"/>
      <c r="H449" s="5"/>
      <c r="I449" s="5"/>
      <c r="K449" s="3"/>
    </row>
    <row r="450" ht="15.75" customHeight="1">
      <c r="E450" s="3"/>
      <c r="F450" s="5"/>
      <c r="G450" s="5"/>
      <c r="H450" s="5"/>
      <c r="I450" s="5"/>
      <c r="K450" s="3"/>
    </row>
    <row r="451" ht="15.75" customHeight="1">
      <c r="E451" s="3"/>
      <c r="F451" s="5"/>
      <c r="G451" s="5"/>
      <c r="H451" s="5"/>
      <c r="I451" s="5"/>
      <c r="K451" s="3"/>
    </row>
    <row r="452" ht="15.75" customHeight="1">
      <c r="E452" s="3"/>
      <c r="F452" s="5"/>
      <c r="G452" s="5"/>
      <c r="H452" s="5"/>
      <c r="I452" s="5"/>
      <c r="K452" s="3"/>
    </row>
    <row r="453" ht="15.75" customHeight="1">
      <c r="E453" s="3"/>
      <c r="F453" s="5"/>
      <c r="G453" s="5"/>
      <c r="H453" s="5"/>
      <c r="I453" s="5"/>
      <c r="K453" s="3"/>
    </row>
    <row r="454" ht="15.75" customHeight="1">
      <c r="E454" s="3"/>
      <c r="F454" s="5"/>
      <c r="G454" s="5"/>
      <c r="H454" s="5"/>
      <c r="I454" s="5"/>
      <c r="K454" s="3"/>
    </row>
    <row r="455" ht="15.75" customHeight="1">
      <c r="E455" s="3"/>
      <c r="F455" s="5"/>
      <c r="G455" s="5"/>
      <c r="H455" s="5"/>
      <c r="I455" s="5"/>
      <c r="K455" s="3"/>
    </row>
    <row r="456" ht="15.75" customHeight="1">
      <c r="E456" s="3"/>
      <c r="F456" s="5"/>
      <c r="G456" s="5"/>
      <c r="H456" s="5"/>
      <c r="I456" s="5"/>
      <c r="K456" s="3"/>
    </row>
    <row r="457" ht="15.75" customHeight="1">
      <c r="E457" s="3"/>
      <c r="F457" s="5"/>
      <c r="G457" s="5"/>
      <c r="H457" s="5"/>
      <c r="I457" s="5"/>
      <c r="K457" s="3"/>
    </row>
    <row r="458" ht="15.75" customHeight="1">
      <c r="E458" s="3"/>
      <c r="F458" s="5"/>
      <c r="G458" s="5"/>
      <c r="H458" s="5"/>
      <c r="I458" s="5"/>
      <c r="K458" s="3"/>
    </row>
    <row r="459" ht="15.75" customHeight="1">
      <c r="E459" s="3"/>
      <c r="F459" s="5"/>
      <c r="G459" s="5"/>
      <c r="H459" s="5"/>
      <c r="I459" s="5"/>
      <c r="K459" s="3"/>
    </row>
    <row r="460" ht="15.75" customHeight="1">
      <c r="E460" s="3"/>
      <c r="F460" s="5"/>
      <c r="G460" s="5"/>
      <c r="H460" s="5"/>
      <c r="I460" s="5"/>
      <c r="K460" s="3"/>
    </row>
    <row r="461" ht="15.75" customHeight="1">
      <c r="E461" s="3"/>
      <c r="F461" s="5"/>
      <c r="G461" s="5"/>
      <c r="H461" s="5"/>
      <c r="I461" s="5"/>
      <c r="K461" s="3"/>
    </row>
    <row r="462" ht="15.75" customHeight="1">
      <c r="E462" s="3"/>
      <c r="F462" s="5"/>
      <c r="G462" s="5"/>
      <c r="H462" s="5"/>
      <c r="I462" s="5"/>
      <c r="K462" s="3"/>
    </row>
    <row r="463" ht="15.75" customHeight="1">
      <c r="E463" s="3"/>
      <c r="F463" s="5"/>
      <c r="G463" s="5"/>
      <c r="H463" s="5"/>
      <c r="I463" s="5"/>
      <c r="K463" s="3"/>
    </row>
    <row r="464" ht="15.75" customHeight="1">
      <c r="E464" s="3"/>
      <c r="F464" s="5"/>
      <c r="G464" s="5"/>
      <c r="H464" s="5"/>
      <c r="I464" s="5"/>
      <c r="K464" s="3"/>
    </row>
    <row r="465" ht="15.75" customHeight="1">
      <c r="E465" s="3"/>
      <c r="F465" s="5"/>
      <c r="G465" s="5"/>
      <c r="H465" s="5"/>
      <c r="I465" s="5"/>
      <c r="K465" s="3"/>
    </row>
    <row r="466" ht="15.75" customHeight="1">
      <c r="E466" s="3"/>
      <c r="F466" s="5"/>
      <c r="G466" s="5"/>
      <c r="H466" s="5"/>
      <c r="I466" s="5"/>
      <c r="K466" s="3"/>
    </row>
    <row r="467" ht="15.75" customHeight="1">
      <c r="E467" s="3"/>
      <c r="F467" s="5"/>
      <c r="G467" s="5"/>
      <c r="H467" s="5"/>
      <c r="I467" s="5"/>
      <c r="K467" s="3"/>
    </row>
    <row r="468" ht="15.75" customHeight="1">
      <c r="E468" s="3"/>
      <c r="F468" s="5"/>
      <c r="G468" s="5"/>
      <c r="H468" s="5"/>
      <c r="I468" s="5"/>
      <c r="K468" s="3"/>
    </row>
    <row r="469" ht="15.75" customHeight="1">
      <c r="E469" s="3"/>
      <c r="F469" s="5"/>
      <c r="G469" s="5"/>
      <c r="H469" s="5"/>
      <c r="I469" s="5"/>
      <c r="K469" s="3"/>
    </row>
    <row r="470" ht="15.75" customHeight="1">
      <c r="E470" s="3"/>
      <c r="F470" s="5"/>
      <c r="G470" s="5"/>
      <c r="H470" s="5"/>
      <c r="I470" s="5"/>
      <c r="K470" s="3"/>
    </row>
    <row r="471" ht="15.75" customHeight="1">
      <c r="E471" s="3"/>
      <c r="F471" s="5"/>
      <c r="G471" s="5"/>
      <c r="H471" s="5"/>
      <c r="I471" s="5"/>
      <c r="K471" s="3"/>
    </row>
    <row r="472" ht="15.75" customHeight="1">
      <c r="E472" s="3"/>
      <c r="F472" s="5"/>
      <c r="G472" s="5"/>
      <c r="H472" s="5"/>
      <c r="I472" s="5"/>
      <c r="K472" s="3"/>
    </row>
    <row r="473" ht="15.75" customHeight="1">
      <c r="E473" s="3"/>
      <c r="F473" s="5"/>
      <c r="G473" s="5"/>
      <c r="H473" s="5"/>
      <c r="I473" s="5"/>
      <c r="K473" s="3"/>
    </row>
    <row r="474" ht="15.75" customHeight="1">
      <c r="E474" s="3"/>
      <c r="F474" s="5"/>
      <c r="G474" s="5"/>
      <c r="H474" s="5"/>
      <c r="I474" s="5"/>
      <c r="K474" s="3"/>
    </row>
    <row r="475" ht="15.75" customHeight="1">
      <c r="E475" s="3"/>
      <c r="F475" s="5"/>
      <c r="G475" s="5"/>
      <c r="H475" s="5"/>
      <c r="I475" s="5"/>
      <c r="K475" s="3"/>
    </row>
    <row r="476" ht="15.75" customHeight="1">
      <c r="E476" s="3"/>
      <c r="F476" s="5"/>
      <c r="G476" s="5"/>
      <c r="H476" s="5"/>
      <c r="I476" s="5"/>
      <c r="K476" s="3"/>
    </row>
    <row r="477" ht="15.75" customHeight="1">
      <c r="E477" s="3"/>
      <c r="F477" s="5"/>
      <c r="G477" s="5"/>
      <c r="H477" s="5"/>
      <c r="I477" s="5"/>
      <c r="K477" s="3"/>
    </row>
    <row r="478" ht="15.75" customHeight="1">
      <c r="E478" s="3"/>
      <c r="F478" s="5"/>
      <c r="G478" s="5"/>
      <c r="H478" s="5"/>
      <c r="I478" s="5"/>
      <c r="K478" s="3"/>
    </row>
    <row r="479" ht="15.75" customHeight="1">
      <c r="E479" s="3"/>
      <c r="F479" s="5"/>
      <c r="G479" s="5"/>
      <c r="H479" s="5"/>
      <c r="I479" s="5"/>
      <c r="K479" s="3"/>
    </row>
    <row r="480" ht="15.75" customHeight="1">
      <c r="E480" s="3"/>
      <c r="F480" s="5"/>
      <c r="G480" s="5"/>
      <c r="H480" s="5"/>
      <c r="I480" s="5"/>
      <c r="K480" s="3"/>
    </row>
    <row r="481" ht="15.75" customHeight="1">
      <c r="E481" s="3"/>
      <c r="F481" s="5"/>
      <c r="G481" s="5"/>
      <c r="H481" s="5"/>
      <c r="I481" s="5"/>
      <c r="K481" s="3"/>
    </row>
    <row r="482" ht="15.75" customHeight="1">
      <c r="E482" s="3"/>
      <c r="F482" s="5"/>
      <c r="G482" s="5"/>
      <c r="H482" s="5"/>
      <c r="I482" s="5"/>
      <c r="K482" s="3"/>
    </row>
    <row r="483" ht="15.75" customHeight="1">
      <c r="E483" s="3"/>
      <c r="F483" s="5"/>
      <c r="G483" s="5"/>
      <c r="H483" s="5"/>
      <c r="I483" s="5"/>
      <c r="K483" s="3"/>
    </row>
    <row r="484" ht="15.75" customHeight="1">
      <c r="E484" s="3"/>
      <c r="F484" s="5"/>
      <c r="G484" s="5"/>
      <c r="H484" s="5"/>
      <c r="I484" s="5"/>
      <c r="K484" s="3"/>
    </row>
    <row r="485" ht="15.75" customHeight="1">
      <c r="E485" s="3"/>
      <c r="F485" s="5"/>
      <c r="G485" s="5"/>
      <c r="H485" s="5"/>
      <c r="I485" s="5"/>
      <c r="K485" s="3"/>
    </row>
    <row r="486" ht="15.75" customHeight="1">
      <c r="E486" s="3"/>
      <c r="F486" s="5"/>
      <c r="G486" s="5"/>
      <c r="H486" s="5"/>
      <c r="I486" s="5"/>
      <c r="K486" s="3"/>
    </row>
    <row r="487" ht="15.75" customHeight="1">
      <c r="E487" s="3"/>
      <c r="F487" s="5"/>
      <c r="G487" s="5"/>
      <c r="H487" s="5"/>
      <c r="I487" s="5"/>
      <c r="K487" s="3"/>
    </row>
    <row r="488" ht="15.75" customHeight="1">
      <c r="E488" s="3"/>
      <c r="F488" s="5"/>
      <c r="G488" s="5"/>
      <c r="H488" s="5"/>
      <c r="I488" s="5"/>
      <c r="K488" s="3"/>
    </row>
    <row r="489" ht="15.75" customHeight="1">
      <c r="E489" s="3"/>
      <c r="F489" s="5"/>
      <c r="G489" s="5"/>
      <c r="H489" s="5"/>
      <c r="I489" s="5"/>
      <c r="K489" s="3"/>
    </row>
    <row r="490" ht="15.75" customHeight="1">
      <c r="E490" s="3"/>
      <c r="F490" s="5"/>
      <c r="G490" s="5"/>
      <c r="H490" s="5"/>
      <c r="I490" s="5"/>
      <c r="K490" s="3"/>
    </row>
    <row r="491" ht="15.75" customHeight="1">
      <c r="E491" s="3"/>
      <c r="F491" s="5"/>
      <c r="G491" s="5"/>
      <c r="H491" s="5"/>
      <c r="I491" s="5"/>
      <c r="K491" s="3"/>
    </row>
    <row r="492" ht="15.75" customHeight="1">
      <c r="E492" s="3"/>
      <c r="F492" s="5"/>
      <c r="G492" s="5"/>
      <c r="H492" s="5"/>
      <c r="I492" s="5"/>
      <c r="K492" s="3"/>
    </row>
    <row r="493" ht="15.75" customHeight="1">
      <c r="E493" s="3"/>
      <c r="F493" s="5"/>
      <c r="G493" s="5"/>
      <c r="H493" s="5"/>
      <c r="I493" s="5"/>
      <c r="K493" s="3"/>
    </row>
    <row r="494" ht="15.75" customHeight="1">
      <c r="E494" s="3"/>
      <c r="F494" s="5"/>
      <c r="G494" s="5"/>
      <c r="H494" s="5"/>
      <c r="I494" s="5"/>
      <c r="K494" s="3"/>
    </row>
    <row r="495" ht="15.75" customHeight="1">
      <c r="E495" s="3"/>
      <c r="F495" s="5"/>
      <c r="G495" s="5"/>
      <c r="H495" s="5"/>
      <c r="I495" s="5"/>
      <c r="K495" s="3"/>
    </row>
    <row r="496" ht="15.75" customHeight="1">
      <c r="E496" s="3"/>
      <c r="F496" s="5"/>
      <c r="G496" s="5"/>
      <c r="H496" s="5"/>
      <c r="I496" s="5"/>
      <c r="K496" s="3"/>
    </row>
    <row r="497" ht="15.75" customHeight="1">
      <c r="E497" s="3"/>
      <c r="F497" s="5"/>
      <c r="G497" s="5"/>
      <c r="H497" s="5"/>
      <c r="I497" s="5"/>
      <c r="K497" s="3"/>
    </row>
    <row r="498" ht="15.75" customHeight="1">
      <c r="E498" s="3"/>
      <c r="F498" s="5"/>
      <c r="G498" s="5"/>
      <c r="H498" s="5"/>
      <c r="I498" s="5"/>
      <c r="K498" s="3"/>
    </row>
    <row r="499" ht="15.75" customHeight="1">
      <c r="E499" s="3"/>
      <c r="F499" s="5"/>
      <c r="G499" s="5"/>
      <c r="H499" s="5"/>
      <c r="I499" s="5"/>
      <c r="K499" s="3"/>
    </row>
    <row r="500" ht="15.75" customHeight="1">
      <c r="E500" s="3"/>
      <c r="F500" s="5"/>
      <c r="G500" s="5"/>
      <c r="H500" s="5"/>
      <c r="I500" s="5"/>
      <c r="K500" s="3"/>
    </row>
    <row r="501" ht="15.75" customHeight="1">
      <c r="E501" s="3"/>
      <c r="F501" s="5"/>
      <c r="G501" s="5"/>
      <c r="H501" s="5"/>
      <c r="I501" s="5"/>
      <c r="K501" s="3"/>
    </row>
    <row r="502" ht="15.75" customHeight="1">
      <c r="E502" s="3"/>
      <c r="F502" s="5"/>
      <c r="G502" s="5"/>
      <c r="H502" s="5"/>
      <c r="I502" s="5"/>
      <c r="K502" s="3"/>
    </row>
    <row r="503" ht="15.75" customHeight="1">
      <c r="E503" s="3"/>
      <c r="F503" s="5"/>
      <c r="G503" s="5"/>
      <c r="H503" s="5"/>
      <c r="I503" s="5"/>
      <c r="K503" s="3"/>
    </row>
    <row r="504" ht="15.75" customHeight="1">
      <c r="E504" s="3"/>
      <c r="F504" s="5"/>
      <c r="G504" s="5"/>
      <c r="H504" s="5"/>
      <c r="I504" s="5"/>
      <c r="K504" s="3"/>
    </row>
    <row r="505" ht="15.75" customHeight="1">
      <c r="E505" s="3"/>
      <c r="F505" s="5"/>
      <c r="G505" s="5"/>
      <c r="H505" s="5"/>
      <c r="I505" s="5"/>
      <c r="K505" s="3"/>
    </row>
    <row r="506" ht="15.75" customHeight="1">
      <c r="E506" s="3"/>
      <c r="F506" s="5"/>
      <c r="G506" s="5"/>
      <c r="H506" s="5"/>
      <c r="I506" s="5"/>
      <c r="K506" s="3"/>
    </row>
    <row r="507" ht="15.75" customHeight="1">
      <c r="E507" s="3"/>
      <c r="F507" s="5"/>
      <c r="G507" s="5"/>
      <c r="H507" s="5"/>
      <c r="I507" s="5"/>
      <c r="K507" s="3"/>
    </row>
    <row r="508" ht="15.75" customHeight="1">
      <c r="E508" s="3"/>
      <c r="F508" s="5"/>
      <c r="G508" s="5"/>
      <c r="H508" s="5"/>
      <c r="I508" s="5"/>
      <c r="K508" s="3"/>
    </row>
    <row r="509" ht="15.75" customHeight="1">
      <c r="E509" s="3"/>
      <c r="F509" s="5"/>
      <c r="G509" s="5"/>
      <c r="H509" s="5"/>
      <c r="I509" s="5"/>
      <c r="K509" s="3"/>
    </row>
    <row r="510" ht="15.75" customHeight="1">
      <c r="E510" s="3"/>
      <c r="F510" s="5"/>
      <c r="G510" s="5"/>
      <c r="H510" s="5"/>
      <c r="I510" s="5"/>
      <c r="K510" s="3"/>
    </row>
    <row r="511" ht="15.75" customHeight="1">
      <c r="E511" s="3"/>
      <c r="F511" s="5"/>
      <c r="G511" s="5"/>
      <c r="H511" s="5"/>
      <c r="I511" s="5"/>
      <c r="K511" s="3"/>
    </row>
    <row r="512" ht="15.75" customHeight="1">
      <c r="E512" s="3"/>
      <c r="F512" s="5"/>
      <c r="G512" s="5"/>
      <c r="H512" s="5"/>
      <c r="I512" s="5"/>
      <c r="K512" s="3"/>
    </row>
    <row r="513" ht="15.75" customHeight="1">
      <c r="E513" s="3"/>
      <c r="F513" s="5"/>
      <c r="G513" s="5"/>
      <c r="H513" s="5"/>
      <c r="I513" s="5"/>
      <c r="K513" s="3"/>
    </row>
    <row r="514" ht="15.75" customHeight="1">
      <c r="E514" s="3"/>
      <c r="F514" s="5"/>
      <c r="G514" s="5"/>
      <c r="H514" s="5"/>
      <c r="I514" s="5"/>
      <c r="K514" s="3"/>
    </row>
    <row r="515" ht="15.75" customHeight="1">
      <c r="E515" s="3"/>
      <c r="F515" s="5"/>
      <c r="G515" s="5"/>
      <c r="H515" s="5"/>
      <c r="I515" s="5"/>
      <c r="K515" s="3"/>
    </row>
    <row r="516" ht="15.75" customHeight="1">
      <c r="E516" s="3"/>
      <c r="F516" s="5"/>
      <c r="G516" s="5"/>
      <c r="H516" s="5"/>
      <c r="I516" s="5"/>
      <c r="K516" s="3"/>
    </row>
    <row r="517" ht="15.75" customHeight="1">
      <c r="E517" s="3"/>
      <c r="F517" s="5"/>
      <c r="G517" s="5"/>
      <c r="H517" s="5"/>
      <c r="I517" s="5"/>
      <c r="K517" s="3"/>
    </row>
    <row r="518" ht="15.75" customHeight="1">
      <c r="E518" s="3"/>
      <c r="F518" s="5"/>
      <c r="G518" s="5"/>
      <c r="H518" s="5"/>
      <c r="I518" s="5"/>
      <c r="K518" s="3"/>
    </row>
    <row r="519" ht="15.75" customHeight="1">
      <c r="E519" s="3"/>
      <c r="F519" s="5"/>
      <c r="G519" s="5"/>
      <c r="H519" s="5"/>
      <c r="I519" s="5"/>
      <c r="K519" s="3"/>
    </row>
    <row r="520" ht="15.75" customHeight="1">
      <c r="E520" s="3"/>
      <c r="F520" s="5"/>
      <c r="G520" s="5"/>
      <c r="H520" s="5"/>
      <c r="I520" s="5"/>
      <c r="K520" s="3"/>
    </row>
    <row r="521" ht="15.75" customHeight="1">
      <c r="E521" s="3"/>
      <c r="F521" s="5"/>
      <c r="G521" s="5"/>
      <c r="H521" s="5"/>
      <c r="I521" s="5"/>
      <c r="K521" s="3"/>
    </row>
    <row r="522" ht="15.75" customHeight="1">
      <c r="E522" s="3"/>
      <c r="F522" s="5"/>
      <c r="G522" s="5"/>
      <c r="H522" s="5"/>
      <c r="I522" s="5"/>
      <c r="K522" s="3"/>
    </row>
    <row r="523" ht="15.75" customHeight="1">
      <c r="E523" s="3"/>
      <c r="F523" s="5"/>
      <c r="G523" s="5"/>
      <c r="H523" s="5"/>
      <c r="I523" s="5"/>
      <c r="K523" s="3"/>
    </row>
    <row r="524" ht="15.75" customHeight="1">
      <c r="E524" s="3"/>
      <c r="F524" s="5"/>
      <c r="G524" s="5"/>
      <c r="H524" s="5"/>
      <c r="I524" s="5"/>
      <c r="K524" s="3"/>
    </row>
    <row r="525" ht="15.75" customHeight="1">
      <c r="E525" s="3"/>
      <c r="F525" s="5"/>
      <c r="G525" s="5"/>
      <c r="H525" s="5"/>
      <c r="I525" s="5"/>
      <c r="K525" s="3"/>
    </row>
    <row r="526" ht="15.75" customHeight="1">
      <c r="E526" s="3"/>
      <c r="F526" s="5"/>
      <c r="G526" s="5"/>
      <c r="H526" s="5"/>
      <c r="I526" s="5"/>
      <c r="K526" s="3"/>
    </row>
    <row r="527" ht="15.75" customHeight="1">
      <c r="E527" s="3"/>
      <c r="F527" s="5"/>
      <c r="G527" s="5"/>
      <c r="H527" s="5"/>
      <c r="I527" s="5"/>
      <c r="K527" s="3"/>
    </row>
    <row r="528" ht="15.75" customHeight="1">
      <c r="E528" s="3"/>
      <c r="F528" s="5"/>
      <c r="G528" s="5"/>
      <c r="H528" s="5"/>
      <c r="I528" s="5"/>
      <c r="K528" s="3"/>
    </row>
    <row r="529" ht="15.75" customHeight="1">
      <c r="E529" s="3"/>
      <c r="F529" s="5"/>
      <c r="G529" s="5"/>
      <c r="H529" s="5"/>
      <c r="I529" s="5"/>
      <c r="K529" s="3"/>
    </row>
    <row r="530" ht="15.75" customHeight="1">
      <c r="E530" s="3"/>
      <c r="F530" s="5"/>
      <c r="G530" s="5"/>
      <c r="H530" s="5"/>
      <c r="I530" s="5"/>
      <c r="K530" s="3"/>
    </row>
    <row r="531" ht="15.75" customHeight="1">
      <c r="E531" s="3"/>
      <c r="F531" s="5"/>
      <c r="G531" s="5"/>
      <c r="H531" s="5"/>
      <c r="I531" s="5"/>
      <c r="K531" s="3"/>
    </row>
    <row r="532" ht="15.75" customHeight="1">
      <c r="E532" s="3"/>
      <c r="F532" s="5"/>
      <c r="G532" s="5"/>
      <c r="H532" s="5"/>
      <c r="I532" s="5"/>
      <c r="K532" s="3"/>
    </row>
    <row r="533" ht="15.75" customHeight="1">
      <c r="E533" s="3"/>
      <c r="F533" s="5"/>
      <c r="G533" s="5"/>
      <c r="H533" s="5"/>
      <c r="I533" s="5"/>
      <c r="K533" s="3"/>
    </row>
    <row r="534" ht="15.75" customHeight="1">
      <c r="E534" s="3"/>
      <c r="F534" s="5"/>
      <c r="G534" s="5"/>
      <c r="H534" s="5"/>
      <c r="I534" s="5"/>
      <c r="K534" s="3"/>
    </row>
    <row r="535" ht="15.75" customHeight="1">
      <c r="E535" s="3"/>
      <c r="F535" s="5"/>
      <c r="G535" s="5"/>
      <c r="H535" s="5"/>
      <c r="I535" s="5"/>
      <c r="K535" s="3"/>
    </row>
    <row r="536" ht="15.75" customHeight="1">
      <c r="E536" s="3"/>
      <c r="F536" s="5"/>
      <c r="G536" s="5"/>
      <c r="H536" s="5"/>
      <c r="I536" s="5"/>
      <c r="K536" s="3"/>
    </row>
    <row r="537" ht="15.75" customHeight="1">
      <c r="E537" s="3"/>
      <c r="F537" s="5"/>
      <c r="G537" s="5"/>
      <c r="H537" s="5"/>
      <c r="I537" s="5"/>
      <c r="K537" s="3"/>
    </row>
    <row r="538" ht="15.75" customHeight="1">
      <c r="E538" s="3"/>
      <c r="F538" s="5"/>
      <c r="G538" s="5"/>
      <c r="H538" s="5"/>
      <c r="I538" s="5"/>
      <c r="K538" s="3"/>
    </row>
    <row r="539" ht="15.75" customHeight="1">
      <c r="E539" s="3"/>
      <c r="F539" s="5"/>
      <c r="G539" s="5"/>
      <c r="H539" s="5"/>
      <c r="I539" s="5"/>
      <c r="K539" s="3"/>
    </row>
    <row r="540" ht="15.75" customHeight="1">
      <c r="E540" s="3"/>
      <c r="F540" s="5"/>
      <c r="G540" s="5"/>
      <c r="H540" s="5"/>
      <c r="I540" s="5"/>
      <c r="K540" s="3"/>
    </row>
    <row r="541" ht="15.75" customHeight="1">
      <c r="E541" s="3"/>
      <c r="F541" s="5"/>
      <c r="G541" s="5"/>
      <c r="H541" s="5"/>
      <c r="I541" s="5"/>
      <c r="K541" s="3"/>
    </row>
    <row r="542" ht="15.75" customHeight="1">
      <c r="E542" s="3"/>
      <c r="F542" s="5"/>
      <c r="G542" s="5"/>
      <c r="H542" s="5"/>
      <c r="I542" s="5"/>
      <c r="K542" s="3"/>
    </row>
    <row r="543" ht="15.75" customHeight="1">
      <c r="E543" s="3"/>
      <c r="F543" s="5"/>
      <c r="G543" s="5"/>
      <c r="H543" s="5"/>
      <c r="I543" s="5"/>
      <c r="K543" s="3"/>
    </row>
    <row r="544" ht="15.75" customHeight="1">
      <c r="E544" s="3"/>
      <c r="F544" s="5"/>
      <c r="G544" s="5"/>
      <c r="H544" s="5"/>
      <c r="I544" s="5"/>
      <c r="K544" s="3"/>
    </row>
    <row r="545" ht="15.75" customHeight="1">
      <c r="E545" s="3"/>
      <c r="F545" s="5"/>
      <c r="G545" s="5"/>
      <c r="H545" s="5"/>
      <c r="I545" s="5"/>
      <c r="K545" s="3"/>
    </row>
    <row r="546" ht="15.75" customHeight="1">
      <c r="E546" s="3"/>
      <c r="F546" s="5"/>
      <c r="G546" s="5"/>
      <c r="H546" s="5"/>
      <c r="I546" s="5"/>
      <c r="K546" s="3"/>
    </row>
    <row r="547" ht="15.75" customHeight="1">
      <c r="E547" s="3"/>
      <c r="F547" s="5"/>
      <c r="G547" s="5"/>
      <c r="H547" s="5"/>
      <c r="I547" s="5"/>
      <c r="K547" s="3"/>
    </row>
    <row r="548" ht="15.75" customHeight="1">
      <c r="E548" s="3"/>
      <c r="F548" s="5"/>
      <c r="G548" s="5"/>
      <c r="H548" s="5"/>
      <c r="I548" s="5"/>
      <c r="K548" s="3"/>
    </row>
    <row r="549" ht="15.75" customHeight="1">
      <c r="E549" s="3"/>
      <c r="F549" s="5"/>
      <c r="G549" s="5"/>
      <c r="H549" s="5"/>
      <c r="I549" s="5"/>
      <c r="K549" s="3"/>
    </row>
    <row r="550" ht="15.75" customHeight="1">
      <c r="E550" s="3"/>
      <c r="F550" s="5"/>
      <c r="G550" s="5"/>
      <c r="H550" s="5"/>
      <c r="I550" s="5"/>
      <c r="K550" s="3"/>
    </row>
    <row r="551" ht="15.75" customHeight="1">
      <c r="E551" s="3"/>
      <c r="F551" s="5"/>
      <c r="G551" s="5"/>
      <c r="H551" s="5"/>
      <c r="I551" s="5"/>
      <c r="K551" s="3"/>
    </row>
    <row r="552" ht="15.75" customHeight="1">
      <c r="E552" s="3"/>
      <c r="F552" s="5"/>
      <c r="G552" s="5"/>
      <c r="H552" s="5"/>
      <c r="I552" s="5"/>
      <c r="K552" s="3"/>
    </row>
    <row r="553" ht="15.75" customHeight="1">
      <c r="E553" s="3"/>
      <c r="F553" s="5"/>
      <c r="G553" s="5"/>
      <c r="H553" s="5"/>
      <c r="I553" s="5"/>
      <c r="K553" s="3"/>
    </row>
    <row r="554" ht="15.75" customHeight="1">
      <c r="E554" s="3"/>
      <c r="F554" s="5"/>
      <c r="G554" s="5"/>
      <c r="H554" s="5"/>
      <c r="I554" s="5"/>
      <c r="K554" s="3"/>
    </row>
    <row r="555" ht="15.75" customHeight="1">
      <c r="E555" s="3"/>
      <c r="F555" s="5"/>
      <c r="G555" s="5"/>
      <c r="H555" s="5"/>
      <c r="I555" s="5"/>
      <c r="K555" s="3"/>
    </row>
    <row r="556" ht="15.75" customHeight="1">
      <c r="E556" s="3"/>
      <c r="F556" s="5"/>
      <c r="G556" s="5"/>
      <c r="H556" s="5"/>
      <c r="I556" s="5"/>
      <c r="K556" s="3"/>
    </row>
    <row r="557" ht="15.75" customHeight="1">
      <c r="E557" s="3"/>
      <c r="F557" s="5"/>
      <c r="G557" s="5"/>
      <c r="H557" s="5"/>
      <c r="I557" s="5"/>
      <c r="K557" s="3"/>
    </row>
    <row r="558" ht="15.75" customHeight="1">
      <c r="E558" s="3"/>
      <c r="F558" s="5"/>
      <c r="G558" s="5"/>
      <c r="H558" s="5"/>
      <c r="I558" s="5"/>
      <c r="K558" s="3"/>
    </row>
    <row r="559" ht="15.75" customHeight="1">
      <c r="E559" s="3"/>
      <c r="F559" s="5"/>
      <c r="G559" s="5"/>
      <c r="H559" s="5"/>
      <c r="I559" s="5"/>
      <c r="K559" s="3"/>
    </row>
    <row r="560" ht="15.75" customHeight="1">
      <c r="E560" s="3"/>
      <c r="F560" s="5"/>
      <c r="G560" s="5"/>
      <c r="H560" s="5"/>
      <c r="I560" s="5"/>
      <c r="K560" s="3"/>
    </row>
    <row r="561" ht="15.75" customHeight="1">
      <c r="E561" s="3"/>
      <c r="F561" s="5"/>
      <c r="G561" s="5"/>
      <c r="H561" s="5"/>
      <c r="I561" s="5"/>
      <c r="K561" s="3"/>
    </row>
    <row r="562" ht="15.75" customHeight="1">
      <c r="E562" s="3"/>
      <c r="F562" s="5"/>
      <c r="G562" s="5"/>
      <c r="H562" s="5"/>
      <c r="I562" s="5"/>
      <c r="K562" s="3"/>
    </row>
    <row r="563" ht="15.75" customHeight="1">
      <c r="E563" s="3"/>
      <c r="F563" s="5"/>
      <c r="G563" s="5"/>
      <c r="H563" s="5"/>
      <c r="I563" s="5"/>
      <c r="K563" s="3"/>
    </row>
    <row r="564" ht="15.75" customHeight="1">
      <c r="E564" s="3"/>
      <c r="F564" s="5"/>
      <c r="G564" s="5"/>
      <c r="H564" s="5"/>
      <c r="I564" s="5"/>
      <c r="K564" s="3"/>
    </row>
    <row r="565" ht="15.75" customHeight="1">
      <c r="E565" s="3"/>
      <c r="F565" s="5"/>
      <c r="G565" s="5"/>
      <c r="H565" s="5"/>
      <c r="I565" s="5"/>
      <c r="K565" s="3"/>
    </row>
    <row r="566" ht="15.75" customHeight="1">
      <c r="E566" s="3"/>
      <c r="F566" s="5"/>
      <c r="G566" s="5"/>
      <c r="H566" s="5"/>
      <c r="I566" s="5"/>
      <c r="K566" s="3"/>
    </row>
    <row r="567" ht="15.75" customHeight="1">
      <c r="E567" s="3"/>
      <c r="F567" s="5"/>
      <c r="G567" s="5"/>
      <c r="H567" s="5"/>
      <c r="I567" s="5"/>
      <c r="K567" s="3"/>
    </row>
    <row r="568" ht="15.75" customHeight="1">
      <c r="E568" s="3"/>
      <c r="F568" s="5"/>
      <c r="G568" s="5"/>
      <c r="H568" s="5"/>
      <c r="I568" s="5"/>
      <c r="K568" s="3"/>
    </row>
    <row r="569" ht="15.75" customHeight="1">
      <c r="E569" s="3"/>
      <c r="F569" s="5"/>
      <c r="G569" s="5"/>
      <c r="H569" s="5"/>
      <c r="I569" s="5"/>
      <c r="K569" s="3"/>
    </row>
    <row r="570" ht="15.75" customHeight="1">
      <c r="E570" s="3"/>
      <c r="F570" s="5"/>
      <c r="G570" s="5"/>
      <c r="H570" s="5"/>
      <c r="I570" s="5"/>
      <c r="K570" s="3"/>
    </row>
    <row r="571" ht="15.75" customHeight="1">
      <c r="E571" s="3"/>
      <c r="F571" s="5"/>
      <c r="G571" s="5"/>
      <c r="H571" s="5"/>
      <c r="I571" s="5"/>
      <c r="K571" s="3"/>
    </row>
    <row r="572" ht="15.75" customHeight="1">
      <c r="E572" s="3"/>
      <c r="F572" s="5"/>
      <c r="G572" s="5"/>
      <c r="H572" s="5"/>
      <c r="I572" s="5"/>
      <c r="K572" s="3"/>
    </row>
    <row r="573" ht="15.75" customHeight="1">
      <c r="E573" s="3"/>
      <c r="F573" s="5"/>
      <c r="G573" s="5"/>
      <c r="H573" s="5"/>
      <c r="I573" s="5"/>
      <c r="K573" s="3"/>
    </row>
    <row r="574" ht="15.75" customHeight="1">
      <c r="E574" s="3"/>
      <c r="F574" s="5"/>
      <c r="G574" s="5"/>
      <c r="H574" s="5"/>
      <c r="I574" s="5"/>
      <c r="K574" s="3"/>
    </row>
    <row r="575" ht="15.75" customHeight="1">
      <c r="E575" s="3"/>
      <c r="F575" s="5"/>
      <c r="G575" s="5"/>
      <c r="H575" s="5"/>
      <c r="I575" s="5"/>
      <c r="K575" s="3"/>
    </row>
    <row r="576" ht="15.75" customHeight="1">
      <c r="E576" s="3"/>
      <c r="F576" s="5"/>
      <c r="G576" s="5"/>
      <c r="H576" s="5"/>
      <c r="I576" s="5"/>
      <c r="K576" s="3"/>
    </row>
    <row r="577" ht="15.75" customHeight="1">
      <c r="E577" s="3"/>
      <c r="F577" s="5"/>
      <c r="G577" s="5"/>
      <c r="H577" s="5"/>
      <c r="I577" s="5"/>
      <c r="K577" s="3"/>
    </row>
    <row r="578" ht="15.75" customHeight="1">
      <c r="E578" s="3"/>
      <c r="F578" s="5"/>
      <c r="G578" s="5"/>
      <c r="H578" s="5"/>
      <c r="I578" s="5"/>
      <c r="K578" s="3"/>
    </row>
    <row r="579" ht="15.75" customHeight="1">
      <c r="E579" s="3"/>
      <c r="F579" s="5"/>
      <c r="G579" s="5"/>
      <c r="H579" s="5"/>
      <c r="I579" s="5"/>
      <c r="K579" s="3"/>
    </row>
    <row r="580" ht="15.75" customHeight="1">
      <c r="E580" s="3"/>
      <c r="F580" s="5"/>
      <c r="G580" s="5"/>
      <c r="H580" s="5"/>
      <c r="I580" s="5"/>
      <c r="K580" s="3"/>
    </row>
    <row r="581" ht="15.75" customHeight="1">
      <c r="E581" s="3"/>
      <c r="F581" s="5"/>
      <c r="G581" s="5"/>
      <c r="H581" s="5"/>
      <c r="I581" s="5"/>
      <c r="K581" s="3"/>
    </row>
    <row r="582" ht="15.75" customHeight="1">
      <c r="E582" s="3"/>
      <c r="F582" s="5"/>
      <c r="G582" s="5"/>
      <c r="H582" s="5"/>
      <c r="I582" s="5"/>
      <c r="K582" s="3"/>
    </row>
    <row r="583" ht="15.75" customHeight="1">
      <c r="E583" s="3"/>
      <c r="F583" s="5"/>
      <c r="G583" s="5"/>
      <c r="H583" s="5"/>
      <c r="I583" s="5"/>
      <c r="K583" s="3"/>
    </row>
    <row r="584" ht="15.75" customHeight="1">
      <c r="E584" s="3"/>
      <c r="F584" s="5"/>
      <c r="G584" s="5"/>
      <c r="H584" s="5"/>
      <c r="I584" s="5"/>
      <c r="K584" s="3"/>
    </row>
    <row r="585" ht="15.75" customHeight="1">
      <c r="E585" s="3"/>
      <c r="F585" s="5"/>
      <c r="G585" s="5"/>
      <c r="H585" s="5"/>
      <c r="I585" s="5"/>
      <c r="K585" s="3"/>
    </row>
    <row r="586" ht="15.75" customHeight="1">
      <c r="E586" s="3"/>
      <c r="F586" s="5"/>
      <c r="G586" s="5"/>
      <c r="H586" s="5"/>
      <c r="I586" s="5"/>
      <c r="K586" s="3"/>
    </row>
    <row r="587" ht="15.75" customHeight="1">
      <c r="E587" s="3"/>
      <c r="F587" s="5"/>
      <c r="G587" s="5"/>
      <c r="H587" s="5"/>
      <c r="I587" s="5"/>
      <c r="K587" s="3"/>
    </row>
    <row r="588" ht="15.75" customHeight="1">
      <c r="E588" s="3"/>
      <c r="F588" s="5"/>
      <c r="G588" s="5"/>
      <c r="H588" s="5"/>
      <c r="I588" s="5"/>
      <c r="K588" s="3"/>
    </row>
    <row r="589" ht="15.75" customHeight="1">
      <c r="E589" s="3"/>
      <c r="F589" s="5"/>
      <c r="G589" s="5"/>
      <c r="H589" s="5"/>
      <c r="I589" s="5"/>
      <c r="K589" s="3"/>
    </row>
    <row r="590" ht="15.75" customHeight="1">
      <c r="E590" s="3"/>
      <c r="F590" s="5"/>
      <c r="G590" s="5"/>
      <c r="H590" s="5"/>
      <c r="I590" s="5"/>
      <c r="K590" s="3"/>
    </row>
    <row r="591" ht="15.75" customHeight="1">
      <c r="E591" s="3"/>
      <c r="F591" s="5"/>
      <c r="G591" s="5"/>
      <c r="H591" s="5"/>
      <c r="I591" s="5"/>
      <c r="K591" s="3"/>
    </row>
    <row r="592" ht="15.75" customHeight="1">
      <c r="E592" s="3"/>
      <c r="F592" s="5"/>
      <c r="G592" s="5"/>
      <c r="H592" s="5"/>
      <c r="I592" s="5"/>
      <c r="K592" s="3"/>
    </row>
    <row r="593" ht="15.75" customHeight="1">
      <c r="E593" s="3"/>
      <c r="F593" s="5"/>
      <c r="G593" s="5"/>
      <c r="H593" s="5"/>
      <c r="I593" s="5"/>
      <c r="K593" s="3"/>
    </row>
    <row r="594" ht="15.75" customHeight="1">
      <c r="E594" s="3"/>
      <c r="F594" s="5"/>
      <c r="G594" s="5"/>
      <c r="H594" s="5"/>
      <c r="I594" s="5"/>
      <c r="K594" s="3"/>
    </row>
    <row r="595" ht="15.75" customHeight="1">
      <c r="E595" s="3"/>
      <c r="F595" s="5"/>
      <c r="G595" s="5"/>
      <c r="H595" s="5"/>
      <c r="I595" s="5"/>
      <c r="K595" s="3"/>
    </row>
    <row r="596" ht="15.75" customHeight="1">
      <c r="E596" s="3"/>
      <c r="F596" s="5"/>
      <c r="G596" s="5"/>
      <c r="H596" s="5"/>
      <c r="I596" s="5"/>
      <c r="K596" s="3"/>
    </row>
    <row r="597" ht="15.75" customHeight="1">
      <c r="E597" s="3"/>
      <c r="F597" s="5"/>
      <c r="G597" s="5"/>
      <c r="H597" s="5"/>
      <c r="I597" s="5"/>
      <c r="K597" s="3"/>
    </row>
    <row r="598" ht="15.75" customHeight="1">
      <c r="E598" s="3"/>
      <c r="F598" s="5"/>
      <c r="G598" s="5"/>
      <c r="H598" s="5"/>
      <c r="I598" s="5"/>
      <c r="K598" s="3"/>
    </row>
    <row r="599" ht="15.75" customHeight="1">
      <c r="E599" s="3"/>
      <c r="F599" s="5"/>
      <c r="G599" s="5"/>
      <c r="H599" s="5"/>
      <c r="I599" s="5"/>
      <c r="K599" s="3"/>
    </row>
    <row r="600" ht="15.75" customHeight="1">
      <c r="E600" s="3"/>
      <c r="F600" s="5"/>
      <c r="G600" s="5"/>
      <c r="H600" s="5"/>
      <c r="I600" s="5"/>
      <c r="K600" s="3"/>
    </row>
    <row r="601" ht="15.75" customHeight="1">
      <c r="E601" s="3"/>
      <c r="F601" s="5"/>
      <c r="G601" s="5"/>
      <c r="H601" s="5"/>
      <c r="I601" s="5"/>
      <c r="K601" s="3"/>
    </row>
    <row r="602" ht="15.75" customHeight="1">
      <c r="E602" s="3"/>
      <c r="F602" s="5"/>
      <c r="G602" s="5"/>
      <c r="H602" s="5"/>
      <c r="I602" s="5"/>
      <c r="K602" s="3"/>
    </row>
    <row r="603" ht="15.75" customHeight="1">
      <c r="E603" s="3"/>
      <c r="F603" s="5"/>
      <c r="G603" s="5"/>
      <c r="H603" s="5"/>
      <c r="I603" s="5"/>
      <c r="K603" s="3"/>
    </row>
    <row r="604" ht="15.75" customHeight="1">
      <c r="E604" s="3"/>
      <c r="F604" s="5"/>
      <c r="G604" s="5"/>
      <c r="H604" s="5"/>
      <c r="I604" s="5"/>
      <c r="K604" s="3"/>
    </row>
    <row r="605" ht="15.75" customHeight="1">
      <c r="E605" s="3"/>
      <c r="F605" s="5"/>
      <c r="G605" s="5"/>
      <c r="H605" s="5"/>
      <c r="I605" s="5"/>
      <c r="K605" s="3"/>
    </row>
    <row r="606" ht="15.75" customHeight="1">
      <c r="E606" s="3"/>
      <c r="F606" s="5"/>
      <c r="G606" s="5"/>
      <c r="H606" s="5"/>
      <c r="I606" s="5"/>
      <c r="K606" s="3"/>
    </row>
    <row r="607" ht="15.75" customHeight="1">
      <c r="E607" s="3"/>
      <c r="F607" s="5"/>
      <c r="G607" s="5"/>
      <c r="H607" s="5"/>
      <c r="I607" s="5"/>
      <c r="K607" s="3"/>
    </row>
    <row r="608" ht="15.75" customHeight="1">
      <c r="E608" s="3"/>
      <c r="F608" s="5"/>
      <c r="G608" s="5"/>
      <c r="H608" s="5"/>
      <c r="I608" s="5"/>
      <c r="K608" s="3"/>
    </row>
    <row r="609" ht="15.75" customHeight="1">
      <c r="E609" s="3"/>
      <c r="F609" s="5"/>
      <c r="G609" s="5"/>
      <c r="H609" s="5"/>
      <c r="I609" s="5"/>
      <c r="K609" s="3"/>
    </row>
    <row r="610" ht="15.75" customHeight="1">
      <c r="E610" s="3"/>
      <c r="F610" s="5"/>
      <c r="G610" s="5"/>
      <c r="H610" s="5"/>
      <c r="I610" s="5"/>
      <c r="K610" s="3"/>
    </row>
    <row r="611" ht="15.75" customHeight="1">
      <c r="E611" s="3"/>
      <c r="F611" s="5"/>
      <c r="G611" s="5"/>
      <c r="H611" s="5"/>
      <c r="I611" s="5"/>
      <c r="K611" s="3"/>
    </row>
    <row r="612" ht="15.75" customHeight="1">
      <c r="E612" s="3"/>
      <c r="F612" s="5"/>
      <c r="G612" s="5"/>
      <c r="H612" s="5"/>
      <c r="I612" s="5"/>
      <c r="K612" s="3"/>
    </row>
    <row r="613" ht="15.75" customHeight="1">
      <c r="E613" s="3"/>
      <c r="F613" s="5"/>
      <c r="G613" s="5"/>
      <c r="H613" s="5"/>
      <c r="I613" s="5"/>
      <c r="K613" s="3"/>
    </row>
    <row r="614" ht="15.75" customHeight="1">
      <c r="E614" s="3"/>
      <c r="F614" s="5"/>
      <c r="G614" s="5"/>
      <c r="H614" s="5"/>
      <c r="I614" s="5"/>
      <c r="K614" s="3"/>
    </row>
    <row r="615" ht="15.75" customHeight="1">
      <c r="E615" s="3"/>
      <c r="F615" s="5"/>
      <c r="G615" s="5"/>
      <c r="H615" s="5"/>
      <c r="I615" s="5"/>
      <c r="K615" s="3"/>
    </row>
    <row r="616" ht="15.75" customHeight="1">
      <c r="E616" s="3"/>
      <c r="F616" s="5"/>
      <c r="G616" s="5"/>
      <c r="H616" s="5"/>
      <c r="I616" s="5"/>
      <c r="K616" s="3"/>
    </row>
    <row r="617" ht="15.75" customHeight="1">
      <c r="E617" s="3"/>
      <c r="F617" s="5"/>
      <c r="G617" s="5"/>
      <c r="H617" s="5"/>
      <c r="I617" s="5"/>
      <c r="K617" s="3"/>
    </row>
    <row r="618" ht="15.75" customHeight="1">
      <c r="E618" s="3"/>
      <c r="F618" s="5"/>
      <c r="G618" s="5"/>
      <c r="H618" s="5"/>
      <c r="I618" s="5"/>
      <c r="K618" s="3"/>
    </row>
    <row r="619" ht="15.75" customHeight="1">
      <c r="E619" s="3"/>
      <c r="F619" s="5"/>
      <c r="G619" s="5"/>
      <c r="H619" s="5"/>
      <c r="I619" s="5"/>
      <c r="K619" s="3"/>
    </row>
    <row r="620" ht="15.75" customHeight="1">
      <c r="E620" s="3"/>
      <c r="F620" s="5"/>
      <c r="G620" s="5"/>
      <c r="H620" s="5"/>
      <c r="I620" s="5"/>
      <c r="K620" s="3"/>
    </row>
    <row r="621" ht="15.75" customHeight="1">
      <c r="E621" s="3"/>
      <c r="F621" s="5"/>
      <c r="G621" s="5"/>
      <c r="H621" s="5"/>
      <c r="I621" s="5"/>
      <c r="K621" s="3"/>
    </row>
    <row r="622" ht="15.75" customHeight="1">
      <c r="E622" s="3"/>
      <c r="F622" s="5"/>
      <c r="G622" s="5"/>
      <c r="H622" s="5"/>
      <c r="I622" s="5"/>
      <c r="K622" s="3"/>
    </row>
    <row r="623" ht="15.75" customHeight="1">
      <c r="E623" s="3"/>
      <c r="F623" s="5"/>
      <c r="G623" s="5"/>
      <c r="H623" s="5"/>
      <c r="I623" s="5"/>
      <c r="K623" s="3"/>
    </row>
    <row r="624" ht="15.75" customHeight="1">
      <c r="E624" s="3"/>
      <c r="F624" s="5"/>
      <c r="G624" s="5"/>
      <c r="H624" s="5"/>
      <c r="I624" s="5"/>
      <c r="K624" s="3"/>
    </row>
    <row r="625" ht="15.75" customHeight="1">
      <c r="E625" s="3"/>
      <c r="F625" s="5"/>
      <c r="G625" s="5"/>
      <c r="H625" s="5"/>
      <c r="I625" s="5"/>
      <c r="K625" s="3"/>
    </row>
    <row r="626" ht="15.75" customHeight="1">
      <c r="E626" s="3"/>
      <c r="F626" s="5"/>
      <c r="G626" s="5"/>
      <c r="H626" s="5"/>
      <c r="I626" s="5"/>
      <c r="K626" s="3"/>
    </row>
    <row r="627" ht="15.75" customHeight="1">
      <c r="E627" s="3"/>
      <c r="F627" s="5"/>
      <c r="G627" s="5"/>
      <c r="H627" s="5"/>
      <c r="I627" s="5"/>
      <c r="K627" s="3"/>
    </row>
    <row r="628" ht="15.75" customHeight="1">
      <c r="E628" s="3"/>
      <c r="F628" s="5"/>
      <c r="G628" s="5"/>
      <c r="H628" s="5"/>
      <c r="I628" s="5"/>
      <c r="K628" s="3"/>
    </row>
    <row r="629" ht="15.75" customHeight="1">
      <c r="E629" s="3"/>
      <c r="F629" s="5"/>
      <c r="G629" s="5"/>
      <c r="H629" s="5"/>
      <c r="I629" s="5"/>
      <c r="K629" s="3"/>
    </row>
    <row r="630" ht="15.75" customHeight="1">
      <c r="E630" s="3"/>
      <c r="F630" s="5"/>
      <c r="G630" s="5"/>
      <c r="H630" s="5"/>
      <c r="I630" s="5"/>
      <c r="K630" s="3"/>
    </row>
    <row r="631" ht="15.75" customHeight="1">
      <c r="E631" s="3"/>
      <c r="F631" s="5"/>
      <c r="G631" s="5"/>
      <c r="H631" s="5"/>
      <c r="I631" s="5"/>
      <c r="K631" s="3"/>
    </row>
    <row r="632" ht="15.75" customHeight="1">
      <c r="E632" s="3"/>
      <c r="F632" s="5"/>
      <c r="G632" s="5"/>
      <c r="H632" s="5"/>
      <c r="I632" s="5"/>
      <c r="K632" s="3"/>
    </row>
    <row r="633" ht="15.75" customHeight="1">
      <c r="E633" s="3"/>
      <c r="F633" s="5"/>
      <c r="G633" s="5"/>
      <c r="H633" s="5"/>
      <c r="I633" s="5"/>
      <c r="K633" s="3"/>
    </row>
    <row r="634" ht="15.75" customHeight="1">
      <c r="E634" s="3"/>
      <c r="F634" s="5"/>
      <c r="G634" s="5"/>
      <c r="H634" s="5"/>
      <c r="I634" s="5"/>
      <c r="K634" s="3"/>
    </row>
    <row r="635" ht="15.75" customHeight="1">
      <c r="E635" s="3"/>
      <c r="F635" s="5"/>
      <c r="G635" s="5"/>
      <c r="H635" s="5"/>
      <c r="I635" s="5"/>
      <c r="K635" s="3"/>
    </row>
    <row r="636" ht="15.75" customHeight="1">
      <c r="E636" s="3"/>
      <c r="F636" s="5"/>
      <c r="G636" s="5"/>
      <c r="H636" s="5"/>
      <c r="I636" s="5"/>
      <c r="K636" s="3"/>
    </row>
    <row r="637" ht="15.75" customHeight="1">
      <c r="E637" s="3"/>
      <c r="F637" s="5"/>
      <c r="G637" s="5"/>
      <c r="H637" s="5"/>
      <c r="I637" s="5"/>
      <c r="K637" s="3"/>
    </row>
    <row r="638" ht="15.75" customHeight="1">
      <c r="E638" s="3"/>
      <c r="F638" s="5"/>
      <c r="G638" s="5"/>
      <c r="H638" s="5"/>
      <c r="I638" s="5"/>
      <c r="K638" s="3"/>
    </row>
    <row r="639" ht="15.75" customHeight="1">
      <c r="E639" s="3"/>
      <c r="F639" s="5"/>
      <c r="G639" s="5"/>
      <c r="H639" s="5"/>
      <c r="I639" s="5"/>
      <c r="K639" s="3"/>
    </row>
    <row r="640" ht="15.75" customHeight="1">
      <c r="E640" s="3"/>
      <c r="F640" s="5"/>
      <c r="G640" s="5"/>
      <c r="H640" s="5"/>
      <c r="I640" s="5"/>
      <c r="K640" s="3"/>
    </row>
    <row r="641" ht="15.75" customHeight="1">
      <c r="E641" s="3"/>
      <c r="F641" s="5"/>
      <c r="G641" s="5"/>
      <c r="H641" s="5"/>
      <c r="I641" s="5"/>
      <c r="K641" s="3"/>
    </row>
    <row r="642" ht="15.75" customHeight="1">
      <c r="E642" s="3"/>
      <c r="F642" s="5"/>
      <c r="G642" s="5"/>
      <c r="H642" s="5"/>
      <c r="I642" s="5"/>
      <c r="K642" s="3"/>
    </row>
    <row r="643" ht="15.75" customHeight="1">
      <c r="E643" s="3"/>
      <c r="F643" s="5"/>
      <c r="G643" s="5"/>
      <c r="H643" s="5"/>
      <c r="I643" s="5"/>
      <c r="K643" s="3"/>
    </row>
    <row r="644" ht="15.75" customHeight="1">
      <c r="E644" s="3"/>
      <c r="F644" s="5"/>
      <c r="G644" s="5"/>
      <c r="H644" s="5"/>
      <c r="I644" s="5"/>
      <c r="K644" s="3"/>
    </row>
    <row r="645" ht="15.75" customHeight="1">
      <c r="E645" s="3"/>
      <c r="F645" s="5"/>
      <c r="G645" s="5"/>
      <c r="H645" s="5"/>
      <c r="I645" s="5"/>
      <c r="K645" s="3"/>
    </row>
    <row r="646" ht="15.75" customHeight="1">
      <c r="E646" s="3"/>
      <c r="F646" s="5"/>
      <c r="G646" s="5"/>
      <c r="H646" s="5"/>
      <c r="I646" s="5"/>
      <c r="K646" s="3"/>
    </row>
    <row r="647" ht="15.75" customHeight="1">
      <c r="E647" s="3"/>
      <c r="F647" s="5"/>
      <c r="G647" s="5"/>
      <c r="H647" s="5"/>
      <c r="I647" s="5"/>
      <c r="K647" s="3"/>
    </row>
    <row r="648" ht="15.75" customHeight="1">
      <c r="E648" s="3"/>
      <c r="F648" s="5"/>
      <c r="G648" s="5"/>
      <c r="H648" s="5"/>
      <c r="I648" s="5"/>
      <c r="K648" s="3"/>
    </row>
    <row r="649" ht="15.75" customHeight="1">
      <c r="E649" s="3"/>
      <c r="F649" s="5"/>
      <c r="G649" s="5"/>
      <c r="H649" s="5"/>
      <c r="I649" s="5"/>
      <c r="K649" s="3"/>
    </row>
    <row r="650" ht="15.75" customHeight="1">
      <c r="E650" s="3"/>
      <c r="F650" s="5"/>
      <c r="G650" s="5"/>
      <c r="H650" s="5"/>
      <c r="I650" s="5"/>
      <c r="K650" s="3"/>
    </row>
    <row r="651" ht="15.75" customHeight="1">
      <c r="E651" s="3"/>
      <c r="F651" s="5"/>
      <c r="G651" s="5"/>
      <c r="H651" s="5"/>
      <c r="I651" s="5"/>
      <c r="K651" s="3"/>
    </row>
    <row r="652" ht="15.75" customHeight="1">
      <c r="E652" s="3"/>
      <c r="F652" s="5"/>
      <c r="G652" s="5"/>
      <c r="H652" s="5"/>
      <c r="I652" s="5"/>
      <c r="K652" s="3"/>
    </row>
    <row r="653" ht="15.75" customHeight="1">
      <c r="E653" s="3"/>
      <c r="F653" s="5"/>
      <c r="G653" s="5"/>
      <c r="H653" s="5"/>
      <c r="I653" s="5"/>
      <c r="K653" s="3"/>
    </row>
    <row r="654" ht="15.75" customHeight="1">
      <c r="E654" s="3"/>
      <c r="F654" s="5"/>
      <c r="G654" s="5"/>
      <c r="H654" s="5"/>
      <c r="I654" s="5"/>
      <c r="K654" s="3"/>
    </row>
    <row r="655" ht="15.75" customHeight="1">
      <c r="E655" s="3"/>
      <c r="F655" s="5"/>
      <c r="G655" s="5"/>
      <c r="H655" s="5"/>
      <c r="I655" s="5"/>
      <c r="K655" s="3"/>
    </row>
    <row r="656" ht="15.75" customHeight="1">
      <c r="E656" s="3"/>
      <c r="F656" s="5"/>
      <c r="G656" s="5"/>
      <c r="H656" s="5"/>
      <c r="I656" s="5"/>
      <c r="K656" s="3"/>
    </row>
    <row r="657" ht="15.75" customHeight="1">
      <c r="E657" s="3"/>
      <c r="F657" s="5"/>
      <c r="G657" s="5"/>
      <c r="H657" s="5"/>
      <c r="I657" s="5"/>
      <c r="K657" s="3"/>
    </row>
    <row r="658" ht="15.75" customHeight="1">
      <c r="E658" s="3"/>
      <c r="F658" s="5"/>
      <c r="G658" s="5"/>
      <c r="H658" s="5"/>
      <c r="I658" s="5"/>
      <c r="K658" s="3"/>
    </row>
    <row r="659" ht="15.75" customHeight="1">
      <c r="E659" s="3"/>
      <c r="F659" s="5"/>
      <c r="G659" s="5"/>
      <c r="H659" s="5"/>
      <c r="I659" s="5"/>
      <c r="K659" s="3"/>
    </row>
    <row r="660" ht="15.75" customHeight="1">
      <c r="E660" s="3"/>
      <c r="F660" s="5"/>
      <c r="G660" s="5"/>
      <c r="H660" s="5"/>
      <c r="I660" s="5"/>
      <c r="K660" s="3"/>
    </row>
    <row r="661" ht="15.75" customHeight="1">
      <c r="E661" s="3"/>
      <c r="F661" s="5"/>
      <c r="G661" s="5"/>
      <c r="H661" s="5"/>
      <c r="I661" s="5"/>
      <c r="K661" s="3"/>
    </row>
    <row r="662" ht="15.75" customHeight="1">
      <c r="E662" s="3"/>
      <c r="F662" s="5"/>
      <c r="G662" s="5"/>
      <c r="H662" s="5"/>
      <c r="I662" s="5"/>
      <c r="K662" s="3"/>
    </row>
    <row r="663" ht="15.75" customHeight="1">
      <c r="E663" s="3"/>
      <c r="F663" s="5"/>
      <c r="G663" s="5"/>
      <c r="H663" s="5"/>
      <c r="I663" s="5"/>
      <c r="K663" s="3"/>
    </row>
    <row r="664" ht="15.75" customHeight="1">
      <c r="E664" s="3"/>
      <c r="F664" s="5"/>
      <c r="G664" s="5"/>
      <c r="H664" s="5"/>
      <c r="I664" s="5"/>
      <c r="K664" s="3"/>
    </row>
    <row r="665" ht="15.75" customHeight="1">
      <c r="E665" s="3"/>
      <c r="F665" s="5"/>
      <c r="G665" s="5"/>
      <c r="H665" s="5"/>
      <c r="I665" s="5"/>
      <c r="K665" s="3"/>
    </row>
    <row r="666" ht="15.75" customHeight="1">
      <c r="E666" s="3"/>
      <c r="F666" s="5"/>
      <c r="G666" s="5"/>
      <c r="H666" s="5"/>
      <c r="I666" s="5"/>
      <c r="K666" s="3"/>
    </row>
    <row r="667" ht="15.75" customHeight="1">
      <c r="E667" s="3"/>
      <c r="F667" s="5"/>
      <c r="G667" s="5"/>
      <c r="H667" s="5"/>
      <c r="I667" s="5"/>
      <c r="K667" s="3"/>
    </row>
    <row r="668" ht="15.75" customHeight="1">
      <c r="E668" s="3"/>
      <c r="F668" s="5"/>
      <c r="G668" s="5"/>
      <c r="H668" s="5"/>
      <c r="I668" s="5"/>
      <c r="K668" s="3"/>
    </row>
    <row r="669" ht="15.75" customHeight="1">
      <c r="E669" s="3"/>
      <c r="F669" s="5"/>
      <c r="G669" s="5"/>
      <c r="H669" s="5"/>
      <c r="I669" s="5"/>
      <c r="K669" s="3"/>
    </row>
    <row r="670" ht="15.75" customHeight="1">
      <c r="E670" s="3"/>
      <c r="F670" s="5"/>
      <c r="G670" s="5"/>
      <c r="H670" s="5"/>
      <c r="I670" s="5"/>
      <c r="K670" s="3"/>
    </row>
    <row r="671" ht="15.75" customHeight="1">
      <c r="E671" s="3"/>
      <c r="F671" s="5"/>
      <c r="G671" s="5"/>
      <c r="H671" s="5"/>
      <c r="I671" s="5"/>
      <c r="K671" s="3"/>
    </row>
    <row r="672" ht="15.75" customHeight="1">
      <c r="E672" s="3"/>
      <c r="F672" s="5"/>
      <c r="G672" s="5"/>
      <c r="H672" s="5"/>
      <c r="I672" s="5"/>
      <c r="K672" s="3"/>
    </row>
    <row r="673" ht="15.75" customHeight="1">
      <c r="E673" s="3"/>
      <c r="F673" s="5"/>
      <c r="G673" s="5"/>
      <c r="H673" s="5"/>
      <c r="I673" s="5"/>
      <c r="K673" s="3"/>
    </row>
    <row r="674" ht="15.75" customHeight="1">
      <c r="E674" s="3"/>
      <c r="F674" s="5"/>
      <c r="G674" s="5"/>
      <c r="H674" s="5"/>
      <c r="I674" s="5"/>
      <c r="K674" s="3"/>
    </row>
    <row r="675" ht="15.75" customHeight="1">
      <c r="E675" s="3"/>
      <c r="F675" s="5"/>
      <c r="G675" s="5"/>
      <c r="H675" s="5"/>
      <c r="I675" s="5"/>
      <c r="K675" s="3"/>
    </row>
    <row r="676" ht="15.75" customHeight="1">
      <c r="E676" s="3"/>
      <c r="F676" s="5"/>
      <c r="G676" s="5"/>
      <c r="H676" s="5"/>
      <c r="I676" s="5"/>
      <c r="K676" s="3"/>
    </row>
    <row r="677" ht="15.75" customHeight="1">
      <c r="E677" s="3"/>
      <c r="F677" s="5"/>
      <c r="G677" s="5"/>
      <c r="H677" s="5"/>
      <c r="I677" s="5"/>
      <c r="K677" s="3"/>
    </row>
    <row r="678" ht="15.75" customHeight="1">
      <c r="E678" s="3"/>
      <c r="F678" s="5"/>
      <c r="G678" s="5"/>
      <c r="H678" s="5"/>
      <c r="I678" s="5"/>
      <c r="K678" s="3"/>
    </row>
    <row r="679" ht="15.75" customHeight="1">
      <c r="E679" s="3"/>
      <c r="F679" s="5"/>
      <c r="G679" s="5"/>
      <c r="H679" s="5"/>
      <c r="I679" s="5"/>
      <c r="K679" s="3"/>
    </row>
    <row r="680" ht="15.75" customHeight="1">
      <c r="E680" s="3"/>
      <c r="F680" s="5"/>
      <c r="G680" s="5"/>
      <c r="H680" s="5"/>
      <c r="I680" s="5"/>
      <c r="K680" s="3"/>
    </row>
    <row r="681" ht="15.75" customHeight="1">
      <c r="E681" s="3"/>
      <c r="F681" s="5"/>
      <c r="G681" s="5"/>
      <c r="H681" s="5"/>
      <c r="I681" s="5"/>
      <c r="K681" s="3"/>
    </row>
    <row r="682" ht="15.75" customHeight="1">
      <c r="E682" s="3"/>
      <c r="F682" s="5"/>
      <c r="G682" s="5"/>
      <c r="H682" s="5"/>
      <c r="I682" s="5"/>
      <c r="K682" s="3"/>
    </row>
    <row r="683" ht="15.75" customHeight="1">
      <c r="E683" s="3"/>
      <c r="F683" s="5"/>
      <c r="G683" s="5"/>
      <c r="H683" s="5"/>
      <c r="I683" s="5"/>
      <c r="K683" s="3"/>
    </row>
    <row r="684" ht="15.75" customHeight="1">
      <c r="E684" s="3"/>
      <c r="F684" s="5"/>
      <c r="G684" s="5"/>
      <c r="H684" s="5"/>
      <c r="I684" s="5"/>
      <c r="K684" s="3"/>
    </row>
    <row r="685" ht="15.75" customHeight="1">
      <c r="E685" s="3"/>
      <c r="F685" s="5"/>
      <c r="G685" s="5"/>
      <c r="H685" s="5"/>
      <c r="I685" s="5"/>
      <c r="K685" s="3"/>
    </row>
    <row r="686" ht="15.75" customHeight="1">
      <c r="E686" s="3"/>
      <c r="F686" s="5"/>
      <c r="G686" s="5"/>
      <c r="H686" s="5"/>
      <c r="I686" s="5"/>
      <c r="K686" s="3"/>
    </row>
    <row r="687" ht="15.75" customHeight="1">
      <c r="E687" s="3"/>
      <c r="F687" s="5"/>
      <c r="G687" s="5"/>
      <c r="H687" s="5"/>
      <c r="I687" s="5"/>
      <c r="K687" s="3"/>
    </row>
    <row r="688" ht="15.75" customHeight="1">
      <c r="E688" s="3"/>
      <c r="F688" s="5"/>
      <c r="G688" s="5"/>
      <c r="H688" s="5"/>
      <c r="I688" s="5"/>
      <c r="K688" s="3"/>
    </row>
    <row r="689" ht="15.75" customHeight="1">
      <c r="E689" s="3"/>
      <c r="F689" s="5"/>
      <c r="G689" s="5"/>
      <c r="H689" s="5"/>
      <c r="I689" s="5"/>
      <c r="K689" s="3"/>
    </row>
    <row r="690" ht="15.75" customHeight="1">
      <c r="E690" s="3"/>
      <c r="F690" s="5"/>
      <c r="G690" s="5"/>
      <c r="H690" s="5"/>
      <c r="I690" s="5"/>
      <c r="K690" s="3"/>
    </row>
    <row r="691" ht="15.75" customHeight="1">
      <c r="E691" s="3"/>
      <c r="F691" s="5"/>
      <c r="G691" s="5"/>
      <c r="H691" s="5"/>
      <c r="I691" s="5"/>
      <c r="K691" s="3"/>
    </row>
    <row r="692" ht="15.75" customHeight="1">
      <c r="E692" s="3"/>
      <c r="F692" s="5"/>
      <c r="G692" s="5"/>
      <c r="H692" s="5"/>
      <c r="I692" s="5"/>
      <c r="K692" s="3"/>
    </row>
    <row r="693" ht="15.75" customHeight="1">
      <c r="E693" s="3"/>
      <c r="F693" s="5"/>
      <c r="G693" s="5"/>
      <c r="H693" s="5"/>
      <c r="I693" s="5"/>
      <c r="K693" s="3"/>
    </row>
    <row r="694" ht="15.75" customHeight="1">
      <c r="E694" s="3"/>
      <c r="F694" s="5"/>
      <c r="G694" s="5"/>
      <c r="H694" s="5"/>
      <c r="I694" s="5"/>
      <c r="K694" s="3"/>
    </row>
    <row r="695" ht="15.75" customHeight="1">
      <c r="E695" s="3"/>
      <c r="F695" s="5"/>
      <c r="G695" s="5"/>
      <c r="H695" s="5"/>
      <c r="I695" s="5"/>
      <c r="K695" s="3"/>
    </row>
    <row r="696" ht="15.75" customHeight="1">
      <c r="E696" s="3"/>
      <c r="F696" s="5"/>
      <c r="G696" s="5"/>
      <c r="H696" s="5"/>
      <c r="I696" s="5"/>
      <c r="K696" s="3"/>
    </row>
    <row r="697" ht="15.75" customHeight="1">
      <c r="E697" s="3"/>
      <c r="F697" s="5"/>
      <c r="G697" s="5"/>
      <c r="H697" s="5"/>
      <c r="I697" s="5"/>
      <c r="K697" s="3"/>
    </row>
    <row r="698" ht="15.75" customHeight="1">
      <c r="E698" s="3"/>
      <c r="F698" s="5"/>
      <c r="G698" s="5"/>
      <c r="H698" s="5"/>
      <c r="I698" s="5"/>
      <c r="K698" s="3"/>
    </row>
    <row r="699" ht="15.75" customHeight="1">
      <c r="E699" s="3"/>
      <c r="F699" s="5"/>
      <c r="G699" s="5"/>
      <c r="H699" s="5"/>
      <c r="I699" s="5"/>
      <c r="K699" s="3"/>
    </row>
    <row r="700" ht="15.75" customHeight="1">
      <c r="E700" s="3"/>
      <c r="F700" s="5"/>
      <c r="G700" s="5"/>
      <c r="H700" s="5"/>
      <c r="I700" s="5"/>
      <c r="K700" s="3"/>
    </row>
    <row r="701" ht="15.75" customHeight="1">
      <c r="E701" s="3"/>
      <c r="F701" s="5"/>
      <c r="G701" s="5"/>
      <c r="H701" s="5"/>
      <c r="I701" s="5"/>
      <c r="K701" s="3"/>
    </row>
    <row r="702" ht="15.75" customHeight="1">
      <c r="E702" s="3"/>
      <c r="F702" s="5"/>
      <c r="G702" s="5"/>
      <c r="H702" s="5"/>
      <c r="I702" s="5"/>
      <c r="K702" s="3"/>
    </row>
    <row r="703" ht="15.75" customHeight="1">
      <c r="E703" s="3"/>
      <c r="F703" s="5"/>
      <c r="G703" s="5"/>
      <c r="H703" s="5"/>
      <c r="I703" s="5"/>
      <c r="K703" s="3"/>
    </row>
    <row r="704" ht="15.75" customHeight="1">
      <c r="E704" s="3"/>
      <c r="F704" s="5"/>
      <c r="G704" s="5"/>
      <c r="H704" s="5"/>
      <c r="I704" s="5"/>
      <c r="K704" s="3"/>
    </row>
    <row r="705" ht="15.75" customHeight="1">
      <c r="E705" s="3"/>
      <c r="F705" s="5"/>
      <c r="G705" s="5"/>
      <c r="H705" s="5"/>
      <c r="I705" s="5"/>
      <c r="K705" s="3"/>
    </row>
    <row r="706" ht="15.75" customHeight="1">
      <c r="E706" s="3"/>
      <c r="F706" s="5"/>
      <c r="G706" s="5"/>
      <c r="H706" s="5"/>
      <c r="I706" s="5"/>
      <c r="K706" s="3"/>
    </row>
    <row r="707" ht="15.75" customHeight="1">
      <c r="E707" s="3"/>
      <c r="F707" s="5"/>
      <c r="G707" s="5"/>
      <c r="H707" s="5"/>
      <c r="I707" s="5"/>
      <c r="K707" s="3"/>
    </row>
    <row r="708" ht="15.75" customHeight="1">
      <c r="E708" s="3"/>
      <c r="F708" s="5"/>
      <c r="G708" s="5"/>
      <c r="H708" s="5"/>
      <c r="I708" s="5"/>
      <c r="K708" s="3"/>
    </row>
    <row r="709" ht="15.75" customHeight="1">
      <c r="E709" s="3"/>
      <c r="F709" s="5"/>
      <c r="G709" s="5"/>
      <c r="H709" s="5"/>
      <c r="I709" s="5"/>
      <c r="K709" s="3"/>
    </row>
    <row r="710" ht="15.75" customHeight="1">
      <c r="E710" s="3"/>
      <c r="F710" s="5"/>
      <c r="G710" s="5"/>
      <c r="H710" s="5"/>
      <c r="I710" s="5"/>
      <c r="K710" s="3"/>
    </row>
    <row r="711" ht="15.75" customHeight="1">
      <c r="E711" s="3"/>
      <c r="F711" s="5"/>
      <c r="G711" s="5"/>
      <c r="H711" s="5"/>
      <c r="I711" s="5"/>
      <c r="K711" s="3"/>
    </row>
    <row r="712" ht="15.75" customHeight="1">
      <c r="E712" s="3"/>
      <c r="F712" s="5"/>
      <c r="G712" s="5"/>
      <c r="H712" s="5"/>
      <c r="I712" s="5"/>
      <c r="K712" s="3"/>
    </row>
    <row r="713" ht="15.75" customHeight="1">
      <c r="E713" s="3"/>
      <c r="F713" s="5"/>
      <c r="G713" s="5"/>
      <c r="H713" s="5"/>
      <c r="I713" s="5"/>
      <c r="K713" s="3"/>
    </row>
    <row r="714" ht="15.75" customHeight="1">
      <c r="E714" s="3"/>
      <c r="F714" s="5"/>
      <c r="G714" s="5"/>
      <c r="H714" s="5"/>
      <c r="I714" s="5"/>
      <c r="K714" s="3"/>
    </row>
    <row r="715" ht="15.75" customHeight="1">
      <c r="E715" s="3"/>
      <c r="F715" s="5"/>
      <c r="G715" s="5"/>
      <c r="H715" s="5"/>
      <c r="I715" s="5"/>
      <c r="K715" s="3"/>
    </row>
    <row r="716" ht="15.75" customHeight="1">
      <c r="E716" s="3"/>
      <c r="F716" s="5"/>
      <c r="G716" s="5"/>
      <c r="H716" s="5"/>
      <c r="I716" s="5"/>
      <c r="K716" s="3"/>
    </row>
    <row r="717" ht="15.75" customHeight="1">
      <c r="E717" s="3"/>
      <c r="F717" s="5"/>
      <c r="G717" s="5"/>
      <c r="H717" s="5"/>
      <c r="I717" s="5"/>
      <c r="K717" s="3"/>
    </row>
    <row r="718" ht="15.75" customHeight="1">
      <c r="E718" s="3"/>
      <c r="F718" s="5"/>
      <c r="G718" s="5"/>
      <c r="H718" s="5"/>
      <c r="I718" s="5"/>
      <c r="K718" s="3"/>
    </row>
    <row r="719" ht="15.75" customHeight="1">
      <c r="E719" s="3"/>
      <c r="F719" s="5"/>
      <c r="G719" s="5"/>
      <c r="H719" s="5"/>
      <c r="I719" s="5"/>
      <c r="K719" s="3"/>
    </row>
    <row r="720" ht="15.75" customHeight="1">
      <c r="E720" s="3"/>
      <c r="F720" s="5"/>
      <c r="G720" s="5"/>
      <c r="H720" s="5"/>
      <c r="I720" s="5"/>
      <c r="K720" s="3"/>
    </row>
    <row r="721" ht="15.75" customHeight="1">
      <c r="E721" s="3"/>
      <c r="F721" s="5"/>
      <c r="G721" s="5"/>
      <c r="H721" s="5"/>
      <c r="I721" s="5"/>
      <c r="K721" s="3"/>
    </row>
    <row r="722" ht="15.75" customHeight="1">
      <c r="E722" s="3"/>
      <c r="F722" s="5"/>
      <c r="G722" s="5"/>
      <c r="H722" s="5"/>
      <c r="I722" s="5"/>
      <c r="K722" s="3"/>
    </row>
    <row r="723" ht="15.75" customHeight="1">
      <c r="E723" s="3"/>
      <c r="F723" s="5"/>
      <c r="G723" s="5"/>
      <c r="H723" s="5"/>
      <c r="I723" s="5"/>
      <c r="K723" s="3"/>
    </row>
    <row r="724" ht="15.75" customHeight="1">
      <c r="E724" s="3"/>
      <c r="F724" s="5"/>
      <c r="G724" s="5"/>
      <c r="H724" s="5"/>
      <c r="I724" s="5"/>
      <c r="K724" s="3"/>
    </row>
    <row r="725" ht="15.75" customHeight="1">
      <c r="E725" s="3"/>
      <c r="F725" s="5"/>
      <c r="G725" s="5"/>
      <c r="H725" s="5"/>
      <c r="I725" s="5"/>
      <c r="K725" s="3"/>
    </row>
    <row r="726" ht="15.75" customHeight="1">
      <c r="E726" s="3"/>
      <c r="F726" s="5"/>
      <c r="G726" s="5"/>
      <c r="H726" s="5"/>
      <c r="I726" s="5"/>
      <c r="K726" s="3"/>
    </row>
    <row r="727" ht="15.75" customHeight="1">
      <c r="E727" s="3"/>
      <c r="F727" s="5"/>
      <c r="G727" s="5"/>
      <c r="H727" s="5"/>
      <c r="I727" s="5"/>
      <c r="K727" s="3"/>
    </row>
    <row r="728" ht="15.75" customHeight="1">
      <c r="E728" s="3"/>
      <c r="F728" s="5"/>
      <c r="G728" s="5"/>
      <c r="H728" s="5"/>
      <c r="I728" s="5"/>
      <c r="K728" s="3"/>
    </row>
    <row r="729" ht="15.75" customHeight="1">
      <c r="E729" s="3"/>
      <c r="F729" s="5"/>
      <c r="G729" s="5"/>
      <c r="H729" s="5"/>
      <c r="I729" s="5"/>
      <c r="K729" s="3"/>
    </row>
    <row r="730" ht="15.75" customHeight="1">
      <c r="E730" s="3"/>
      <c r="F730" s="5"/>
      <c r="G730" s="5"/>
      <c r="H730" s="5"/>
      <c r="I730" s="5"/>
      <c r="K730" s="3"/>
    </row>
    <row r="731" ht="15.75" customHeight="1">
      <c r="E731" s="3"/>
      <c r="F731" s="5"/>
      <c r="G731" s="5"/>
      <c r="H731" s="5"/>
      <c r="I731" s="5"/>
      <c r="K731" s="3"/>
    </row>
    <row r="732" ht="15.75" customHeight="1">
      <c r="E732" s="3"/>
      <c r="F732" s="5"/>
      <c r="G732" s="5"/>
      <c r="H732" s="5"/>
      <c r="I732" s="5"/>
      <c r="K732" s="3"/>
    </row>
    <row r="733" ht="15.75" customHeight="1">
      <c r="E733" s="3"/>
      <c r="F733" s="5"/>
      <c r="G733" s="5"/>
      <c r="H733" s="5"/>
      <c r="I733" s="5"/>
      <c r="K733" s="3"/>
    </row>
    <row r="734" ht="15.75" customHeight="1">
      <c r="E734" s="3"/>
      <c r="F734" s="5"/>
      <c r="G734" s="5"/>
      <c r="H734" s="5"/>
      <c r="I734" s="5"/>
      <c r="K734" s="3"/>
    </row>
    <row r="735" ht="15.75" customHeight="1">
      <c r="E735" s="3"/>
      <c r="F735" s="5"/>
      <c r="G735" s="5"/>
      <c r="H735" s="5"/>
      <c r="I735" s="5"/>
      <c r="K735" s="3"/>
    </row>
    <row r="736" ht="15.75" customHeight="1">
      <c r="E736" s="3"/>
      <c r="F736" s="5"/>
      <c r="G736" s="5"/>
      <c r="H736" s="5"/>
      <c r="I736" s="5"/>
      <c r="K736" s="3"/>
    </row>
    <row r="737" ht="15.75" customHeight="1">
      <c r="E737" s="3"/>
      <c r="F737" s="5"/>
      <c r="G737" s="5"/>
      <c r="H737" s="5"/>
      <c r="I737" s="5"/>
      <c r="K737" s="3"/>
    </row>
    <row r="738" ht="15.75" customHeight="1">
      <c r="E738" s="3"/>
      <c r="F738" s="5"/>
      <c r="G738" s="5"/>
      <c r="H738" s="5"/>
      <c r="I738" s="5"/>
      <c r="K738" s="3"/>
    </row>
    <row r="739" ht="15.75" customHeight="1">
      <c r="E739" s="3"/>
      <c r="F739" s="5"/>
      <c r="G739" s="5"/>
      <c r="H739" s="5"/>
      <c r="I739" s="5"/>
      <c r="K739" s="3"/>
    </row>
    <row r="740" ht="15.75" customHeight="1">
      <c r="E740" s="3"/>
      <c r="F740" s="5"/>
      <c r="G740" s="5"/>
      <c r="H740" s="5"/>
      <c r="I740" s="5"/>
      <c r="K740" s="3"/>
    </row>
    <row r="741" ht="15.75" customHeight="1">
      <c r="E741" s="3"/>
      <c r="F741" s="5"/>
      <c r="G741" s="5"/>
      <c r="H741" s="5"/>
      <c r="I741" s="5"/>
      <c r="K741" s="3"/>
    </row>
    <row r="742" ht="15.75" customHeight="1">
      <c r="E742" s="3"/>
      <c r="F742" s="5"/>
      <c r="G742" s="5"/>
      <c r="H742" s="5"/>
      <c r="I742" s="5"/>
      <c r="K742" s="3"/>
    </row>
    <row r="743" ht="15.75" customHeight="1">
      <c r="E743" s="3"/>
      <c r="F743" s="5"/>
      <c r="G743" s="5"/>
      <c r="H743" s="5"/>
      <c r="I743" s="5"/>
      <c r="K743" s="3"/>
    </row>
    <row r="744" ht="15.75" customHeight="1">
      <c r="E744" s="3"/>
      <c r="F744" s="5"/>
      <c r="G744" s="5"/>
      <c r="H744" s="5"/>
      <c r="I744" s="5"/>
      <c r="K744" s="3"/>
    </row>
    <row r="745" ht="15.75" customHeight="1">
      <c r="E745" s="3"/>
      <c r="F745" s="5"/>
      <c r="G745" s="5"/>
      <c r="H745" s="5"/>
      <c r="I745" s="5"/>
      <c r="K745" s="3"/>
    </row>
    <row r="746" ht="15.75" customHeight="1">
      <c r="E746" s="3"/>
      <c r="F746" s="5"/>
      <c r="G746" s="5"/>
      <c r="H746" s="5"/>
      <c r="I746" s="5"/>
      <c r="K746" s="3"/>
    </row>
    <row r="747" ht="15.75" customHeight="1">
      <c r="E747" s="3"/>
      <c r="F747" s="5"/>
      <c r="G747" s="5"/>
      <c r="H747" s="5"/>
      <c r="I747" s="5"/>
      <c r="K747" s="3"/>
    </row>
    <row r="748" ht="15.75" customHeight="1">
      <c r="E748" s="3"/>
      <c r="F748" s="5"/>
      <c r="G748" s="5"/>
      <c r="H748" s="5"/>
      <c r="I748" s="5"/>
      <c r="K748" s="3"/>
    </row>
    <row r="749" ht="15.75" customHeight="1">
      <c r="E749" s="3"/>
      <c r="F749" s="5"/>
      <c r="G749" s="5"/>
      <c r="H749" s="5"/>
      <c r="I749" s="5"/>
      <c r="K749" s="3"/>
    </row>
    <row r="750" ht="15.75" customHeight="1">
      <c r="E750" s="3"/>
      <c r="F750" s="5"/>
      <c r="G750" s="5"/>
      <c r="H750" s="5"/>
      <c r="I750" s="5"/>
      <c r="K750" s="3"/>
    </row>
    <row r="751" ht="15.75" customHeight="1">
      <c r="E751" s="3"/>
      <c r="F751" s="5"/>
      <c r="G751" s="5"/>
      <c r="H751" s="5"/>
      <c r="I751" s="5"/>
      <c r="K751" s="3"/>
    </row>
    <row r="752" ht="15.75" customHeight="1">
      <c r="E752" s="3"/>
      <c r="F752" s="5"/>
      <c r="G752" s="5"/>
      <c r="H752" s="5"/>
      <c r="I752" s="5"/>
      <c r="K752" s="3"/>
    </row>
    <row r="753" ht="15.75" customHeight="1">
      <c r="E753" s="3"/>
      <c r="F753" s="5"/>
      <c r="G753" s="5"/>
      <c r="H753" s="5"/>
      <c r="I753" s="5"/>
      <c r="K753" s="3"/>
    </row>
    <row r="754" ht="15.75" customHeight="1">
      <c r="E754" s="3"/>
      <c r="F754" s="5"/>
      <c r="G754" s="5"/>
      <c r="H754" s="5"/>
      <c r="I754" s="5"/>
      <c r="K754" s="3"/>
    </row>
    <row r="755" ht="15.75" customHeight="1">
      <c r="E755" s="3"/>
      <c r="F755" s="5"/>
      <c r="G755" s="5"/>
      <c r="H755" s="5"/>
      <c r="I755" s="5"/>
      <c r="K755" s="3"/>
    </row>
    <row r="756" ht="15.75" customHeight="1">
      <c r="E756" s="3"/>
      <c r="F756" s="5"/>
      <c r="G756" s="5"/>
      <c r="H756" s="5"/>
      <c r="I756" s="5"/>
      <c r="K756" s="3"/>
    </row>
    <row r="757" ht="15.75" customHeight="1">
      <c r="E757" s="3"/>
      <c r="F757" s="5"/>
      <c r="G757" s="5"/>
      <c r="H757" s="5"/>
      <c r="I757" s="5"/>
      <c r="K757" s="3"/>
    </row>
    <row r="758" ht="15.75" customHeight="1">
      <c r="E758" s="3"/>
      <c r="F758" s="5"/>
      <c r="G758" s="5"/>
      <c r="H758" s="5"/>
      <c r="I758" s="5"/>
      <c r="K758" s="3"/>
    </row>
    <row r="759" ht="15.75" customHeight="1">
      <c r="E759" s="3"/>
      <c r="F759" s="5"/>
      <c r="G759" s="5"/>
      <c r="H759" s="5"/>
      <c r="I759" s="5"/>
      <c r="K759" s="3"/>
    </row>
    <row r="760" ht="15.75" customHeight="1">
      <c r="E760" s="3"/>
      <c r="F760" s="5"/>
      <c r="G760" s="5"/>
      <c r="H760" s="5"/>
      <c r="I760" s="5"/>
      <c r="K760" s="3"/>
    </row>
    <row r="761" ht="15.75" customHeight="1">
      <c r="E761" s="3"/>
      <c r="F761" s="5"/>
      <c r="G761" s="5"/>
      <c r="H761" s="5"/>
      <c r="I761" s="5"/>
      <c r="K761" s="3"/>
    </row>
    <row r="762" ht="15.75" customHeight="1">
      <c r="E762" s="3"/>
      <c r="F762" s="5"/>
      <c r="G762" s="5"/>
      <c r="H762" s="5"/>
      <c r="I762" s="5"/>
      <c r="K762" s="3"/>
    </row>
    <row r="763" ht="15.75" customHeight="1">
      <c r="E763" s="3"/>
      <c r="F763" s="5"/>
      <c r="G763" s="5"/>
      <c r="H763" s="5"/>
      <c r="I763" s="5"/>
      <c r="K763" s="3"/>
    </row>
    <row r="764" ht="15.75" customHeight="1">
      <c r="E764" s="3"/>
      <c r="F764" s="5"/>
      <c r="G764" s="5"/>
      <c r="H764" s="5"/>
      <c r="I764" s="5"/>
      <c r="K764" s="3"/>
    </row>
    <row r="765" ht="15.75" customHeight="1">
      <c r="E765" s="3"/>
      <c r="F765" s="5"/>
      <c r="G765" s="5"/>
      <c r="H765" s="5"/>
      <c r="I765" s="5"/>
      <c r="K765" s="3"/>
    </row>
    <row r="766" ht="15.75" customHeight="1">
      <c r="E766" s="3"/>
      <c r="F766" s="5"/>
      <c r="G766" s="5"/>
      <c r="H766" s="5"/>
      <c r="I766" s="5"/>
      <c r="K766" s="3"/>
    </row>
    <row r="767" ht="15.75" customHeight="1">
      <c r="E767" s="3"/>
      <c r="F767" s="5"/>
      <c r="G767" s="5"/>
      <c r="H767" s="5"/>
      <c r="I767" s="5"/>
      <c r="K767" s="3"/>
    </row>
    <row r="768" ht="15.75" customHeight="1">
      <c r="E768" s="3"/>
      <c r="F768" s="5"/>
      <c r="G768" s="5"/>
      <c r="H768" s="5"/>
      <c r="I768" s="5"/>
      <c r="K768" s="3"/>
    </row>
    <row r="769" ht="15.75" customHeight="1">
      <c r="E769" s="3"/>
      <c r="F769" s="5"/>
      <c r="G769" s="5"/>
      <c r="H769" s="5"/>
      <c r="I769" s="5"/>
      <c r="K769" s="3"/>
    </row>
    <row r="770" ht="15.75" customHeight="1">
      <c r="E770" s="3"/>
      <c r="F770" s="5"/>
      <c r="G770" s="5"/>
      <c r="H770" s="5"/>
      <c r="I770" s="5"/>
      <c r="K770" s="3"/>
    </row>
    <row r="771" ht="15.75" customHeight="1">
      <c r="E771" s="3"/>
      <c r="F771" s="5"/>
      <c r="G771" s="5"/>
      <c r="H771" s="5"/>
      <c r="I771" s="5"/>
      <c r="K771" s="3"/>
    </row>
    <row r="772" ht="15.75" customHeight="1">
      <c r="E772" s="3"/>
      <c r="F772" s="5"/>
      <c r="G772" s="5"/>
      <c r="H772" s="5"/>
      <c r="I772" s="5"/>
      <c r="K772" s="3"/>
    </row>
    <row r="773" ht="15.75" customHeight="1">
      <c r="E773" s="3"/>
      <c r="F773" s="5"/>
      <c r="G773" s="5"/>
      <c r="H773" s="5"/>
      <c r="I773" s="5"/>
      <c r="K773" s="3"/>
    </row>
    <row r="774" ht="15.75" customHeight="1">
      <c r="E774" s="3"/>
      <c r="F774" s="5"/>
      <c r="G774" s="5"/>
      <c r="H774" s="5"/>
      <c r="I774" s="5"/>
      <c r="K774" s="3"/>
    </row>
    <row r="775" ht="15.75" customHeight="1">
      <c r="E775" s="3"/>
      <c r="F775" s="5"/>
      <c r="G775" s="5"/>
      <c r="H775" s="5"/>
      <c r="I775" s="5"/>
      <c r="K775" s="3"/>
    </row>
    <row r="776" ht="15.75" customHeight="1">
      <c r="E776" s="3"/>
      <c r="F776" s="5"/>
      <c r="G776" s="5"/>
      <c r="H776" s="5"/>
      <c r="I776" s="5"/>
      <c r="K776" s="3"/>
    </row>
    <row r="777" ht="15.75" customHeight="1">
      <c r="E777" s="3"/>
      <c r="F777" s="5"/>
      <c r="G777" s="5"/>
      <c r="H777" s="5"/>
      <c r="I777" s="5"/>
      <c r="K777" s="3"/>
    </row>
    <row r="778" ht="15.75" customHeight="1">
      <c r="E778" s="3"/>
      <c r="F778" s="5"/>
      <c r="G778" s="5"/>
      <c r="H778" s="5"/>
      <c r="I778" s="5"/>
      <c r="K778" s="3"/>
    </row>
    <row r="779" ht="15.75" customHeight="1">
      <c r="E779" s="3"/>
      <c r="F779" s="5"/>
      <c r="G779" s="5"/>
      <c r="H779" s="5"/>
      <c r="I779" s="5"/>
      <c r="K779" s="3"/>
    </row>
    <row r="780" ht="15.75" customHeight="1">
      <c r="E780" s="3"/>
      <c r="F780" s="5"/>
      <c r="G780" s="5"/>
      <c r="H780" s="5"/>
      <c r="I780" s="5"/>
      <c r="K780" s="3"/>
    </row>
    <row r="781" ht="15.75" customHeight="1">
      <c r="E781" s="3"/>
      <c r="F781" s="5"/>
      <c r="G781" s="5"/>
      <c r="H781" s="5"/>
      <c r="I781" s="5"/>
      <c r="K781" s="3"/>
    </row>
    <row r="782" ht="15.75" customHeight="1">
      <c r="E782" s="3"/>
      <c r="F782" s="5"/>
      <c r="G782" s="5"/>
      <c r="H782" s="5"/>
      <c r="I782" s="5"/>
      <c r="K782" s="3"/>
    </row>
    <row r="783" ht="15.75" customHeight="1">
      <c r="E783" s="3"/>
      <c r="F783" s="5"/>
      <c r="G783" s="5"/>
      <c r="H783" s="5"/>
      <c r="I783" s="5"/>
      <c r="K783" s="3"/>
    </row>
    <row r="784" ht="15.75" customHeight="1">
      <c r="E784" s="3"/>
      <c r="F784" s="5"/>
      <c r="G784" s="5"/>
      <c r="H784" s="5"/>
      <c r="I784" s="5"/>
      <c r="K784" s="3"/>
    </row>
    <row r="785" ht="15.75" customHeight="1">
      <c r="E785" s="3"/>
      <c r="F785" s="5"/>
      <c r="G785" s="5"/>
      <c r="H785" s="5"/>
      <c r="I785" s="5"/>
      <c r="K785" s="3"/>
    </row>
    <row r="786" ht="15.75" customHeight="1">
      <c r="E786" s="3"/>
      <c r="F786" s="5"/>
      <c r="G786" s="5"/>
      <c r="H786" s="5"/>
      <c r="I786" s="5"/>
      <c r="K786" s="3"/>
    </row>
    <row r="787" ht="15.75" customHeight="1">
      <c r="E787" s="3"/>
      <c r="F787" s="5"/>
      <c r="G787" s="5"/>
      <c r="H787" s="5"/>
      <c r="I787" s="5"/>
      <c r="K787" s="3"/>
    </row>
    <row r="788" ht="15.75" customHeight="1">
      <c r="E788" s="3"/>
      <c r="F788" s="5"/>
      <c r="G788" s="5"/>
      <c r="H788" s="5"/>
      <c r="I788" s="5"/>
      <c r="K788" s="3"/>
    </row>
    <row r="789" ht="15.75" customHeight="1">
      <c r="E789" s="3"/>
      <c r="F789" s="5"/>
      <c r="G789" s="5"/>
      <c r="H789" s="5"/>
      <c r="I789" s="5"/>
      <c r="K789" s="3"/>
    </row>
    <row r="790" ht="15.75" customHeight="1">
      <c r="E790" s="3"/>
      <c r="F790" s="5"/>
      <c r="G790" s="5"/>
      <c r="H790" s="5"/>
      <c r="I790" s="5"/>
      <c r="K790" s="3"/>
    </row>
    <row r="791" ht="15.75" customHeight="1">
      <c r="E791" s="3"/>
      <c r="F791" s="5"/>
      <c r="G791" s="5"/>
      <c r="H791" s="5"/>
      <c r="I791" s="5"/>
      <c r="K791" s="3"/>
    </row>
    <row r="792" ht="15.75" customHeight="1">
      <c r="E792" s="3"/>
      <c r="F792" s="5"/>
      <c r="G792" s="5"/>
      <c r="H792" s="5"/>
      <c r="I792" s="5"/>
      <c r="K792" s="3"/>
    </row>
    <row r="793" ht="15.75" customHeight="1">
      <c r="E793" s="3"/>
      <c r="F793" s="5"/>
      <c r="G793" s="5"/>
      <c r="H793" s="5"/>
      <c r="I793" s="5"/>
      <c r="K793" s="3"/>
    </row>
    <row r="794" ht="15.75" customHeight="1">
      <c r="E794" s="3"/>
      <c r="F794" s="5"/>
      <c r="G794" s="5"/>
      <c r="H794" s="5"/>
      <c r="I794" s="5"/>
      <c r="K794" s="3"/>
    </row>
    <row r="795" ht="15.75" customHeight="1">
      <c r="E795" s="3"/>
      <c r="F795" s="5"/>
      <c r="G795" s="5"/>
      <c r="H795" s="5"/>
      <c r="I795" s="5"/>
      <c r="K795" s="3"/>
    </row>
    <row r="796" ht="15.75" customHeight="1">
      <c r="E796" s="3"/>
      <c r="F796" s="5"/>
      <c r="G796" s="5"/>
      <c r="H796" s="5"/>
      <c r="I796" s="5"/>
      <c r="K796" s="3"/>
    </row>
    <row r="797" ht="15.75" customHeight="1">
      <c r="E797" s="3"/>
      <c r="F797" s="5"/>
      <c r="G797" s="5"/>
      <c r="H797" s="5"/>
      <c r="I797" s="5"/>
      <c r="K797" s="3"/>
    </row>
    <row r="798" ht="15.75" customHeight="1">
      <c r="E798" s="3"/>
      <c r="F798" s="5"/>
      <c r="G798" s="5"/>
      <c r="H798" s="5"/>
      <c r="I798" s="5"/>
      <c r="K798" s="3"/>
    </row>
    <row r="799" ht="15.75" customHeight="1">
      <c r="E799" s="3"/>
      <c r="F799" s="5"/>
      <c r="G799" s="5"/>
      <c r="H799" s="5"/>
      <c r="I799" s="5"/>
      <c r="K799" s="3"/>
    </row>
    <row r="800" ht="15.75" customHeight="1">
      <c r="E800" s="3"/>
      <c r="F800" s="5"/>
      <c r="G800" s="5"/>
      <c r="H800" s="5"/>
      <c r="I800" s="5"/>
      <c r="K800" s="3"/>
    </row>
    <row r="801" ht="15.75" customHeight="1">
      <c r="E801" s="3"/>
      <c r="F801" s="5"/>
      <c r="G801" s="5"/>
      <c r="H801" s="5"/>
      <c r="I801" s="5"/>
      <c r="K801" s="3"/>
    </row>
    <row r="802" ht="15.75" customHeight="1">
      <c r="E802" s="3"/>
      <c r="F802" s="5"/>
      <c r="G802" s="5"/>
      <c r="H802" s="5"/>
      <c r="I802" s="5"/>
      <c r="K802" s="3"/>
    </row>
    <row r="803" ht="15.75" customHeight="1">
      <c r="E803" s="3"/>
      <c r="F803" s="5"/>
      <c r="G803" s="5"/>
      <c r="H803" s="5"/>
      <c r="I803" s="5"/>
      <c r="K803" s="3"/>
    </row>
    <row r="804" ht="15.75" customHeight="1">
      <c r="E804" s="3"/>
      <c r="F804" s="5"/>
      <c r="G804" s="5"/>
      <c r="H804" s="5"/>
      <c r="I804" s="5"/>
      <c r="K804" s="3"/>
    </row>
    <row r="805" ht="15.75" customHeight="1">
      <c r="E805" s="3"/>
      <c r="F805" s="5"/>
      <c r="G805" s="5"/>
      <c r="H805" s="5"/>
      <c r="I805" s="5"/>
      <c r="K805" s="3"/>
    </row>
    <row r="806" ht="15.75" customHeight="1">
      <c r="E806" s="3"/>
      <c r="F806" s="5"/>
      <c r="G806" s="5"/>
      <c r="H806" s="5"/>
      <c r="I806" s="5"/>
      <c r="K806" s="3"/>
    </row>
    <row r="807" ht="15.75" customHeight="1">
      <c r="E807" s="3"/>
      <c r="F807" s="5"/>
      <c r="G807" s="5"/>
      <c r="H807" s="5"/>
      <c r="I807" s="5"/>
      <c r="K807" s="3"/>
    </row>
    <row r="808" ht="15.75" customHeight="1">
      <c r="E808" s="3"/>
      <c r="F808" s="5"/>
      <c r="G808" s="5"/>
      <c r="H808" s="5"/>
      <c r="I808" s="5"/>
      <c r="K808" s="3"/>
    </row>
    <row r="809" ht="15.75" customHeight="1">
      <c r="E809" s="3"/>
      <c r="F809" s="5"/>
      <c r="G809" s="5"/>
      <c r="H809" s="5"/>
      <c r="I809" s="5"/>
      <c r="K809" s="3"/>
    </row>
    <row r="810" ht="15.75" customHeight="1">
      <c r="E810" s="3"/>
      <c r="F810" s="5"/>
      <c r="G810" s="5"/>
      <c r="H810" s="5"/>
      <c r="I810" s="5"/>
      <c r="K810" s="3"/>
    </row>
    <row r="811" ht="15.75" customHeight="1">
      <c r="E811" s="3"/>
      <c r="F811" s="5"/>
      <c r="G811" s="5"/>
      <c r="H811" s="5"/>
      <c r="I811" s="5"/>
      <c r="K811" s="3"/>
    </row>
    <row r="812" ht="15.75" customHeight="1">
      <c r="E812" s="3"/>
      <c r="F812" s="5"/>
      <c r="G812" s="5"/>
      <c r="H812" s="5"/>
      <c r="I812" s="5"/>
      <c r="K812" s="3"/>
    </row>
    <row r="813" ht="15.75" customHeight="1">
      <c r="E813" s="3"/>
      <c r="F813" s="5"/>
      <c r="G813" s="5"/>
      <c r="H813" s="5"/>
      <c r="I813" s="5"/>
      <c r="K813" s="3"/>
    </row>
    <row r="814" ht="15.75" customHeight="1">
      <c r="E814" s="3"/>
      <c r="F814" s="5"/>
      <c r="G814" s="5"/>
      <c r="H814" s="5"/>
      <c r="I814" s="5"/>
      <c r="K814" s="3"/>
    </row>
    <row r="815" ht="15.75" customHeight="1">
      <c r="E815" s="3"/>
      <c r="F815" s="5"/>
      <c r="G815" s="5"/>
      <c r="H815" s="5"/>
      <c r="I815" s="5"/>
      <c r="K815" s="3"/>
    </row>
    <row r="816" ht="15.75" customHeight="1">
      <c r="E816" s="3"/>
      <c r="F816" s="5"/>
      <c r="G816" s="5"/>
      <c r="H816" s="5"/>
      <c r="I816" s="5"/>
      <c r="K816" s="3"/>
    </row>
    <row r="817" ht="15.75" customHeight="1">
      <c r="E817" s="3"/>
      <c r="F817" s="5"/>
      <c r="G817" s="5"/>
      <c r="H817" s="5"/>
      <c r="I817" s="5"/>
      <c r="K817" s="3"/>
    </row>
    <row r="818" ht="15.75" customHeight="1">
      <c r="E818" s="3"/>
      <c r="F818" s="5"/>
      <c r="G818" s="5"/>
      <c r="H818" s="5"/>
      <c r="I818" s="5"/>
      <c r="K818" s="3"/>
    </row>
    <row r="819" ht="15.75" customHeight="1">
      <c r="E819" s="3"/>
      <c r="F819" s="5"/>
      <c r="G819" s="5"/>
      <c r="H819" s="5"/>
      <c r="I819" s="5"/>
      <c r="K819" s="3"/>
    </row>
    <row r="820" ht="15.75" customHeight="1">
      <c r="E820" s="3"/>
      <c r="F820" s="5"/>
      <c r="G820" s="5"/>
      <c r="H820" s="5"/>
      <c r="I820" s="5"/>
      <c r="K820" s="3"/>
    </row>
    <row r="821" ht="15.75" customHeight="1">
      <c r="E821" s="3"/>
      <c r="F821" s="5"/>
      <c r="G821" s="5"/>
      <c r="H821" s="5"/>
      <c r="I821" s="5"/>
      <c r="K821" s="3"/>
    </row>
    <row r="822" ht="15.75" customHeight="1">
      <c r="E822" s="3"/>
      <c r="F822" s="5"/>
      <c r="G822" s="5"/>
      <c r="H822" s="5"/>
      <c r="I822" s="5"/>
      <c r="K822" s="3"/>
    </row>
    <row r="823" ht="15.75" customHeight="1">
      <c r="E823" s="3"/>
      <c r="F823" s="5"/>
      <c r="G823" s="5"/>
      <c r="H823" s="5"/>
      <c r="I823" s="5"/>
      <c r="K823" s="3"/>
    </row>
    <row r="824" ht="15.75" customHeight="1">
      <c r="E824" s="3"/>
      <c r="F824" s="5"/>
      <c r="G824" s="5"/>
      <c r="H824" s="5"/>
      <c r="I824" s="5"/>
      <c r="K824" s="3"/>
    </row>
    <row r="825" ht="15.75" customHeight="1">
      <c r="E825" s="3"/>
      <c r="F825" s="5"/>
      <c r="G825" s="5"/>
      <c r="H825" s="5"/>
      <c r="I825" s="5"/>
      <c r="K825" s="3"/>
    </row>
    <row r="826" ht="15.75" customHeight="1">
      <c r="E826" s="3"/>
      <c r="F826" s="5"/>
      <c r="G826" s="5"/>
      <c r="H826" s="5"/>
      <c r="I826" s="5"/>
      <c r="K826" s="3"/>
    </row>
    <row r="827" ht="15.75" customHeight="1">
      <c r="E827" s="3"/>
      <c r="F827" s="5"/>
      <c r="G827" s="5"/>
      <c r="H827" s="5"/>
      <c r="I827" s="5"/>
      <c r="K827" s="3"/>
    </row>
    <row r="828" ht="15.75" customHeight="1">
      <c r="E828" s="3"/>
      <c r="F828" s="5"/>
      <c r="G828" s="5"/>
      <c r="H828" s="5"/>
      <c r="I828" s="5"/>
      <c r="K828" s="3"/>
    </row>
    <row r="829" ht="15.75" customHeight="1">
      <c r="E829" s="3"/>
      <c r="F829" s="5"/>
      <c r="G829" s="5"/>
      <c r="H829" s="5"/>
      <c r="I829" s="5"/>
      <c r="K829" s="3"/>
    </row>
    <row r="830" ht="15.75" customHeight="1">
      <c r="E830" s="3"/>
      <c r="F830" s="5"/>
      <c r="G830" s="5"/>
      <c r="H830" s="5"/>
      <c r="I830" s="5"/>
      <c r="K830" s="3"/>
    </row>
    <row r="831" ht="15.75" customHeight="1">
      <c r="E831" s="3"/>
      <c r="F831" s="5"/>
      <c r="G831" s="5"/>
      <c r="H831" s="5"/>
      <c r="I831" s="5"/>
      <c r="K831" s="3"/>
    </row>
    <row r="832" ht="15.75" customHeight="1">
      <c r="E832" s="3"/>
      <c r="F832" s="5"/>
      <c r="G832" s="5"/>
      <c r="H832" s="5"/>
      <c r="I832" s="5"/>
      <c r="K832" s="3"/>
    </row>
    <row r="833" ht="15.75" customHeight="1">
      <c r="E833" s="3"/>
      <c r="F833" s="5"/>
      <c r="G833" s="5"/>
      <c r="H833" s="5"/>
      <c r="I833" s="5"/>
      <c r="K833" s="3"/>
    </row>
    <row r="834" ht="15.75" customHeight="1">
      <c r="E834" s="3"/>
      <c r="F834" s="5"/>
      <c r="G834" s="5"/>
      <c r="H834" s="5"/>
      <c r="I834" s="5"/>
      <c r="K834" s="3"/>
    </row>
    <row r="835" ht="15.75" customHeight="1">
      <c r="E835" s="3"/>
      <c r="F835" s="5"/>
      <c r="G835" s="5"/>
      <c r="H835" s="5"/>
      <c r="I835" s="5"/>
      <c r="K835" s="3"/>
    </row>
    <row r="836" ht="15.75" customHeight="1">
      <c r="E836" s="3"/>
      <c r="F836" s="5"/>
      <c r="G836" s="5"/>
      <c r="H836" s="5"/>
      <c r="I836" s="5"/>
      <c r="K836" s="3"/>
    </row>
    <row r="837" ht="15.75" customHeight="1">
      <c r="E837" s="3"/>
      <c r="F837" s="5"/>
      <c r="G837" s="5"/>
      <c r="H837" s="5"/>
      <c r="I837" s="5"/>
      <c r="K837" s="3"/>
    </row>
    <row r="838" ht="15.75" customHeight="1">
      <c r="E838" s="3"/>
      <c r="F838" s="5"/>
      <c r="G838" s="5"/>
      <c r="H838" s="5"/>
      <c r="I838" s="5"/>
      <c r="K838" s="3"/>
    </row>
    <row r="839" ht="15.75" customHeight="1">
      <c r="E839" s="3"/>
      <c r="F839" s="5"/>
      <c r="G839" s="5"/>
      <c r="H839" s="5"/>
      <c r="I839" s="5"/>
      <c r="K839" s="3"/>
    </row>
    <row r="840" ht="15.75" customHeight="1">
      <c r="E840" s="3"/>
      <c r="F840" s="5"/>
      <c r="G840" s="5"/>
      <c r="H840" s="5"/>
      <c r="I840" s="5"/>
      <c r="K840" s="3"/>
    </row>
    <row r="841" ht="15.75" customHeight="1">
      <c r="E841" s="3"/>
      <c r="F841" s="5"/>
      <c r="G841" s="5"/>
      <c r="H841" s="5"/>
      <c r="I841" s="5"/>
      <c r="K841" s="3"/>
    </row>
    <row r="842" ht="15.75" customHeight="1">
      <c r="E842" s="3"/>
      <c r="F842" s="5"/>
      <c r="G842" s="5"/>
      <c r="H842" s="5"/>
      <c r="I842" s="5"/>
      <c r="K842" s="3"/>
    </row>
    <row r="843" ht="15.75" customHeight="1">
      <c r="E843" s="3"/>
      <c r="F843" s="5"/>
      <c r="G843" s="5"/>
      <c r="H843" s="5"/>
      <c r="I843" s="5"/>
      <c r="K843" s="3"/>
    </row>
    <row r="844" ht="15.75" customHeight="1">
      <c r="E844" s="3"/>
      <c r="F844" s="5"/>
      <c r="G844" s="5"/>
      <c r="H844" s="5"/>
      <c r="I844" s="5"/>
      <c r="K844" s="3"/>
    </row>
    <row r="845" ht="15.75" customHeight="1">
      <c r="E845" s="3"/>
      <c r="F845" s="5"/>
      <c r="G845" s="5"/>
      <c r="H845" s="5"/>
      <c r="I845" s="5"/>
      <c r="K845" s="3"/>
    </row>
    <row r="846" ht="15.75" customHeight="1">
      <c r="E846" s="3"/>
      <c r="F846" s="5"/>
      <c r="G846" s="5"/>
      <c r="H846" s="5"/>
      <c r="I846" s="5"/>
      <c r="K846" s="3"/>
    </row>
    <row r="847" ht="15.75" customHeight="1">
      <c r="E847" s="3"/>
      <c r="F847" s="5"/>
      <c r="G847" s="5"/>
      <c r="H847" s="5"/>
      <c r="I847" s="5"/>
      <c r="K847" s="3"/>
    </row>
    <row r="848" ht="15.75" customHeight="1">
      <c r="E848" s="3"/>
      <c r="F848" s="5"/>
      <c r="G848" s="5"/>
      <c r="H848" s="5"/>
      <c r="I848" s="5"/>
      <c r="K848" s="3"/>
    </row>
    <row r="849" ht="15.75" customHeight="1">
      <c r="E849" s="3"/>
      <c r="F849" s="5"/>
      <c r="G849" s="5"/>
      <c r="H849" s="5"/>
      <c r="I849" s="5"/>
      <c r="K849" s="3"/>
    </row>
    <row r="850" ht="15.75" customHeight="1">
      <c r="E850" s="3"/>
      <c r="F850" s="5"/>
      <c r="G850" s="5"/>
      <c r="H850" s="5"/>
      <c r="I850" s="5"/>
      <c r="K850" s="3"/>
    </row>
    <row r="851" ht="15.75" customHeight="1">
      <c r="E851" s="3"/>
      <c r="F851" s="5"/>
      <c r="G851" s="5"/>
      <c r="H851" s="5"/>
      <c r="I851" s="5"/>
      <c r="K851" s="3"/>
    </row>
    <row r="852" ht="15.75" customHeight="1">
      <c r="E852" s="3"/>
      <c r="F852" s="5"/>
      <c r="G852" s="5"/>
      <c r="H852" s="5"/>
      <c r="I852" s="5"/>
      <c r="K852" s="3"/>
    </row>
    <row r="853" ht="15.75" customHeight="1">
      <c r="E853" s="3"/>
      <c r="F853" s="5"/>
      <c r="G853" s="5"/>
      <c r="H853" s="5"/>
      <c r="I853" s="5"/>
      <c r="K853" s="3"/>
    </row>
    <row r="854" ht="15.75" customHeight="1">
      <c r="E854" s="3"/>
      <c r="F854" s="5"/>
      <c r="G854" s="5"/>
      <c r="H854" s="5"/>
      <c r="I854" s="5"/>
      <c r="K854" s="3"/>
    </row>
    <row r="855" ht="15.75" customHeight="1">
      <c r="E855" s="3"/>
      <c r="F855" s="5"/>
      <c r="G855" s="5"/>
      <c r="H855" s="5"/>
      <c r="I855" s="5"/>
      <c r="K855" s="3"/>
    </row>
    <row r="856" ht="15.75" customHeight="1">
      <c r="E856" s="3"/>
      <c r="F856" s="5"/>
      <c r="G856" s="5"/>
      <c r="H856" s="5"/>
      <c r="I856" s="5"/>
      <c r="K856" s="3"/>
    </row>
    <row r="857" ht="15.75" customHeight="1">
      <c r="E857" s="3"/>
      <c r="F857" s="5"/>
      <c r="G857" s="5"/>
      <c r="H857" s="5"/>
      <c r="I857" s="5"/>
      <c r="K857" s="3"/>
    </row>
    <row r="858" ht="15.75" customHeight="1">
      <c r="E858" s="3"/>
      <c r="F858" s="5"/>
      <c r="G858" s="5"/>
      <c r="H858" s="5"/>
      <c r="I858" s="5"/>
      <c r="K858" s="3"/>
    </row>
    <row r="859" ht="15.75" customHeight="1">
      <c r="E859" s="3"/>
      <c r="F859" s="5"/>
      <c r="G859" s="5"/>
      <c r="H859" s="5"/>
      <c r="I859" s="5"/>
      <c r="K859" s="3"/>
    </row>
    <row r="860" ht="15.75" customHeight="1">
      <c r="E860" s="3"/>
      <c r="F860" s="5"/>
      <c r="G860" s="5"/>
      <c r="H860" s="5"/>
      <c r="I860" s="5"/>
      <c r="K860" s="3"/>
    </row>
    <row r="861" ht="15.75" customHeight="1">
      <c r="E861" s="3"/>
      <c r="F861" s="5"/>
      <c r="G861" s="5"/>
      <c r="H861" s="5"/>
      <c r="I861" s="5"/>
      <c r="K861" s="3"/>
    </row>
    <row r="862" ht="15.75" customHeight="1">
      <c r="E862" s="3"/>
      <c r="F862" s="5"/>
      <c r="G862" s="5"/>
      <c r="H862" s="5"/>
      <c r="I862" s="5"/>
      <c r="K862" s="3"/>
    </row>
    <row r="863" ht="15.75" customHeight="1">
      <c r="E863" s="3"/>
      <c r="F863" s="5"/>
      <c r="G863" s="5"/>
      <c r="H863" s="5"/>
      <c r="I863" s="5"/>
      <c r="K863" s="3"/>
    </row>
    <row r="864" ht="15.75" customHeight="1">
      <c r="E864" s="3"/>
      <c r="F864" s="5"/>
      <c r="G864" s="5"/>
      <c r="H864" s="5"/>
      <c r="I864" s="5"/>
      <c r="K864" s="3"/>
    </row>
    <row r="865" ht="15.75" customHeight="1">
      <c r="E865" s="3"/>
      <c r="F865" s="5"/>
      <c r="G865" s="5"/>
      <c r="H865" s="5"/>
      <c r="I865" s="5"/>
      <c r="K865" s="3"/>
    </row>
    <row r="866" ht="15.75" customHeight="1">
      <c r="E866" s="3"/>
      <c r="F866" s="5"/>
      <c r="G866" s="5"/>
      <c r="H866" s="5"/>
      <c r="I866" s="5"/>
      <c r="K866" s="3"/>
    </row>
    <row r="867" ht="15.75" customHeight="1">
      <c r="E867" s="3"/>
      <c r="F867" s="5"/>
      <c r="G867" s="5"/>
      <c r="H867" s="5"/>
      <c r="I867" s="5"/>
      <c r="K867" s="3"/>
    </row>
    <row r="868" ht="15.75" customHeight="1">
      <c r="E868" s="3"/>
      <c r="F868" s="5"/>
      <c r="G868" s="5"/>
      <c r="H868" s="5"/>
      <c r="I868" s="5"/>
      <c r="K868" s="3"/>
    </row>
    <row r="869" ht="15.75" customHeight="1">
      <c r="E869" s="3"/>
      <c r="F869" s="5"/>
      <c r="G869" s="5"/>
      <c r="H869" s="5"/>
      <c r="I869" s="5"/>
      <c r="K869" s="3"/>
    </row>
    <row r="870" ht="15.75" customHeight="1">
      <c r="E870" s="3"/>
      <c r="F870" s="5"/>
      <c r="G870" s="5"/>
      <c r="H870" s="5"/>
      <c r="I870" s="5"/>
      <c r="K870" s="3"/>
    </row>
    <row r="871" ht="15.75" customHeight="1">
      <c r="E871" s="3"/>
      <c r="F871" s="5"/>
      <c r="G871" s="5"/>
      <c r="H871" s="5"/>
      <c r="I871" s="5"/>
      <c r="K871" s="3"/>
    </row>
    <row r="872" ht="15.75" customHeight="1">
      <c r="E872" s="3"/>
      <c r="F872" s="5"/>
      <c r="G872" s="5"/>
      <c r="H872" s="5"/>
      <c r="I872" s="5"/>
      <c r="K872" s="3"/>
    </row>
    <row r="873" ht="15.75" customHeight="1">
      <c r="E873" s="3"/>
      <c r="F873" s="5"/>
      <c r="G873" s="5"/>
      <c r="H873" s="5"/>
      <c r="I873" s="5"/>
      <c r="K873" s="3"/>
    </row>
    <row r="874" ht="15.75" customHeight="1">
      <c r="E874" s="3"/>
      <c r="F874" s="5"/>
      <c r="G874" s="5"/>
      <c r="H874" s="5"/>
      <c r="I874" s="5"/>
      <c r="K874" s="3"/>
    </row>
    <row r="875" ht="15.75" customHeight="1">
      <c r="E875" s="3"/>
      <c r="F875" s="5"/>
      <c r="G875" s="5"/>
      <c r="H875" s="5"/>
      <c r="I875" s="5"/>
      <c r="K875" s="3"/>
    </row>
    <row r="876" ht="15.75" customHeight="1">
      <c r="E876" s="3"/>
      <c r="F876" s="5"/>
      <c r="G876" s="5"/>
      <c r="H876" s="5"/>
      <c r="I876" s="5"/>
      <c r="K876" s="3"/>
    </row>
    <row r="877" ht="15.75" customHeight="1">
      <c r="E877" s="3"/>
      <c r="F877" s="5"/>
      <c r="G877" s="5"/>
      <c r="H877" s="5"/>
      <c r="I877" s="5"/>
      <c r="K877" s="3"/>
    </row>
    <row r="878" ht="15.75" customHeight="1">
      <c r="E878" s="3"/>
      <c r="F878" s="5"/>
      <c r="G878" s="5"/>
      <c r="H878" s="5"/>
      <c r="I878" s="5"/>
      <c r="K878" s="3"/>
    </row>
    <row r="879" ht="15.75" customHeight="1">
      <c r="E879" s="3"/>
      <c r="F879" s="5"/>
      <c r="G879" s="5"/>
      <c r="H879" s="5"/>
      <c r="I879" s="5"/>
      <c r="K879" s="3"/>
    </row>
    <row r="880" ht="15.75" customHeight="1">
      <c r="E880" s="3"/>
      <c r="F880" s="5"/>
      <c r="G880" s="5"/>
      <c r="H880" s="5"/>
      <c r="I880" s="5"/>
      <c r="K880" s="3"/>
    </row>
    <row r="881" ht="15.75" customHeight="1">
      <c r="E881" s="3"/>
      <c r="F881" s="5"/>
      <c r="G881" s="5"/>
      <c r="H881" s="5"/>
      <c r="I881" s="5"/>
      <c r="K881" s="3"/>
    </row>
    <row r="882" ht="15.75" customHeight="1">
      <c r="E882" s="3"/>
      <c r="F882" s="5"/>
      <c r="G882" s="5"/>
      <c r="H882" s="5"/>
      <c r="I882" s="5"/>
      <c r="K882" s="3"/>
    </row>
    <row r="883" ht="15.75" customHeight="1">
      <c r="E883" s="3"/>
      <c r="F883" s="5"/>
      <c r="G883" s="5"/>
      <c r="H883" s="5"/>
      <c r="I883" s="5"/>
      <c r="K883" s="3"/>
    </row>
    <row r="884" ht="15.75" customHeight="1">
      <c r="E884" s="3"/>
      <c r="F884" s="5"/>
      <c r="G884" s="5"/>
      <c r="H884" s="5"/>
      <c r="I884" s="5"/>
      <c r="K884" s="3"/>
    </row>
    <row r="885" ht="15.75" customHeight="1">
      <c r="E885" s="3"/>
      <c r="F885" s="5"/>
      <c r="G885" s="5"/>
      <c r="H885" s="5"/>
      <c r="I885" s="5"/>
      <c r="K885" s="3"/>
    </row>
    <row r="886" ht="15.75" customHeight="1">
      <c r="E886" s="3"/>
      <c r="F886" s="5"/>
      <c r="G886" s="5"/>
      <c r="H886" s="5"/>
      <c r="I886" s="5"/>
      <c r="K886" s="3"/>
    </row>
    <row r="887" ht="15.75" customHeight="1">
      <c r="E887" s="3"/>
      <c r="F887" s="5"/>
      <c r="G887" s="5"/>
      <c r="H887" s="5"/>
      <c r="I887" s="5"/>
      <c r="K887" s="3"/>
    </row>
    <row r="888" ht="15.75" customHeight="1">
      <c r="E888" s="3"/>
      <c r="F888" s="5"/>
      <c r="G888" s="5"/>
      <c r="H888" s="5"/>
      <c r="I888" s="5"/>
      <c r="K888" s="3"/>
    </row>
    <row r="889" ht="15.75" customHeight="1">
      <c r="E889" s="3"/>
      <c r="F889" s="5"/>
      <c r="G889" s="5"/>
      <c r="H889" s="5"/>
      <c r="I889" s="5"/>
      <c r="K889" s="3"/>
    </row>
    <row r="890" ht="15.75" customHeight="1">
      <c r="E890" s="3"/>
      <c r="F890" s="5"/>
      <c r="G890" s="5"/>
      <c r="H890" s="5"/>
      <c r="I890" s="5"/>
      <c r="K890" s="3"/>
    </row>
    <row r="891" ht="15.75" customHeight="1">
      <c r="E891" s="3"/>
      <c r="F891" s="5"/>
      <c r="G891" s="5"/>
      <c r="H891" s="5"/>
      <c r="I891" s="5"/>
      <c r="K891" s="3"/>
    </row>
    <row r="892" ht="15.75" customHeight="1">
      <c r="E892" s="3"/>
      <c r="F892" s="5"/>
      <c r="G892" s="5"/>
      <c r="H892" s="5"/>
      <c r="I892" s="5"/>
      <c r="K892" s="3"/>
    </row>
    <row r="893" ht="15.75" customHeight="1">
      <c r="E893" s="3"/>
      <c r="F893" s="5"/>
      <c r="G893" s="5"/>
      <c r="H893" s="5"/>
      <c r="I893" s="5"/>
      <c r="K893" s="3"/>
    </row>
    <row r="894" ht="15.75" customHeight="1">
      <c r="E894" s="3"/>
      <c r="F894" s="5"/>
      <c r="G894" s="5"/>
      <c r="H894" s="5"/>
      <c r="I894" s="5"/>
      <c r="K894" s="3"/>
    </row>
    <row r="895" ht="15.75" customHeight="1">
      <c r="E895" s="3"/>
      <c r="F895" s="5"/>
      <c r="G895" s="5"/>
      <c r="H895" s="5"/>
      <c r="I895" s="5"/>
      <c r="K895" s="3"/>
    </row>
    <row r="896" ht="15.75" customHeight="1">
      <c r="E896" s="3"/>
      <c r="F896" s="5"/>
      <c r="G896" s="5"/>
      <c r="H896" s="5"/>
      <c r="I896" s="5"/>
      <c r="K896" s="3"/>
    </row>
    <row r="897" ht="15.75" customHeight="1">
      <c r="E897" s="3"/>
      <c r="F897" s="5"/>
      <c r="G897" s="5"/>
      <c r="H897" s="5"/>
      <c r="I897" s="5"/>
      <c r="K897" s="3"/>
    </row>
    <row r="898" ht="15.75" customHeight="1">
      <c r="E898" s="3"/>
      <c r="F898" s="5"/>
      <c r="G898" s="5"/>
      <c r="H898" s="5"/>
      <c r="I898" s="5"/>
      <c r="K898" s="3"/>
    </row>
    <row r="899" ht="15.75" customHeight="1">
      <c r="E899" s="3"/>
      <c r="F899" s="5"/>
      <c r="G899" s="5"/>
      <c r="H899" s="5"/>
      <c r="I899" s="5"/>
      <c r="K899" s="3"/>
    </row>
    <row r="900" ht="15.75" customHeight="1">
      <c r="E900" s="3"/>
      <c r="F900" s="5"/>
      <c r="G900" s="5"/>
      <c r="H900" s="5"/>
      <c r="I900" s="5"/>
      <c r="K900" s="3"/>
    </row>
    <row r="901" ht="15.75" customHeight="1">
      <c r="E901" s="3"/>
      <c r="F901" s="5"/>
      <c r="G901" s="5"/>
      <c r="H901" s="5"/>
      <c r="I901" s="5"/>
      <c r="K901" s="3"/>
    </row>
    <row r="902" ht="15.75" customHeight="1">
      <c r="E902" s="3"/>
      <c r="F902" s="5"/>
      <c r="G902" s="5"/>
      <c r="H902" s="5"/>
      <c r="I902" s="5"/>
      <c r="K902" s="3"/>
    </row>
    <row r="903" ht="15.75" customHeight="1">
      <c r="E903" s="3"/>
      <c r="F903" s="5"/>
      <c r="G903" s="5"/>
      <c r="H903" s="5"/>
      <c r="I903" s="5"/>
      <c r="K903" s="3"/>
    </row>
    <row r="904" ht="15.75" customHeight="1">
      <c r="E904" s="3"/>
      <c r="F904" s="5"/>
      <c r="G904" s="5"/>
      <c r="H904" s="5"/>
      <c r="I904" s="5"/>
      <c r="K904" s="3"/>
    </row>
    <row r="905" ht="15.75" customHeight="1">
      <c r="E905" s="3"/>
      <c r="F905" s="5"/>
      <c r="G905" s="5"/>
      <c r="H905" s="5"/>
      <c r="I905" s="5"/>
      <c r="K905" s="3"/>
    </row>
    <row r="906" ht="15.75" customHeight="1">
      <c r="E906" s="3"/>
      <c r="F906" s="5"/>
      <c r="G906" s="5"/>
      <c r="H906" s="5"/>
      <c r="I906" s="5"/>
      <c r="K906" s="3"/>
    </row>
    <row r="907" ht="15.75" customHeight="1">
      <c r="E907" s="3"/>
      <c r="F907" s="5"/>
      <c r="G907" s="5"/>
      <c r="H907" s="5"/>
      <c r="I907" s="5"/>
      <c r="K907" s="3"/>
    </row>
    <row r="908" ht="15.75" customHeight="1">
      <c r="E908" s="3"/>
      <c r="F908" s="5"/>
      <c r="G908" s="5"/>
      <c r="H908" s="5"/>
      <c r="I908" s="5"/>
      <c r="K908" s="3"/>
    </row>
    <row r="909" ht="15.75" customHeight="1">
      <c r="E909" s="3"/>
      <c r="F909" s="5"/>
      <c r="G909" s="5"/>
      <c r="H909" s="5"/>
      <c r="I909" s="5"/>
      <c r="K909" s="3"/>
    </row>
    <row r="910" ht="15.75" customHeight="1">
      <c r="E910" s="3"/>
      <c r="F910" s="5"/>
      <c r="G910" s="5"/>
      <c r="H910" s="5"/>
      <c r="I910" s="5"/>
      <c r="K910" s="3"/>
    </row>
    <row r="911" ht="15.75" customHeight="1">
      <c r="E911" s="3"/>
      <c r="F911" s="5"/>
      <c r="G911" s="5"/>
      <c r="H911" s="5"/>
      <c r="I911" s="5"/>
      <c r="K911" s="3"/>
    </row>
    <row r="912" ht="15.75" customHeight="1">
      <c r="E912" s="3"/>
      <c r="F912" s="5"/>
      <c r="G912" s="5"/>
      <c r="H912" s="5"/>
      <c r="I912" s="5"/>
      <c r="K912" s="3"/>
    </row>
    <row r="913" ht="15.75" customHeight="1">
      <c r="E913" s="3"/>
      <c r="F913" s="5"/>
      <c r="G913" s="5"/>
      <c r="H913" s="5"/>
      <c r="I913" s="5"/>
      <c r="K913" s="3"/>
    </row>
    <row r="914" ht="15.75" customHeight="1">
      <c r="E914" s="3"/>
      <c r="F914" s="5"/>
      <c r="G914" s="5"/>
      <c r="H914" s="5"/>
      <c r="I914" s="5"/>
      <c r="K914" s="3"/>
    </row>
    <row r="915" ht="15.75" customHeight="1">
      <c r="E915" s="3"/>
      <c r="F915" s="5"/>
      <c r="G915" s="5"/>
      <c r="H915" s="5"/>
      <c r="I915" s="5"/>
      <c r="K915" s="3"/>
    </row>
    <row r="916" ht="15.75" customHeight="1">
      <c r="E916" s="3"/>
      <c r="F916" s="5"/>
      <c r="G916" s="5"/>
      <c r="H916" s="5"/>
      <c r="I916" s="5"/>
      <c r="K916" s="3"/>
    </row>
    <row r="917" ht="15.75" customHeight="1">
      <c r="E917" s="3"/>
      <c r="F917" s="5"/>
      <c r="G917" s="5"/>
      <c r="H917" s="5"/>
      <c r="I917" s="5"/>
      <c r="K917" s="3"/>
    </row>
    <row r="918" ht="15.75" customHeight="1">
      <c r="E918" s="3"/>
      <c r="F918" s="5"/>
      <c r="G918" s="5"/>
      <c r="H918" s="5"/>
      <c r="I918" s="5"/>
      <c r="K918" s="3"/>
    </row>
    <row r="919" ht="15.75" customHeight="1">
      <c r="E919" s="3"/>
      <c r="F919" s="5"/>
      <c r="G919" s="5"/>
      <c r="H919" s="5"/>
      <c r="I919" s="5"/>
      <c r="K919" s="3"/>
    </row>
    <row r="920" ht="15.75" customHeight="1">
      <c r="E920" s="3"/>
      <c r="F920" s="5"/>
      <c r="G920" s="5"/>
      <c r="H920" s="5"/>
      <c r="I920" s="5"/>
      <c r="K920" s="3"/>
    </row>
    <row r="921" ht="15.75" customHeight="1">
      <c r="E921" s="3"/>
      <c r="F921" s="5"/>
      <c r="G921" s="5"/>
      <c r="H921" s="5"/>
      <c r="I921" s="5"/>
      <c r="K921" s="3"/>
    </row>
    <row r="922" ht="15.75" customHeight="1">
      <c r="E922" s="3"/>
      <c r="F922" s="5"/>
      <c r="G922" s="5"/>
      <c r="H922" s="5"/>
      <c r="I922" s="5"/>
      <c r="K922" s="3"/>
    </row>
    <row r="923" ht="15.75" customHeight="1">
      <c r="E923" s="3"/>
      <c r="F923" s="5"/>
      <c r="G923" s="5"/>
      <c r="H923" s="5"/>
      <c r="I923" s="5"/>
      <c r="K923" s="3"/>
    </row>
    <row r="924" ht="15.75" customHeight="1">
      <c r="E924" s="3"/>
      <c r="F924" s="5"/>
      <c r="G924" s="5"/>
      <c r="H924" s="5"/>
      <c r="I924" s="5"/>
      <c r="K924" s="3"/>
    </row>
    <row r="925" ht="15.75" customHeight="1">
      <c r="E925" s="3"/>
      <c r="F925" s="5"/>
      <c r="G925" s="5"/>
      <c r="H925" s="5"/>
      <c r="I925" s="5"/>
      <c r="K925" s="3"/>
    </row>
    <row r="926" ht="15.75" customHeight="1">
      <c r="E926" s="3"/>
      <c r="F926" s="5"/>
      <c r="G926" s="5"/>
      <c r="H926" s="5"/>
      <c r="I926" s="5"/>
      <c r="K926" s="3"/>
    </row>
    <row r="927" ht="15.75" customHeight="1">
      <c r="E927" s="3"/>
      <c r="F927" s="5"/>
      <c r="G927" s="5"/>
      <c r="H927" s="5"/>
      <c r="I927" s="5"/>
      <c r="K927" s="3"/>
    </row>
    <row r="928" ht="15.75" customHeight="1">
      <c r="E928" s="3"/>
      <c r="F928" s="5"/>
      <c r="G928" s="5"/>
      <c r="H928" s="5"/>
      <c r="I928" s="5"/>
      <c r="K928" s="3"/>
    </row>
    <row r="929" ht="15.75" customHeight="1">
      <c r="E929" s="3"/>
      <c r="F929" s="5"/>
      <c r="G929" s="5"/>
      <c r="H929" s="5"/>
      <c r="I929" s="5"/>
      <c r="K929" s="3"/>
    </row>
    <row r="930" ht="15.75" customHeight="1">
      <c r="E930" s="3"/>
      <c r="F930" s="5"/>
      <c r="G930" s="5"/>
      <c r="H930" s="5"/>
      <c r="I930" s="5"/>
      <c r="K930" s="3"/>
    </row>
    <row r="931" ht="15.75" customHeight="1">
      <c r="E931" s="3"/>
      <c r="F931" s="5"/>
      <c r="G931" s="5"/>
      <c r="H931" s="5"/>
      <c r="I931" s="5"/>
      <c r="K931" s="3"/>
    </row>
    <row r="932" ht="15.75" customHeight="1">
      <c r="E932" s="3"/>
      <c r="F932" s="5"/>
      <c r="G932" s="5"/>
      <c r="H932" s="5"/>
      <c r="I932" s="5"/>
      <c r="K932" s="3"/>
    </row>
    <row r="933" ht="15.75" customHeight="1">
      <c r="E933" s="3"/>
      <c r="F933" s="5"/>
      <c r="G933" s="5"/>
      <c r="H933" s="5"/>
      <c r="I933" s="5"/>
      <c r="K933" s="3"/>
    </row>
    <row r="934" ht="15.75" customHeight="1">
      <c r="E934" s="3"/>
      <c r="F934" s="5"/>
      <c r="G934" s="5"/>
      <c r="H934" s="5"/>
      <c r="I934" s="5"/>
      <c r="K934" s="3"/>
    </row>
    <row r="935" ht="15.75" customHeight="1">
      <c r="E935" s="3"/>
      <c r="F935" s="5"/>
      <c r="G935" s="5"/>
      <c r="H935" s="5"/>
      <c r="I935" s="5"/>
      <c r="K935" s="3"/>
    </row>
    <row r="936" ht="15.75" customHeight="1">
      <c r="E936" s="3"/>
      <c r="F936" s="5"/>
      <c r="G936" s="5"/>
      <c r="H936" s="5"/>
      <c r="I936" s="5"/>
      <c r="K936" s="3"/>
    </row>
    <row r="937" ht="15.75" customHeight="1">
      <c r="E937" s="3"/>
      <c r="F937" s="5"/>
      <c r="G937" s="5"/>
      <c r="H937" s="5"/>
      <c r="I937" s="5"/>
      <c r="K937" s="3"/>
    </row>
    <row r="938" ht="15.75" customHeight="1">
      <c r="E938" s="3"/>
      <c r="F938" s="5"/>
      <c r="G938" s="5"/>
      <c r="H938" s="5"/>
      <c r="I938" s="5"/>
      <c r="K938" s="3"/>
    </row>
    <row r="939" ht="15.75" customHeight="1">
      <c r="E939" s="3"/>
      <c r="F939" s="5"/>
      <c r="G939" s="5"/>
      <c r="H939" s="5"/>
      <c r="I939" s="5"/>
      <c r="K939" s="3"/>
    </row>
    <row r="940" ht="15.75" customHeight="1">
      <c r="E940" s="3"/>
      <c r="F940" s="5"/>
      <c r="G940" s="5"/>
      <c r="H940" s="5"/>
      <c r="I940" s="5"/>
      <c r="K940" s="3"/>
    </row>
    <row r="941" ht="15.75" customHeight="1">
      <c r="E941" s="3"/>
      <c r="F941" s="5"/>
      <c r="G941" s="5"/>
      <c r="H941" s="5"/>
      <c r="I941" s="5"/>
      <c r="K941" s="3"/>
    </row>
    <row r="942" ht="15.75" customHeight="1">
      <c r="E942" s="3"/>
      <c r="F942" s="5"/>
      <c r="G942" s="5"/>
      <c r="H942" s="5"/>
      <c r="I942" s="5"/>
      <c r="K942" s="3"/>
    </row>
    <row r="943" ht="15.75" customHeight="1">
      <c r="E943" s="3"/>
      <c r="F943" s="5"/>
      <c r="G943" s="5"/>
      <c r="H943" s="5"/>
      <c r="I943" s="5"/>
      <c r="K943" s="3"/>
    </row>
    <row r="944" ht="15.75" customHeight="1">
      <c r="E944" s="3"/>
      <c r="F944" s="5"/>
      <c r="G944" s="5"/>
      <c r="H944" s="5"/>
      <c r="I944" s="5"/>
      <c r="K944" s="3"/>
    </row>
    <row r="945" ht="15.75" customHeight="1">
      <c r="E945" s="3"/>
      <c r="F945" s="5"/>
      <c r="G945" s="5"/>
      <c r="H945" s="5"/>
      <c r="I945" s="5"/>
      <c r="K945" s="3"/>
    </row>
    <row r="946" ht="15.75" customHeight="1">
      <c r="E946" s="3"/>
      <c r="F946" s="5"/>
      <c r="G946" s="5"/>
      <c r="H946" s="5"/>
      <c r="I946" s="5"/>
      <c r="K946" s="3"/>
    </row>
    <row r="947" ht="15.75" customHeight="1">
      <c r="E947" s="3"/>
      <c r="F947" s="5"/>
      <c r="G947" s="5"/>
      <c r="H947" s="5"/>
      <c r="I947" s="5"/>
      <c r="K947" s="3"/>
    </row>
    <row r="948" ht="15.75" customHeight="1">
      <c r="E948" s="3"/>
      <c r="F948" s="5"/>
      <c r="G948" s="5"/>
      <c r="H948" s="5"/>
      <c r="I948" s="5"/>
      <c r="K948" s="3"/>
    </row>
    <row r="949" ht="15.75" customHeight="1">
      <c r="E949" s="3"/>
      <c r="F949" s="5"/>
      <c r="G949" s="5"/>
      <c r="H949" s="5"/>
      <c r="I949" s="5"/>
      <c r="K949" s="3"/>
    </row>
    <row r="950" ht="15.75" customHeight="1">
      <c r="E950" s="3"/>
      <c r="F950" s="5"/>
      <c r="G950" s="5"/>
      <c r="H950" s="5"/>
      <c r="I950" s="5"/>
      <c r="K950" s="3"/>
    </row>
    <row r="951" ht="15.75" customHeight="1">
      <c r="E951" s="3"/>
      <c r="F951" s="5"/>
      <c r="G951" s="5"/>
      <c r="H951" s="5"/>
      <c r="I951" s="5"/>
      <c r="K951" s="3"/>
    </row>
    <row r="952" ht="15.75" customHeight="1">
      <c r="E952" s="3"/>
      <c r="F952" s="5"/>
      <c r="G952" s="5"/>
      <c r="H952" s="5"/>
      <c r="I952" s="5"/>
      <c r="K952" s="3"/>
    </row>
    <row r="953" ht="15.75" customHeight="1">
      <c r="E953" s="3"/>
      <c r="F953" s="5"/>
      <c r="G953" s="5"/>
      <c r="H953" s="5"/>
      <c r="I953" s="5"/>
      <c r="K953" s="3"/>
    </row>
    <row r="954" ht="15.75" customHeight="1">
      <c r="E954" s="3"/>
      <c r="F954" s="5"/>
      <c r="G954" s="5"/>
      <c r="H954" s="5"/>
      <c r="I954" s="5"/>
      <c r="K954" s="3"/>
    </row>
    <row r="955" ht="15.75" customHeight="1">
      <c r="E955" s="3"/>
      <c r="F955" s="5"/>
      <c r="G955" s="5"/>
      <c r="H955" s="5"/>
      <c r="I955" s="5"/>
      <c r="K955" s="3"/>
    </row>
    <row r="956" ht="15.75" customHeight="1">
      <c r="E956" s="3"/>
      <c r="F956" s="5"/>
      <c r="G956" s="5"/>
      <c r="H956" s="5"/>
      <c r="I956" s="5"/>
      <c r="K956" s="3"/>
    </row>
    <row r="957" ht="15.75" customHeight="1">
      <c r="E957" s="3"/>
      <c r="F957" s="5"/>
      <c r="G957" s="5"/>
      <c r="H957" s="5"/>
      <c r="I957" s="5"/>
      <c r="K957" s="3"/>
    </row>
    <row r="958" ht="15.75" customHeight="1">
      <c r="E958" s="3"/>
      <c r="F958" s="5"/>
      <c r="G958" s="5"/>
      <c r="H958" s="5"/>
      <c r="I958" s="5"/>
      <c r="K958" s="3"/>
    </row>
    <row r="959" ht="15.75" customHeight="1">
      <c r="E959" s="3"/>
      <c r="F959" s="5"/>
      <c r="G959" s="5"/>
      <c r="H959" s="5"/>
      <c r="I959" s="5"/>
      <c r="K959" s="3"/>
    </row>
    <row r="960" ht="15.75" customHeight="1">
      <c r="E960" s="3"/>
      <c r="F960" s="5"/>
      <c r="G960" s="5"/>
      <c r="H960" s="5"/>
      <c r="I960" s="5"/>
      <c r="K960" s="3"/>
    </row>
    <row r="961" ht="15.75" customHeight="1">
      <c r="E961" s="3"/>
      <c r="F961" s="5"/>
      <c r="G961" s="5"/>
      <c r="H961" s="5"/>
      <c r="I961" s="5"/>
      <c r="K961" s="3"/>
    </row>
    <row r="962" ht="15.75" customHeight="1">
      <c r="E962" s="3"/>
      <c r="F962" s="5"/>
      <c r="G962" s="5"/>
      <c r="H962" s="5"/>
      <c r="I962" s="5"/>
      <c r="K962" s="3"/>
    </row>
    <row r="963" ht="15.75" customHeight="1">
      <c r="E963" s="3"/>
      <c r="F963" s="5"/>
      <c r="G963" s="5"/>
      <c r="H963" s="5"/>
      <c r="I963" s="5"/>
      <c r="K963" s="3"/>
    </row>
    <row r="964" ht="15.75" customHeight="1">
      <c r="E964" s="3"/>
      <c r="F964" s="5"/>
      <c r="G964" s="5"/>
      <c r="H964" s="5"/>
      <c r="I964" s="5"/>
      <c r="K964" s="3"/>
    </row>
    <row r="965" ht="15.75" customHeight="1">
      <c r="E965" s="3"/>
      <c r="F965" s="5"/>
      <c r="G965" s="5"/>
      <c r="H965" s="5"/>
      <c r="I965" s="5"/>
      <c r="K965" s="3"/>
    </row>
    <row r="966" ht="15.75" customHeight="1">
      <c r="E966" s="3"/>
      <c r="F966" s="5"/>
      <c r="G966" s="5"/>
      <c r="H966" s="5"/>
      <c r="I966" s="5"/>
      <c r="K966" s="3"/>
    </row>
    <row r="967" ht="15.75" customHeight="1">
      <c r="E967" s="3"/>
      <c r="F967" s="5"/>
      <c r="G967" s="5"/>
      <c r="H967" s="5"/>
      <c r="I967" s="5"/>
      <c r="K967" s="3"/>
    </row>
    <row r="968" ht="15.75" customHeight="1">
      <c r="E968" s="3"/>
      <c r="F968" s="5"/>
      <c r="G968" s="5"/>
      <c r="H968" s="5"/>
      <c r="I968" s="5"/>
      <c r="K968" s="3"/>
    </row>
    <row r="969" ht="15.75" customHeight="1">
      <c r="E969" s="3"/>
      <c r="F969" s="5"/>
      <c r="G969" s="5"/>
      <c r="H969" s="5"/>
      <c r="I969" s="5"/>
      <c r="K969" s="3"/>
    </row>
    <row r="970" ht="15.75" customHeight="1">
      <c r="E970" s="3"/>
      <c r="F970" s="5"/>
      <c r="G970" s="5"/>
      <c r="H970" s="5"/>
      <c r="I970" s="5"/>
      <c r="K970" s="3"/>
    </row>
    <row r="971" ht="15.75" customHeight="1">
      <c r="E971" s="3"/>
      <c r="F971" s="5"/>
      <c r="G971" s="5"/>
      <c r="H971" s="5"/>
      <c r="I971" s="5"/>
      <c r="K971" s="3"/>
    </row>
    <row r="972" ht="15.75" customHeight="1">
      <c r="E972" s="3"/>
      <c r="F972" s="5"/>
      <c r="G972" s="5"/>
      <c r="H972" s="5"/>
      <c r="I972" s="5"/>
      <c r="K972" s="3"/>
    </row>
    <row r="973" ht="15.75" customHeight="1">
      <c r="E973" s="3"/>
      <c r="F973" s="5"/>
      <c r="G973" s="5"/>
      <c r="H973" s="5"/>
      <c r="I973" s="5"/>
      <c r="K973" s="3"/>
    </row>
    <row r="974" ht="15.75" customHeight="1">
      <c r="E974" s="3"/>
      <c r="F974" s="5"/>
      <c r="G974" s="5"/>
      <c r="H974" s="5"/>
      <c r="I974" s="5"/>
      <c r="K974" s="3"/>
    </row>
    <row r="975" ht="15.75" customHeight="1">
      <c r="E975" s="3"/>
      <c r="F975" s="5"/>
      <c r="G975" s="5"/>
      <c r="H975" s="5"/>
      <c r="I975" s="5"/>
      <c r="K975" s="3"/>
    </row>
    <row r="976" ht="15.75" customHeight="1">
      <c r="E976" s="3"/>
      <c r="F976" s="5"/>
      <c r="G976" s="5"/>
      <c r="H976" s="5"/>
      <c r="I976" s="5"/>
      <c r="K976" s="3"/>
    </row>
    <row r="977" ht="15.75" customHeight="1">
      <c r="E977" s="3"/>
      <c r="F977" s="5"/>
      <c r="G977" s="5"/>
      <c r="H977" s="5"/>
      <c r="I977" s="5"/>
      <c r="K977" s="3"/>
    </row>
    <row r="978" ht="15.75" customHeight="1">
      <c r="E978" s="3"/>
      <c r="F978" s="5"/>
      <c r="G978" s="5"/>
      <c r="H978" s="5"/>
      <c r="I978" s="5"/>
      <c r="K978" s="3"/>
    </row>
    <row r="979" ht="15.75" customHeight="1">
      <c r="E979" s="3"/>
      <c r="F979" s="5"/>
      <c r="G979" s="5"/>
      <c r="H979" s="5"/>
      <c r="I979" s="5"/>
      <c r="K979" s="3"/>
    </row>
    <row r="980" ht="15.75" customHeight="1">
      <c r="E980" s="3"/>
      <c r="F980" s="5"/>
      <c r="G980" s="5"/>
      <c r="H980" s="5"/>
      <c r="I980" s="5"/>
      <c r="K980" s="3"/>
    </row>
    <row r="981" ht="15.75" customHeight="1">
      <c r="E981" s="3"/>
      <c r="F981" s="5"/>
      <c r="G981" s="5"/>
      <c r="H981" s="5"/>
      <c r="I981" s="5"/>
      <c r="K981" s="3"/>
    </row>
    <row r="982" ht="15.75" customHeight="1">
      <c r="E982" s="3"/>
      <c r="F982" s="5"/>
      <c r="G982" s="5"/>
      <c r="H982" s="5"/>
      <c r="I982" s="5"/>
      <c r="K982" s="3"/>
    </row>
    <row r="983" ht="15.75" customHeight="1">
      <c r="E983" s="3"/>
      <c r="F983" s="5"/>
      <c r="G983" s="5"/>
      <c r="H983" s="5"/>
      <c r="I983" s="5"/>
      <c r="K983" s="3"/>
    </row>
    <row r="984" ht="15.75" customHeight="1">
      <c r="E984" s="3"/>
      <c r="F984" s="5"/>
      <c r="G984" s="5"/>
      <c r="H984" s="5"/>
      <c r="I984" s="5"/>
      <c r="K984" s="3"/>
    </row>
    <row r="985" ht="15.75" customHeight="1">
      <c r="E985" s="3"/>
      <c r="F985" s="5"/>
      <c r="G985" s="5"/>
      <c r="H985" s="5"/>
      <c r="I985" s="5"/>
      <c r="K985" s="3"/>
    </row>
    <row r="986" ht="15.75" customHeight="1">
      <c r="E986" s="3"/>
      <c r="F986" s="5"/>
      <c r="G986" s="5"/>
      <c r="H986" s="5"/>
      <c r="I986" s="5"/>
      <c r="K986" s="3"/>
    </row>
    <row r="987" ht="15.75" customHeight="1">
      <c r="E987" s="3"/>
      <c r="F987" s="5"/>
      <c r="G987" s="5"/>
      <c r="H987" s="5"/>
      <c r="I987" s="5"/>
      <c r="K987" s="3"/>
    </row>
    <row r="988" ht="15.75" customHeight="1">
      <c r="E988" s="3"/>
      <c r="F988" s="5"/>
      <c r="G988" s="5"/>
      <c r="H988" s="5"/>
      <c r="I988" s="5"/>
      <c r="K988" s="3"/>
    </row>
    <row r="989" ht="15.75" customHeight="1">
      <c r="E989" s="3"/>
      <c r="F989" s="5"/>
      <c r="G989" s="5"/>
      <c r="H989" s="5"/>
      <c r="I989" s="5"/>
      <c r="K989" s="3"/>
    </row>
    <row r="990" ht="15.75" customHeight="1">
      <c r="E990" s="3"/>
      <c r="F990" s="5"/>
      <c r="G990" s="5"/>
      <c r="H990" s="5"/>
      <c r="I990" s="5"/>
      <c r="K990" s="3"/>
    </row>
    <row r="991" ht="15.75" customHeight="1">
      <c r="E991" s="3"/>
      <c r="F991" s="5"/>
      <c r="G991" s="5"/>
      <c r="H991" s="5"/>
      <c r="I991" s="5"/>
      <c r="K991" s="3"/>
    </row>
    <row r="992" ht="15.75" customHeight="1">
      <c r="E992" s="3"/>
      <c r="F992" s="5"/>
      <c r="G992" s="5"/>
      <c r="H992" s="5"/>
      <c r="I992" s="5"/>
      <c r="K992" s="3"/>
    </row>
    <row r="993" ht="15.75" customHeight="1">
      <c r="E993" s="3"/>
      <c r="F993" s="5"/>
      <c r="G993" s="5"/>
      <c r="H993" s="5"/>
      <c r="I993" s="5"/>
      <c r="K993" s="3"/>
    </row>
    <row r="994" ht="15.75" customHeight="1">
      <c r="E994" s="3"/>
      <c r="F994" s="5"/>
      <c r="G994" s="5"/>
      <c r="H994" s="5"/>
      <c r="I994" s="5"/>
      <c r="K994" s="3"/>
    </row>
    <row r="995" ht="15.75" customHeight="1">
      <c r="E995" s="3"/>
      <c r="F995" s="5"/>
      <c r="G995" s="5"/>
      <c r="H995" s="5"/>
      <c r="I995" s="5"/>
      <c r="K995" s="3"/>
    </row>
    <row r="996" ht="15.75" customHeight="1">
      <c r="E996" s="3"/>
      <c r="F996" s="5"/>
      <c r="G996" s="5"/>
      <c r="H996" s="5"/>
      <c r="I996" s="5"/>
      <c r="K996" s="3"/>
    </row>
    <row r="997" ht="15.75" customHeight="1">
      <c r="E997" s="3"/>
      <c r="F997" s="5"/>
      <c r="G997" s="5"/>
      <c r="H997" s="5"/>
      <c r="I997" s="5"/>
      <c r="K997" s="3"/>
    </row>
    <row r="998" ht="15.75" customHeight="1">
      <c r="E998" s="3"/>
      <c r="F998" s="5"/>
      <c r="G998" s="5"/>
      <c r="H998" s="5"/>
      <c r="I998" s="5"/>
      <c r="K998" s="3"/>
    </row>
    <row r="999" ht="15.75" customHeight="1">
      <c r="E999" s="3"/>
      <c r="F999" s="5"/>
      <c r="G999" s="5"/>
      <c r="H999" s="5"/>
      <c r="I999" s="5"/>
      <c r="K999" s="3"/>
    </row>
    <row r="1000" ht="15.75" customHeight="1">
      <c r="E1000" s="3"/>
      <c r="F1000" s="5"/>
      <c r="G1000" s="5"/>
      <c r="H1000" s="5"/>
      <c r="I1000" s="5"/>
      <c r="K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1.22"/>
    <col customWidth="1" min="2" max="2" width="7.22"/>
    <col customWidth="1" min="3" max="3" width="13.33"/>
    <col customWidth="1" min="4" max="4" width="13.89"/>
  </cols>
  <sheetData>
    <row r="1">
      <c r="A1" s="2" t="s">
        <v>1</v>
      </c>
      <c r="B1" s="2" t="s">
        <v>2</v>
      </c>
      <c r="C1" s="2" t="s">
        <v>4</v>
      </c>
      <c r="D1" s="2" t="s">
        <v>5</v>
      </c>
    </row>
    <row r="2">
      <c r="A2" s="1" t="s">
        <v>6</v>
      </c>
      <c r="B2" s="1">
        <v>249106.0</v>
      </c>
      <c r="C2" s="5">
        <v>1.2951444E7</v>
      </c>
      <c r="D2" s="5">
        <v>4265433.0</v>
      </c>
    </row>
    <row r="3">
      <c r="A3" s="1" t="s">
        <v>7</v>
      </c>
      <c r="B3" s="1">
        <v>1463404.0</v>
      </c>
      <c r="C3" s="5">
        <v>1.44311473E8</v>
      </c>
      <c r="D3" s="5">
        <v>3.2194139E7</v>
      </c>
    </row>
    <row r="4">
      <c r="A4" s="1" t="s">
        <v>8</v>
      </c>
      <c r="B4" s="1">
        <v>1176805.0</v>
      </c>
      <c r="C4" s="5">
        <v>1.03311731E8</v>
      </c>
      <c r="D4" s="5">
        <v>2.2479458E7</v>
      </c>
    </row>
    <row r="5">
      <c r="A5" s="1" t="s">
        <v>10</v>
      </c>
      <c r="B5" s="1">
        <v>4330545.0</v>
      </c>
      <c r="C5" s="5">
        <v>3.95249954E8</v>
      </c>
      <c r="D5" s="5">
        <v>8.7199436E7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8.56"/>
  </cols>
  <sheetData>
    <row r="1">
      <c r="A1" s="23" t="s">
        <v>18</v>
      </c>
    </row>
    <row r="2">
      <c r="A2" s="1" t="s">
        <v>58</v>
      </c>
    </row>
    <row r="3">
      <c r="A3" s="1" t="s">
        <v>61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150000.0</v>
      </c>
      <c r="K6" s="1">
        <v>150442.0</v>
      </c>
      <c r="L6" s="1">
        <v>150885.0</v>
      </c>
      <c r="M6" s="1">
        <v>151330.0</v>
      </c>
      <c r="N6" s="1">
        <v>151775.0</v>
      </c>
      <c r="O6" s="1">
        <v>152223.0</v>
      </c>
      <c r="P6" s="1">
        <v>152671.0</v>
      </c>
      <c r="Q6" s="1">
        <v>153121.0</v>
      </c>
      <c r="R6" s="1">
        <v>153572.0</v>
      </c>
      <c r="S6" s="1">
        <v>154024.0</v>
      </c>
      <c r="T6" s="1">
        <v>154478.0</v>
      </c>
      <c r="U6" s="1">
        <v>154933.0</v>
      </c>
      <c r="V6" s="1">
        <v>155390.0</v>
      </c>
      <c r="W6" s="1">
        <v>155847.0</v>
      </c>
      <c r="X6" s="1">
        <v>156306.0</v>
      </c>
      <c r="Y6" s="1">
        <v>156767.0</v>
      </c>
      <c r="Z6" s="1">
        <v>157229.0</v>
      </c>
      <c r="AA6" s="1">
        <v>157692.0</v>
      </c>
      <c r="AB6" s="1">
        <v>158157.0</v>
      </c>
      <c r="AC6" s="1">
        <v>158622.0</v>
      </c>
      <c r="AD6" s="1">
        <v>159090.0</v>
      </c>
      <c r="AE6" s="1">
        <v>159558.0</v>
      </c>
      <c r="AF6" s="1">
        <v>160029.0</v>
      </c>
      <c r="AG6" s="1">
        <v>160500.0</v>
      </c>
      <c r="AH6" s="1">
        <v>160973.0</v>
      </c>
      <c r="AI6" s="1">
        <v>161447.0</v>
      </c>
      <c r="AJ6" s="1">
        <v>161923.0</v>
      </c>
      <c r="AK6" s="1">
        <v>162400.0</v>
      </c>
      <c r="AL6" s="1">
        <v>162878.0</v>
      </c>
      <c r="AM6" s="1">
        <v>163358.0</v>
      </c>
      <c r="AN6" s="1">
        <v>163839.0</v>
      </c>
      <c r="AO6" s="1">
        <v>164322.0</v>
      </c>
      <c r="AP6" s="1">
        <v>164806.0</v>
      </c>
      <c r="AQ6" s="1">
        <v>165291.0</v>
      </c>
      <c r="AR6" s="1">
        <v>165778.0</v>
      </c>
      <c r="AS6" s="1">
        <v>166267.0</v>
      </c>
      <c r="AT6" s="1">
        <v>166757.0</v>
      </c>
      <c r="AU6" s="1">
        <v>167248.0</v>
      </c>
      <c r="AV6" s="1">
        <v>167741.0</v>
      </c>
      <c r="AW6" s="1">
        <v>168235.0</v>
      </c>
      <c r="AX6" s="1">
        <v>168730.0</v>
      </c>
      <c r="AY6" s="1">
        <v>169227.0</v>
      </c>
      <c r="AZ6" s="1">
        <v>169726.0</v>
      </c>
      <c r="BA6" s="1">
        <v>170226.0</v>
      </c>
      <c r="BB6" s="1">
        <v>170728.0</v>
      </c>
      <c r="BC6" s="1">
        <v>171230.0</v>
      </c>
      <c r="BD6" s="1">
        <v>171735.0</v>
      </c>
      <c r="BE6" s="1">
        <v>172241.0</v>
      </c>
      <c r="BF6" s="1">
        <v>172748.0</v>
      </c>
      <c r="BG6" s="1">
        <v>173257.0</v>
      </c>
      <c r="BH6" s="1">
        <v>173768.0</v>
      </c>
      <c r="BI6" s="1">
        <v>174280.0</v>
      </c>
      <c r="BJ6" s="1">
        <v>174793.0</v>
      </c>
      <c r="BK6" s="1">
        <v>175308.0</v>
      </c>
      <c r="BL6" s="1">
        <v>175824.0</v>
      </c>
      <c r="BM6" s="1">
        <v>176342.0</v>
      </c>
      <c r="BN6" s="1">
        <v>176862.0</v>
      </c>
      <c r="BO6" s="1">
        <v>177383.0</v>
      </c>
      <c r="BP6" s="1">
        <v>177905.0</v>
      </c>
      <c r="BQ6" s="1">
        <v>178430.0</v>
      </c>
      <c r="BR6" s="1">
        <v>178955.0</v>
      </c>
      <c r="BS6" s="1">
        <v>179482.0</v>
      </c>
      <c r="BT6" s="1">
        <v>180011.0</v>
      </c>
      <c r="BU6" s="1">
        <v>180541.0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900.0</v>
      </c>
      <c r="L7" s="1">
        <v>903.0</v>
      </c>
      <c r="M7" s="1">
        <v>905.0</v>
      </c>
      <c r="N7" s="1">
        <v>908.0</v>
      </c>
      <c r="O7" s="1">
        <v>911.0</v>
      </c>
      <c r="P7" s="1">
        <v>913.0</v>
      </c>
      <c r="Q7" s="1">
        <v>916.0</v>
      </c>
      <c r="R7" s="1">
        <v>919.0</v>
      </c>
      <c r="S7" s="1">
        <v>921.0</v>
      </c>
      <c r="T7" s="1">
        <v>924.0</v>
      </c>
      <c r="U7" s="1">
        <v>927.0</v>
      </c>
      <c r="V7" s="1">
        <v>930.0</v>
      </c>
      <c r="W7" s="1">
        <v>932.0</v>
      </c>
      <c r="X7" s="1">
        <v>935.0</v>
      </c>
      <c r="Y7" s="1">
        <v>938.0</v>
      </c>
      <c r="Z7" s="1">
        <v>941.0</v>
      </c>
      <c r="AA7" s="1">
        <v>943.0</v>
      </c>
      <c r="AB7" s="1">
        <v>946.0</v>
      </c>
      <c r="AC7" s="1">
        <v>949.0</v>
      </c>
      <c r="AD7" s="1">
        <v>952.0</v>
      </c>
      <c r="AE7" s="1">
        <v>955.0</v>
      </c>
      <c r="AF7" s="1">
        <v>957.0</v>
      </c>
      <c r="AG7" s="1">
        <v>960.0</v>
      </c>
      <c r="AH7" s="1">
        <v>963.0</v>
      </c>
      <c r="AI7" s="1">
        <v>966.0</v>
      </c>
      <c r="AJ7" s="1">
        <v>969.0</v>
      </c>
      <c r="AK7" s="1">
        <v>972.0</v>
      </c>
      <c r="AL7" s="1">
        <v>974.0</v>
      </c>
      <c r="AM7" s="1">
        <v>977.0</v>
      </c>
      <c r="AN7" s="1">
        <v>980.0</v>
      </c>
      <c r="AO7" s="1">
        <v>983.0</v>
      </c>
      <c r="AP7" s="1">
        <v>986.0</v>
      </c>
      <c r="AQ7" s="1">
        <v>989.0</v>
      </c>
      <c r="AR7" s="1">
        <v>992.0</v>
      </c>
      <c r="AS7" s="1">
        <v>995.0</v>
      </c>
      <c r="AT7" s="1">
        <v>998.0</v>
      </c>
      <c r="AU7" s="1">
        <v>1001.0</v>
      </c>
      <c r="AV7" s="1">
        <v>1003.0</v>
      </c>
      <c r="AW7" s="1">
        <v>1006.0</v>
      </c>
      <c r="AX7" s="1">
        <v>1009.0</v>
      </c>
      <c r="AY7" s="1">
        <v>1012.0</v>
      </c>
      <c r="AZ7" s="1">
        <v>1015.0</v>
      </c>
      <c r="BA7" s="1">
        <v>1018.0</v>
      </c>
      <c r="BB7" s="1">
        <v>1021.0</v>
      </c>
      <c r="BC7" s="1">
        <v>1024.0</v>
      </c>
      <c r="BD7" s="1">
        <v>1027.0</v>
      </c>
      <c r="BE7" s="1">
        <v>1030.0</v>
      </c>
      <c r="BF7" s="1">
        <v>1033.0</v>
      </c>
      <c r="BG7" s="1">
        <v>1036.0</v>
      </c>
      <c r="BH7" s="1">
        <v>1040.0</v>
      </c>
      <c r="BI7" s="1">
        <v>1043.0</v>
      </c>
      <c r="BJ7" s="1">
        <v>1046.0</v>
      </c>
      <c r="BK7" s="1">
        <v>1049.0</v>
      </c>
      <c r="BL7" s="1">
        <v>1052.0</v>
      </c>
      <c r="BM7" s="1">
        <v>1055.0</v>
      </c>
      <c r="BN7" s="1">
        <v>1058.0</v>
      </c>
      <c r="BO7" s="1">
        <v>1061.0</v>
      </c>
      <c r="BP7" s="1">
        <v>1064.0</v>
      </c>
      <c r="BQ7" s="1">
        <v>1067.0</v>
      </c>
      <c r="BR7" s="1">
        <v>1071.0</v>
      </c>
      <c r="BS7" s="1">
        <v>1074.0</v>
      </c>
      <c r="BT7" s="1">
        <v>1077.0</v>
      </c>
      <c r="BU7" s="1">
        <v>1080.0</v>
      </c>
      <c r="BV7" s="1">
        <v>62203.0</v>
      </c>
    </row>
    <row r="8">
      <c r="A8" s="1" t="s">
        <v>145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  <c r="T8" s="1">
        <v>1.0</v>
      </c>
      <c r="U8" s="1">
        <v>1.0</v>
      </c>
      <c r="V8" s="1">
        <v>1.0</v>
      </c>
      <c r="W8" s="1">
        <v>1.0</v>
      </c>
      <c r="X8" s="1">
        <v>1.0</v>
      </c>
      <c r="Y8" s="1">
        <v>1.0</v>
      </c>
      <c r="Z8" s="1">
        <v>1.0</v>
      </c>
      <c r="AA8" s="1">
        <v>1.0</v>
      </c>
      <c r="AB8" s="1">
        <v>1.0</v>
      </c>
      <c r="AC8" s="1">
        <v>1.0</v>
      </c>
      <c r="AD8" s="1">
        <v>1.0</v>
      </c>
      <c r="AE8" s="1">
        <v>1.0</v>
      </c>
      <c r="AF8" s="1">
        <v>1.0</v>
      </c>
      <c r="AG8" s="1">
        <v>1.0</v>
      </c>
      <c r="AH8" s="1">
        <v>1.0</v>
      </c>
      <c r="AI8" s="1">
        <v>1.0</v>
      </c>
      <c r="AJ8" s="1">
        <v>1.0</v>
      </c>
      <c r="AK8" s="1">
        <v>1.0</v>
      </c>
      <c r="AL8" s="1">
        <v>1.0</v>
      </c>
      <c r="AM8" s="1">
        <v>1.0</v>
      </c>
      <c r="AN8" s="1">
        <v>1.0</v>
      </c>
      <c r="AO8" s="1">
        <v>1.0</v>
      </c>
      <c r="AP8" s="1">
        <v>1.0</v>
      </c>
      <c r="AQ8" s="1">
        <v>1.0</v>
      </c>
      <c r="AR8" s="1">
        <v>1.0</v>
      </c>
      <c r="AS8" s="1">
        <v>1.0</v>
      </c>
      <c r="AT8" s="1">
        <v>1.0</v>
      </c>
      <c r="AU8" s="1">
        <v>1.0</v>
      </c>
      <c r="AV8" s="1">
        <v>1.0</v>
      </c>
      <c r="AW8" s="1">
        <v>1.0</v>
      </c>
      <c r="AX8" s="1">
        <v>1.0</v>
      </c>
      <c r="AY8" s="1">
        <v>1.0</v>
      </c>
      <c r="AZ8" s="1">
        <v>1.0</v>
      </c>
      <c r="BA8" s="1">
        <v>1.0</v>
      </c>
      <c r="BB8" s="1">
        <v>1.0</v>
      </c>
      <c r="BC8" s="1">
        <v>1.0</v>
      </c>
      <c r="BD8" s="1">
        <v>1.0</v>
      </c>
      <c r="BE8" s="1">
        <v>1.0</v>
      </c>
      <c r="BF8" s="1">
        <v>1.0</v>
      </c>
      <c r="BG8" s="1">
        <v>1.0</v>
      </c>
      <c r="BH8" s="1">
        <v>1.0</v>
      </c>
      <c r="BI8" s="1">
        <v>1.0</v>
      </c>
      <c r="BJ8" s="1">
        <v>1.0</v>
      </c>
      <c r="BK8" s="1">
        <v>1.0</v>
      </c>
      <c r="BL8" s="1">
        <v>1.0</v>
      </c>
      <c r="BM8" s="1">
        <v>1.0</v>
      </c>
      <c r="BN8" s="1">
        <v>1.0</v>
      </c>
      <c r="BO8" s="1">
        <v>1.0</v>
      </c>
      <c r="BP8" s="1">
        <v>1.0</v>
      </c>
      <c r="BQ8" s="1">
        <v>1.0</v>
      </c>
      <c r="BR8" s="1">
        <v>1.0</v>
      </c>
      <c r="BS8" s="1">
        <v>1.0</v>
      </c>
      <c r="BT8" s="1">
        <v>1.0</v>
      </c>
      <c r="BU8" s="1">
        <v>1.0</v>
      </c>
    </row>
    <row r="9">
      <c r="A9" s="1" t="s">
        <v>146</v>
      </c>
      <c r="B9" s="1">
        <v>40.0</v>
      </c>
      <c r="C9" s="1">
        <v>40.0</v>
      </c>
      <c r="D9" s="1">
        <v>40.0</v>
      </c>
      <c r="E9" s="1">
        <v>40.0</v>
      </c>
      <c r="F9" s="1">
        <v>40.0</v>
      </c>
      <c r="G9" s="1">
        <v>40.0</v>
      </c>
      <c r="H9" s="1">
        <v>40.0</v>
      </c>
      <c r="I9" s="1">
        <v>40.0</v>
      </c>
      <c r="J9" s="1">
        <v>40.0</v>
      </c>
      <c r="K9" s="1">
        <v>40.0</v>
      </c>
      <c r="L9" s="1">
        <v>40.0</v>
      </c>
      <c r="M9" s="1">
        <v>40.0</v>
      </c>
      <c r="N9" s="1">
        <v>40.0</v>
      </c>
      <c r="O9" s="1">
        <v>40.0</v>
      </c>
      <c r="P9" s="1">
        <v>40.0</v>
      </c>
      <c r="Q9" s="1">
        <v>40.0</v>
      </c>
      <c r="R9" s="1">
        <v>40.0</v>
      </c>
      <c r="S9" s="1">
        <v>40.0</v>
      </c>
      <c r="T9" s="1">
        <v>40.0</v>
      </c>
      <c r="U9" s="1">
        <v>40.0</v>
      </c>
      <c r="V9" s="1">
        <v>40.0</v>
      </c>
      <c r="W9" s="1">
        <v>40.0</v>
      </c>
      <c r="X9" s="1">
        <v>40.0</v>
      </c>
      <c r="Y9" s="1">
        <v>40.0</v>
      </c>
      <c r="Z9" s="1">
        <v>40.0</v>
      </c>
      <c r="AA9" s="1">
        <v>40.0</v>
      </c>
      <c r="AB9" s="1">
        <v>40.0</v>
      </c>
      <c r="AC9" s="1">
        <v>40.0</v>
      </c>
      <c r="AD9" s="1">
        <v>40.0</v>
      </c>
      <c r="AE9" s="1">
        <v>40.0</v>
      </c>
      <c r="AF9" s="1">
        <v>40.0</v>
      </c>
      <c r="AG9" s="1">
        <v>40.0</v>
      </c>
      <c r="AH9" s="1">
        <v>40.0</v>
      </c>
      <c r="AI9" s="1">
        <v>40.0</v>
      </c>
      <c r="AJ9" s="1">
        <v>40.0</v>
      </c>
      <c r="AK9" s="1">
        <v>40.0</v>
      </c>
      <c r="AL9" s="1">
        <v>40.0</v>
      </c>
      <c r="AM9" s="1">
        <v>40.0</v>
      </c>
      <c r="AN9" s="1">
        <v>40.0</v>
      </c>
      <c r="AO9" s="1">
        <v>40.0</v>
      </c>
      <c r="AP9" s="1">
        <v>40.0</v>
      </c>
      <c r="AQ9" s="1">
        <v>40.0</v>
      </c>
      <c r="AR9" s="1">
        <v>40.0</v>
      </c>
      <c r="AS9" s="1">
        <v>40.0</v>
      </c>
      <c r="AT9" s="1">
        <v>40.0</v>
      </c>
      <c r="AU9" s="1">
        <v>40.0</v>
      </c>
      <c r="AV9" s="1">
        <v>40.0</v>
      </c>
      <c r="AW9" s="1">
        <v>40.0</v>
      </c>
      <c r="AX9" s="1">
        <v>40.0</v>
      </c>
      <c r="AY9" s="1">
        <v>40.0</v>
      </c>
      <c r="AZ9" s="1">
        <v>40.0</v>
      </c>
      <c r="BA9" s="1">
        <v>40.0</v>
      </c>
      <c r="BB9" s="1">
        <v>40.0</v>
      </c>
      <c r="BC9" s="1">
        <v>40.0</v>
      </c>
      <c r="BD9" s="1">
        <v>40.0</v>
      </c>
      <c r="BE9" s="1">
        <v>40.0</v>
      </c>
      <c r="BF9" s="1">
        <v>40.0</v>
      </c>
      <c r="BG9" s="1">
        <v>40.0</v>
      </c>
      <c r="BH9" s="1">
        <v>40.0</v>
      </c>
      <c r="BI9" s="1">
        <v>40.0</v>
      </c>
      <c r="BJ9" s="1">
        <v>40.0</v>
      </c>
      <c r="BK9" s="1">
        <v>40.0</v>
      </c>
      <c r="BL9" s="1">
        <v>40.0</v>
      </c>
      <c r="BM9" s="1">
        <v>40.0</v>
      </c>
      <c r="BN9" s="1">
        <v>40.0</v>
      </c>
      <c r="BO9" s="1">
        <v>40.0</v>
      </c>
      <c r="BP9" s="1">
        <v>40.0</v>
      </c>
      <c r="BQ9" s="1">
        <v>40.0</v>
      </c>
      <c r="BR9" s="1">
        <v>40.0</v>
      </c>
      <c r="BS9" s="1">
        <v>40.0</v>
      </c>
      <c r="BT9" s="1">
        <v>40.0</v>
      </c>
      <c r="BU9" s="1">
        <v>40.0</v>
      </c>
      <c r="BV9" s="1" t="s">
        <v>148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1500.0</v>
      </c>
      <c r="K11" s="1">
        <v>1504.0</v>
      </c>
      <c r="L11" s="1">
        <v>1509.0</v>
      </c>
      <c r="M11" s="1">
        <v>1513.0</v>
      </c>
      <c r="N11" s="1">
        <v>1518.0</v>
      </c>
      <c r="O11" s="1">
        <v>1522.0</v>
      </c>
      <c r="P11" s="1">
        <v>1527.0</v>
      </c>
      <c r="Q11" s="1">
        <v>1531.0</v>
      </c>
      <c r="R11" s="1">
        <v>1536.0</v>
      </c>
      <c r="S11" s="1">
        <v>1540.0</v>
      </c>
      <c r="T11" s="1">
        <v>1545.0</v>
      </c>
      <c r="U11" s="1">
        <v>1549.0</v>
      </c>
      <c r="V11" s="1">
        <v>1554.0</v>
      </c>
      <c r="W11" s="1">
        <v>1558.0</v>
      </c>
      <c r="X11" s="1">
        <v>1563.0</v>
      </c>
      <c r="Y11" s="1">
        <v>1568.0</v>
      </c>
      <c r="Z11" s="1">
        <v>1572.0</v>
      </c>
      <c r="AA11" s="1">
        <v>1577.0</v>
      </c>
      <c r="AB11" s="1">
        <v>1582.0</v>
      </c>
      <c r="AC11" s="1">
        <v>1586.0</v>
      </c>
      <c r="AD11" s="1">
        <v>1591.0</v>
      </c>
      <c r="AE11" s="1">
        <v>1596.0</v>
      </c>
      <c r="AF11" s="1">
        <v>1600.0</v>
      </c>
      <c r="AG11" s="1">
        <v>1605.0</v>
      </c>
      <c r="AH11" s="1">
        <v>1610.0</v>
      </c>
      <c r="AI11" s="1">
        <v>1614.0</v>
      </c>
      <c r="AJ11" s="1">
        <v>1619.0</v>
      </c>
      <c r="AK11" s="1">
        <v>1624.0</v>
      </c>
      <c r="AL11" s="1">
        <v>1629.0</v>
      </c>
      <c r="AM11" s="1">
        <v>1634.0</v>
      </c>
      <c r="AN11" s="1">
        <v>1638.0</v>
      </c>
      <c r="AO11" s="1">
        <v>1643.0</v>
      </c>
      <c r="AP11" s="1">
        <v>1648.0</v>
      </c>
      <c r="AQ11" s="1">
        <v>1653.0</v>
      </c>
      <c r="AR11" s="1">
        <v>1658.0</v>
      </c>
      <c r="AS11" s="1">
        <v>1663.0</v>
      </c>
      <c r="AT11" s="1">
        <v>1668.0</v>
      </c>
      <c r="AU11" s="1">
        <v>1672.0</v>
      </c>
      <c r="AV11" s="1">
        <v>1677.0</v>
      </c>
      <c r="AW11" s="1">
        <v>1682.0</v>
      </c>
      <c r="AX11" s="1">
        <v>1687.0</v>
      </c>
      <c r="AY11" s="1">
        <v>1692.0</v>
      </c>
      <c r="AZ11" s="1">
        <v>1697.0</v>
      </c>
      <c r="BA11" s="1">
        <v>1702.0</v>
      </c>
      <c r="BB11" s="1">
        <v>1707.0</v>
      </c>
      <c r="BC11" s="1">
        <v>1712.0</v>
      </c>
      <c r="BD11" s="1">
        <v>1717.0</v>
      </c>
      <c r="BE11" s="1">
        <v>1722.0</v>
      </c>
      <c r="BF11" s="1">
        <v>1727.0</v>
      </c>
      <c r="BG11" s="1">
        <v>1733.0</v>
      </c>
      <c r="BH11" s="1">
        <v>1738.0</v>
      </c>
      <c r="BI11" s="1">
        <v>1743.0</v>
      </c>
      <c r="BJ11" s="1">
        <v>1748.0</v>
      </c>
      <c r="BK11" s="1">
        <v>1753.0</v>
      </c>
      <c r="BL11" s="1">
        <v>1758.0</v>
      </c>
      <c r="BM11" s="1">
        <v>1763.0</v>
      </c>
      <c r="BN11" s="1">
        <v>1769.0</v>
      </c>
      <c r="BO11" s="1">
        <v>1774.0</v>
      </c>
      <c r="BP11" s="1">
        <v>1779.0</v>
      </c>
      <c r="BQ11" s="1">
        <v>1784.0</v>
      </c>
      <c r="BR11" s="1">
        <v>1790.0</v>
      </c>
      <c r="BS11" s="1">
        <v>1795.0</v>
      </c>
      <c r="BT11" s="1">
        <v>1800.0</v>
      </c>
      <c r="BU11" s="1">
        <v>1805.0</v>
      </c>
      <c r="BV11" s="1">
        <v>105476.0</v>
      </c>
    </row>
    <row r="12">
      <c r="A12" s="31" t="s">
        <v>4</v>
      </c>
      <c r="B12" s="31">
        <v>0.0</v>
      </c>
      <c r="C12" s="31">
        <v>0.0</v>
      </c>
      <c r="D12" s="31">
        <v>0.0</v>
      </c>
      <c r="E12" s="31">
        <v>0.0</v>
      </c>
      <c r="F12" s="31">
        <v>0.0</v>
      </c>
      <c r="G12" s="31">
        <v>0.0</v>
      </c>
      <c r="H12" s="31">
        <v>0.0</v>
      </c>
      <c r="I12" s="31">
        <v>0.0</v>
      </c>
      <c r="J12" s="31">
        <v>60000.0</v>
      </c>
      <c r="K12" s="31">
        <v>60177.0</v>
      </c>
      <c r="L12" s="31">
        <v>60354.0</v>
      </c>
      <c r="M12" s="31">
        <v>60532.0</v>
      </c>
      <c r="N12" s="31">
        <v>60710.0</v>
      </c>
      <c r="O12" s="31">
        <v>60889.0</v>
      </c>
      <c r="P12" s="31">
        <v>61068.0</v>
      </c>
      <c r="Q12" s="31">
        <v>61248.0</v>
      </c>
      <c r="R12" s="31">
        <v>61429.0</v>
      </c>
      <c r="S12" s="31">
        <v>61610.0</v>
      </c>
      <c r="T12" s="31">
        <v>61791.0</v>
      </c>
      <c r="U12" s="31">
        <v>61973.0</v>
      </c>
      <c r="V12" s="31">
        <v>62156.0</v>
      </c>
      <c r="W12" s="31">
        <v>62339.0</v>
      </c>
      <c r="X12" s="31">
        <v>62523.0</v>
      </c>
      <c r="Y12" s="31">
        <v>62707.0</v>
      </c>
      <c r="Z12" s="31">
        <v>62892.0</v>
      </c>
      <c r="AA12" s="31">
        <v>63077.0</v>
      </c>
      <c r="AB12" s="31">
        <v>63263.0</v>
      </c>
      <c r="AC12" s="31">
        <v>63449.0</v>
      </c>
      <c r="AD12" s="31">
        <v>63636.0</v>
      </c>
      <c r="AE12" s="31">
        <v>63823.0</v>
      </c>
      <c r="AF12" s="31">
        <v>64011.0</v>
      </c>
      <c r="AG12" s="31">
        <v>64200.0</v>
      </c>
      <c r="AH12" s="31">
        <v>64389.0</v>
      </c>
      <c r="AI12" s="31">
        <v>64579.0</v>
      </c>
      <c r="AJ12" s="31">
        <v>64769.0</v>
      </c>
      <c r="AK12" s="31">
        <v>64960.0</v>
      </c>
      <c r="AL12" s="31">
        <v>65151.0</v>
      </c>
      <c r="AM12" s="31">
        <v>65343.0</v>
      </c>
      <c r="AN12" s="31">
        <v>65536.0</v>
      </c>
      <c r="AO12" s="31">
        <v>65729.0</v>
      </c>
      <c r="AP12" s="31">
        <v>65922.0</v>
      </c>
      <c r="AQ12" s="31">
        <v>66117.0</v>
      </c>
      <c r="AR12" s="31">
        <v>66311.0</v>
      </c>
      <c r="AS12" s="31">
        <v>66507.0</v>
      </c>
      <c r="AT12" s="31">
        <v>66703.0</v>
      </c>
      <c r="AU12" s="31">
        <v>66899.0</v>
      </c>
      <c r="AV12" s="31">
        <v>67096.0</v>
      </c>
      <c r="AW12" s="31">
        <v>67294.0</v>
      </c>
      <c r="AX12" s="31">
        <v>67492.0</v>
      </c>
      <c r="AY12" s="31">
        <v>67691.0</v>
      </c>
      <c r="AZ12" s="31">
        <v>67890.0</v>
      </c>
      <c r="BA12" s="31">
        <v>68090.0</v>
      </c>
      <c r="BB12" s="31">
        <v>68291.0</v>
      </c>
      <c r="BC12" s="31">
        <v>68492.0</v>
      </c>
      <c r="BD12" s="31">
        <v>68694.0</v>
      </c>
      <c r="BE12" s="31">
        <v>68896.0</v>
      </c>
      <c r="BF12" s="31">
        <v>69099.0</v>
      </c>
      <c r="BG12" s="31">
        <v>69303.0</v>
      </c>
      <c r="BH12" s="31">
        <v>69507.0</v>
      </c>
      <c r="BI12" s="31">
        <v>69712.0</v>
      </c>
      <c r="BJ12" s="31">
        <v>69917.0</v>
      </c>
      <c r="BK12" s="31">
        <v>70123.0</v>
      </c>
      <c r="BL12" s="31">
        <v>70330.0</v>
      </c>
      <c r="BM12" s="31">
        <v>70537.0</v>
      </c>
      <c r="BN12" s="31">
        <v>70745.0</v>
      </c>
      <c r="BO12" s="31">
        <v>70953.0</v>
      </c>
      <c r="BP12" s="31">
        <v>71162.0</v>
      </c>
      <c r="BQ12" s="31">
        <v>71372.0</v>
      </c>
      <c r="BR12" s="31">
        <v>71582.0</v>
      </c>
      <c r="BS12" s="31">
        <v>71793.0</v>
      </c>
      <c r="BT12" s="31">
        <v>72004.0</v>
      </c>
      <c r="BU12" s="31">
        <v>72217.0</v>
      </c>
      <c r="BV12" s="31">
        <v>4219054.0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18000.0</v>
      </c>
      <c r="K13" s="1">
        <v>18053.0</v>
      </c>
      <c r="L13" s="1">
        <v>18106.0</v>
      </c>
      <c r="M13" s="1">
        <v>18160.0</v>
      </c>
      <c r="N13" s="1">
        <v>18213.0</v>
      </c>
      <c r="O13" s="1">
        <v>18267.0</v>
      </c>
      <c r="P13" s="1">
        <v>18321.0</v>
      </c>
      <c r="Q13" s="1">
        <v>18374.0</v>
      </c>
      <c r="R13" s="1">
        <v>18429.0</v>
      </c>
      <c r="S13" s="1">
        <v>18483.0</v>
      </c>
      <c r="T13" s="1">
        <v>18537.0</v>
      </c>
      <c r="U13" s="1">
        <v>18592.0</v>
      </c>
      <c r="V13" s="1">
        <v>18647.0</v>
      </c>
      <c r="W13" s="1">
        <v>18702.0</v>
      </c>
      <c r="X13" s="1">
        <v>18757.0</v>
      </c>
      <c r="Y13" s="1">
        <v>18812.0</v>
      </c>
      <c r="Z13" s="1">
        <v>18867.0</v>
      </c>
      <c r="AA13" s="1">
        <v>18923.0</v>
      </c>
      <c r="AB13" s="1">
        <v>18979.0</v>
      </c>
      <c r="AC13" s="1">
        <v>19035.0</v>
      </c>
      <c r="AD13" s="1">
        <v>19091.0</v>
      </c>
      <c r="AE13" s="1">
        <v>19147.0</v>
      </c>
      <c r="AF13" s="1">
        <v>19203.0</v>
      </c>
      <c r="AG13" s="1">
        <v>19260.0</v>
      </c>
      <c r="AH13" s="1">
        <v>19317.0</v>
      </c>
      <c r="AI13" s="1">
        <v>19374.0</v>
      </c>
      <c r="AJ13" s="1">
        <v>19431.0</v>
      </c>
      <c r="AK13" s="1">
        <v>19488.0</v>
      </c>
      <c r="AL13" s="1">
        <v>19545.0</v>
      </c>
      <c r="AM13" s="1">
        <v>19603.0</v>
      </c>
      <c r="AN13" s="1">
        <v>19661.0</v>
      </c>
      <c r="AO13" s="1">
        <v>19719.0</v>
      </c>
      <c r="AP13" s="1">
        <v>19777.0</v>
      </c>
      <c r="AQ13" s="1">
        <v>19835.0</v>
      </c>
      <c r="AR13" s="1">
        <v>19893.0</v>
      </c>
      <c r="AS13" s="1">
        <v>19952.0</v>
      </c>
      <c r="AT13" s="1">
        <v>20011.0</v>
      </c>
      <c r="AU13" s="1">
        <v>20070.0</v>
      </c>
      <c r="AV13" s="1">
        <v>20129.0</v>
      </c>
      <c r="AW13" s="1">
        <v>20188.0</v>
      </c>
      <c r="AX13" s="1">
        <v>20248.0</v>
      </c>
      <c r="AY13" s="1">
        <v>20307.0</v>
      </c>
      <c r="AZ13" s="1">
        <v>20367.0</v>
      </c>
      <c r="BA13" s="1">
        <v>20427.0</v>
      </c>
      <c r="BB13" s="1">
        <v>20487.0</v>
      </c>
      <c r="BC13" s="1">
        <v>20548.0</v>
      </c>
      <c r="BD13" s="1">
        <v>20608.0</v>
      </c>
      <c r="BE13" s="1">
        <v>20669.0</v>
      </c>
      <c r="BF13" s="1">
        <v>20730.0</v>
      </c>
      <c r="BG13" s="1">
        <v>20791.0</v>
      </c>
      <c r="BH13" s="1">
        <v>20852.0</v>
      </c>
      <c r="BI13" s="1">
        <v>20914.0</v>
      </c>
      <c r="BJ13" s="1">
        <v>20975.0</v>
      </c>
      <c r="BK13" s="1">
        <v>21037.0</v>
      </c>
      <c r="BL13" s="1">
        <v>21099.0</v>
      </c>
      <c r="BM13" s="1">
        <v>21161.0</v>
      </c>
      <c r="BN13" s="1">
        <v>21223.0</v>
      </c>
      <c r="BO13" s="1">
        <v>21286.0</v>
      </c>
      <c r="BP13" s="1">
        <v>21349.0</v>
      </c>
      <c r="BQ13" s="1">
        <v>21412.0</v>
      </c>
      <c r="BR13" s="1">
        <v>21475.0</v>
      </c>
      <c r="BS13" s="1">
        <v>21538.0</v>
      </c>
      <c r="BT13" s="1">
        <v>21601.0</v>
      </c>
      <c r="BU13" s="1">
        <v>21665.0</v>
      </c>
      <c r="BV13" s="1">
        <v>1265716.0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2000.0</v>
      </c>
      <c r="K14" s="1">
        <v>2000.0</v>
      </c>
      <c r="L14" s="1">
        <v>2000.0</v>
      </c>
      <c r="M14" s="1">
        <v>2000.0</v>
      </c>
      <c r="N14" s="1">
        <v>2000.0</v>
      </c>
      <c r="O14" s="1">
        <v>2000.0</v>
      </c>
      <c r="P14" s="1">
        <v>2000.0</v>
      </c>
      <c r="Q14" s="1">
        <v>2000.0</v>
      </c>
      <c r="R14" s="1">
        <v>2000.0</v>
      </c>
      <c r="S14" s="1">
        <v>2000.0</v>
      </c>
      <c r="T14" s="1">
        <v>2000.0</v>
      </c>
      <c r="U14" s="1">
        <v>2000.0</v>
      </c>
      <c r="V14" s="1">
        <v>2000.0</v>
      </c>
      <c r="W14" s="1">
        <v>2000.0</v>
      </c>
      <c r="X14" s="1">
        <v>2000.0</v>
      </c>
      <c r="Y14" s="1">
        <v>2000.0</v>
      </c>
      <c r="Z14" s="1">
        <v>2000.0</v>
      </c>
      <c r="AA14" s="1">
        <v>2000.0</v>
      </c>
      <c r="AB14" s="1">
        <v>2000.0</v>
      </c>
      <c r="AC14" s="1">
        <v>2000.0</v>
      </c>
      <c r="AD14" s="1">
        <v>2000.0</v>
      </c>
      <c r="AE14" s="1">
        <v>2000.0</v>
      </c>
      <c r="AF14" s="1">
        <v>2000.0</v>
      </c>
      <c r="AG14" s="1">
        <v>2000.0</v>
      </c>
      <c r="AH14" s="1">
        <v>2000.0</v>
      </c>
      <c r="AI14" s="1">
        <v>2000.0</v>
      </c>
      <c r="AJ14" s="1">
        <v>2000.0</v>
      </c>
      <c r="AK14" s="1">
        <v>2000.0</v>
      </c>
      <c r="AL14" s="1">
        <v>2000.0</v>
      </c>
      <c r="AM14" s="1">
        <v>2000.0</v>
      </c>
      <c r="AN14" s="1">
        <v>2000.0</v>
      </c>
      <c r="AO14" s="1">
        <v>2000.0</v>
      </c>
      <c r="AP14" s="1">
        <v>2000.0</v>
      </c>
      <c r="AQ14" s="1">
        <v>2000.0</v>
      </c>
      <c r="AR14" s="1">
        <v>2000.0</v>
      </c>
      <c r="AS14" s="1">
        <v>2000.0</v>
      </c>
      <c r="AT14" s="1">
        <v>2000.0</v>
      </c>
      <c r="AU14" s="1">
        <v>2000.0</v>
      </c>
      <c r="AV14" s="1">
        <v>2000.0</v>
      </c>
      <c r="AW14" s="1">
        <v>2000.0</v>
      </c>
      <c r="AX14" s="1">
        <v>2000.0</v>
      </c>
      <c r="AY14" s="1">
        <v>2000.0</v>
      </c>
      <c r="AZ14" s="1">
        <v>2000.0</v>
      </c>
      <c r="BA14" s="1">
        <v>2000.0</v>
      </c>
      <c r="BB14" s="1">
        <v>2000.0</v>
      </c>
      <c r="BC14" s="1">
        <v>2000.0</v>
      </c>
      <c r="BD14" s="1">
        <v>2000.0</v>
      </c>
      <c r="BE14" s="1">
        <v>2000.0</v>
      </c>
      <c r="BF14" s="1">
        <v>2000.0</v>
      </c>
      <c r="BG14" s="1">
        <v>2000.0</v>
      </c>
      <c r="BH14" s="1">
        <v>2000.0</v>
      </c>
      <c r="BI14" s="1">
        <v>2000.0</v>
      </c>
      <c r="BJ14" s="1">
        <v>2000.0</v>
      </c>
      <c r="BK14" s="1">
        <v>2000.0</v>
      </c>
      <c r="BL14" s="1">
        <v>2000.0</v>
      </c>
      <c r="BM14" s="1">
        <v>2000.0</v>
      </c>
      <c r="BN14" s="1">
        <v>2000.0</v>
      </c>
      <c r="BO14" s="1">
        <v>2000.0</v>
      </c>
      <c r="BP14" s="1">
        <v>2000.0</v>
      </c>
      <c r="BQ14" s="1">
        <v>2000.0</v>
      </c>
      <c r="BR14" s="1">
        <v>2000.0</v>
      </c>
      <c r="BS14" s="1">
        <v>2000.0</v>
      </c>
      <c r="BT14" s="1">
        <v>2000.0</v>
      </c>
      <c r="BU14" s="1">
        <v>2000.0</v>
      </c>
      <c r="BV14" s="1">
        <v>128000.0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20000.0</v>
      </c>
      <c r="K15" s="1">
        <v>20053.0</v>
      </c>
      <c r="L15" s="1">
        <v>20106.0</v>
      </c>
      <c r="M15" s="1">
        <v>20160.0</v>
      </c>
      <c r="N15" s="1">
        <v>20213.0</v>
      </c>
      <c r="O15" s="1">
        <v>20267.0</v>
      </c>
      <c r="P15" s="1">
        <v>20321.0</v>
      </c>
      <c r="Q15" s="1">
        <v>20374.0</v>
      </c>
      <c r="R15" s="1">
        <v>20429.0</v>
      </c>
      <c r="S15" s="1">
        <v>20483.0</v>
      </c>
      <c r="T15" s="1">
        <v>20537.0</v>
      </c>
      <c r="U15" s="1">
        <v>20592.0</v>
      </c>
      <c r="V15" s="1">
        <v>20647.0</v>
      </c>
      <c r="W15" s="1">
        <v>20702.0</v>
      </c>
      <c r="X15" s="1">
        <v>20757.0</v>
      </c>
      <c r="Y15" s="1">
        <v>20812.0</v>
      </c>
      <c r="Z15" s="1">
        <v>20867.0</v>
      </c>
      <c r="AA15" s="1">
        <v>20923.0</v>
      </c>
      <c r="AB15" s="1">
        <v>20979.0</v>
      </c>
      <c r="AC15" s="1">
        <v>21035.0</v>
      </c>
      <c r="AD15" s="1">
        <v>21091.0</v>
      </c>
      <c r="AE15" s="1">
        <v>21147.0</v>
      </c>
      <c r="AF15" s="1">
        <v>21203.0</v>
      </c>
      <c r="AG15" s="1">
        <v>21260.0</v>
      </c>
      <c r="AH15" s="1">
        <v>21317.0</v>
      </c>
      <c r="AI15" s="1">
        <v>21374.0</v>
      </c>
      <c r="AJ15" s="1">
        <v>21431.0</v>
      </c>
      <c r="AK15" s="1">
        <v>21488.0</v>
      </c>
      <c r="AL15" s="1">
        <v>21545.0</v>
      </c>
      <c r="AM15" s="1">
        <v>21603.0</v>
      </c>
      <c r="AN15" s="1">
        <v>21661.0</v>
      </c>
      <c r="AO15" s="1">
        <v>21719.0</v>
      </c>
      <c r="AP15" s="1">
        <v>21777.0</v>
      </c>
      <c r="AQ15" s="1">
        <v>21835.0</v>
      </c>
      <c r="AR15" s="1">
        <v>21893.0</v>
      </c>
      <c r="AS15" s="1">
        <v>21952.0</v>
      </c>
      <c r="AT15" s="1">
        <v>22011.0</v>
      </c>
      <c r="AU15" s="1">
        <v>22070.0</v>
      </c>
      <c r="AV15" s="1">
        <v>22129.0</v>
      </c>
      <c r="AW15" s="1">
        <v>22188.0</v>
      </c>
      <c r="AX15" s="1">
        <v>22248.0</v>
      </c>
      <c r="AY15" s="1">
        <v>22307.0</v>
      </c>
      <c r="AZ15" s="1">
        <v>22367.0</v>
      </c>
      <c r="BA15" s="1">
        <v>22427.0</v>
      </c>
      <c r="BB15" s="1">
        <v>22487.0</v>
      </c>
      <c r="BC15" s="1">
        <v>22548.0</v>
      </c>
      <c r="BD15" s="1">
        <v>22608.0</v>
      </c>
      <c r="BE15" s="1">
        <v>22669.0</v>
      </c>
      <c r="BF15" s="1">
        <v>22730.0</v>
      </c>
      <c r="BG15" s="1">
        <v>22791.0</v>
      </c>
      <c r="BH15" s="1">
        <v>22852.0</v>
      </c>
      <c r="BI15" s="1">
        <v>22914.0</v>
      </c>
      <c r="BJ15" s="1">
        <v>22975.0</v>
      </c>
      <c r="BK15" s="1">
        <v>23037.0</v>
      </c>
      <c r="BL15" s="1">
        <v>23099.0</v>
      </c>
      <c r="BM15" s="1">
        <v>23161.0</v>
      </c>
      <c r="BN15" s="1">
        <v>23223.0</v>
      </c>
      <c r="BO15" s="1">
        <v>23286.0</v>
      </c>
      <c r="BP15" s="1">
        <v>23349.0</v>
      </c>
      <c r="BQ15" s="1">
        <v>23412.0</v>
      </c>
      <c r="BR15" s="1">
        <v>23475.0</v>
      </c>
      <c r="BS15" s="1">
        <v>23538.0</v>
      </c>
      <c r="BT15" s="1">
        <v>23601.0</v>
      </c>
      <c r="BU15" s="1">
        <v>23665.0</v>
      </c>
      <c r="BV15" s="1">
        <v>1393716.0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42000.0</v>
      </c>
      <c r="K16" s="1">
        <v>42124.0</v>
      </c>
      <c r="L16" s="1">
        <v>42248.0</v>
      </c>
      <c r="M16" s="1">
        <v>42372.0</v>
      </c>
      <c r="N16" s="1">
        <v>42497.0</v>
      </c>
      <c r="O16" s="1">
        <v>42622.0</v>
      </c>
      <c r="P16" s="1">
        <v>42748.0</v>
      </c>
      <c r="Q16" s="1">
        <v>42874.0</v>
      </c>
      <c r="R16" s="1">
        <v>43000.0</v>
      </c>
      <c r="S16" s="1">
        <v>43127.0</v>
      </c>
      <c r="T16" s="1">
        <v>43254.0</v>
      </c>
      <c r="U16" s="1">
        <v>43381.0</v>
      </c>
      <c r="V16" s="1">
        <v>43509.0</v>
      </c>
      <c r="W16" s="1">
        <v>43637.0</v>
      </c>
      <c r="X16" s="1">
        <v>43766.0</v>
      </c>
      <c r="Y16" s="1">
        <v>43895.0</v>
      </c>
      <c r="Z16" s="1">
        <v>44024.0</v>
      </c>
      <c r="AA16" s="1">
        <v>44154.0</v>
      </c>
      <c r="AB16" s="1">
        <v>44284.0</v>
      </c>
      <c r="AC16" s="1">
        <v>44414.0</v>
      </c>
      <c r="AD16" s="1">
        <v>44545.0</v>
      </c>
      <c r="AE16" s="1">
        <v>44676.0</v>
      </c>
      <c r="AF16" s="1">
        <v>44808.0</v>
      </c>
      <c r="AG16" s="1">
        <v>44940.0</v>
      </c>
      <c r="AH16" s="1">
        <v>45072.0</v>
      </c>
      <c r="AI16" s="1">
        <v>45205.0</v>
      </c>
      <c r="AJ16" s="1">
        <v>45338.0</v>
      </c>
      <c r="AK16" s="1">
        <v>45472.0</v>
      </c>
      <c r="AL16" s="1">
        <v>45606.0</v>
      </c>
      <c r="AM16" s="1">
        <v>45740.0</v>
      </c>
      <c r="AN16" s="1">
        <v>45875.0</v>
      </c>
      <c r="AO16" s="1">
        <v>46010.0</v>
      </c>
      <c r="AP16" s="1">
        <v>46146.0</v>
      </c>
      <c r="AQ16" s="1">
        <v>46282.0</v>
      </c>
      <c r="AR16" s="1">
        <v>46418.0</v>
      </c>
      <c r="AS16" s="1">
        <v>46555.0</v>
      </c>
      <c r="AT16" s="1">
        <v>46692.0</v>
      </c>
      <c r="AU16" s="1">
        <v>46829.0</v>
      </c>
      <c r="AV16" s="1">
        <v>46967.0</v>
      </c>
      <c r="AW16" s="1">
        <v>47106.0</v>
      </c>
      <c r="AX16" s="1">
        <v>47245.0</v>
      </c>
      <c r="AY16" s="1">
        <v>47384.0</v>
      </c>
      <c r="AZ16" s="1">
        <v>47523.0</v>
      </c>
      <c r="BA16" s="1">
        <v>47663.0</v>
      </c>
      <c r="BB16" s="1">
        <v>47804.0</v>
      </c>
      <c r="BC16" s="1">
        <v>47945.0</v>
      </c>
      <c r="BD16" s="1">
        <v>48086.0</v>
      </c>
      <c r="BE16" s="1">
        <v>48227.0</v>
      </c>
      <c r="BF16" s="1">
        <v>48370.0</v>
      </c>
      <c r="BG16" s="1">
        <v>48512.0</v>
      </c>
      <c r="BH16" s="1">
        <v>48655.0</v>
      </c>
      <c r="BI16" s="1">
        <v>48798.0</v>
      </c>
      <c r="BJ16" s="1">
        <v>48942.0</v>
      </c>
      <c r="BK16" s="1">
        <v>49086.0</v>
      </c>
      <c r="BL16" s="1">
        <v>49231.0</v>
      </c>
      <c r="BM16" s="1">
        <v>49376.0</v>
      </c>
      <c r="BN16" s="1">
        <v>49521.0</v>
      </c>
      <c r="BO16" s="1">
        <v>49667.0</v>
      </c>
      <c r="BP16" s="1">
        <v>49814.0</v>
      </c>
      <c r="BQ16" s="1">
        <v>49960.0</v>
      </c>
      <c r="BR16" s="1">
        <v>50107.0</v>
      </c>
      <c r="BS16" s="1">
        <v>50255.0</v>
      </c>
      <c r="BT16" s="1">
        <v>50403.0</v>
      </c>
      <c r="BU16" s="1">
        <v>50552.0</v>
      </c>
      <c r="BV16" s="1">
        <v>2953338.0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1.56"/>
  </cols>
  <sheetData>
    <row r="1">
      <c r="A1" s="23" t="s">
        <v>21</v>
      </c>
    </row>
    <row r="2">
      <c r="A2" s="1" t="s">
        <v>160</v>
      </c>
    </row>
    <row r="3">
      <c r="A3" s="1" t="s">
        <v>61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30000.0</v>
      </c>
      <c r="O6" s="1">
        <v>30088.0</v>
      </c>
      <c r="P6" s="1">
        <v>30177.0</v>
      </c>
      <c r="Q6" s="1">
        <v>30266.0</v>
      </c>
      <c r="R6" s="1">
        <v>30355.0</v>
      </c>
      <c r="S6" s="1">
        <v>30445.0</v>
      </c>
      <c r="T6" s="1">
        <v>30534.0</v>
      </c>
      <c r="U6" s="1">
        <v>30624.0</v>
      </c>
      <c r="V6" s="1">
        <v>30714.0</v>
      </c>
      <c r="W6" s="1">
        <v>30805.0</v>
      </c>
      <c r="X6" s="1">
        <v>30896.0</v>
      </c>
      <c r="Y6" s="1">
        <v>30987.0</v>
      </c>
      <c r="Z6" s="1">
        <v>31078.0</v>
      </c>
      <c r="AA6" s="1">
        <v>31169.0</v>
      </c>
      <c r="AB6" s="1">
        <v>31261.0</v>
      </c>
      <c r="AC6" s="1">
        <v>31353.0</v>
      </c>
      <c r="AD6" s="1">
        <v>31446.0</v>
      </c>
      <c r="AE6" s="1">
        <v>31538.0</v>
      </c>
      <c r="AF6" s="1">
        <v>31631.0</v>
      </c>
      <c r="AG6" s="1">
        <v>31724.0</v>
      </c>
      <c r="AH6" s="1">
        <v>31818.0</v>
      </c>
      <c r="AI6" s="1">
        <v>31912.0</v>
      </c>
      <c r="AJ6" s="1">
        <v>32006.0</v>
      </c>
      <c r="AK6" s="1">
        <v>32100.0</v>
      </c>
      <c r="AL6" s="1">
        <v>32195.0</v>
      </c>
      <c r="AM6" s="1">
        <v>32289.0</v>
      </c>
      <c r="AN6" s="1">
        <v>32385.0</v>
      </c>
      <c r="AO6" s="1">
        <v>32480.0</v>
      </c>
      <c r="AP6" s="1">
        <v>32576.0</v>
      </c>
      <c r="AQ6" s="1">
        <v>32672.0</v>
      </c>
      <c r="AR6" s="1">
        <v>32768.0</v>
      </c>
      <c r="AS6" s="1">
        <v>32864.0</v>
      </c>
      <c r="AT6" s="1">
        <v>32961.0</v>
      </c>
      <c r="AU6" s="1">
        <v>33058.0</v>
      </c>
      <c r="AV6" s="1">
        <v>33156.0</v>
      </c>
      <c r="AW6" s="1">
        <v>33253.0</v>
      </c>
      <c r="AX6" s="1">
        <v>33351.0</v>
      </c>
      <c r="AY6" s="1">
        <v>33450.0</v>
      </c>
      <c r="AZ6" s="1">
        <v>33548.0</v>
      </c>
      <c r="BA6" s="1">
        <v>33647.0</v>
      </c>
      <c r="BB6" s="1">
        <v>33746.0</v>
      </c>
      <c r="BC6" s="1">
        <v>33845.0</v>
      </c>
      <c r="BD6" s="1">
        <v>33945.0</v>
      </c>
      <c r="BE6" s="1">
        <v>34045.0</v>
      </c>
      <c r="BF6" s="1">
        <v>34146.0</v>
      </c>
      <c r="BG6" s="1">
        <v>34246.0</v>
      </c>
      <c r="BH6" s="1">
        <v>34347.0</v>
      </c>
      <c r="BI6" s="1">
        <v>34448.0</v>
      </c>
      <c r="BJ6" s="1">
        <v>34550.0</v>
      </c>
      <c r="BK6" s="1">
        <v>34651.0</v>
      </c>
      <c r="BL6" s="1">
        <v>34754.0</v>
      </c>
      <c r="BM6" s="1">
        <v>34856.0</v>
      </c>
      <c r="BN6" s="1">
        <v>34959.0</v>
      </c>
      <c r="BO6" s="1">
        <v>35062.0</v>
      </c>
      <c r="BP6" s="1">
        <v>35165.0</v>
      </c>
      <c r="BQ6" s="1">
        <v>35268.0</v>
      </c>
      <c r="BR6" s="1">
        <v>35372.0</v>
      </c>
      <c r="BS6" s="1">
        <v>35477.0</v>
      </c>
      <c r="BT6" s="1">
        <v>35581.0</v>
      </c>
      <c r="BU6" s="1">
        <v>35686.0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180.0</v>
      </c>
      <c r="P7" s="1">
        <v>181.0</v>
      </c>
      <c r="Q7" s="1">
        <v>181.0</v>
      </c>
      <c r="R7" s="1">
        <v>182.0</v>
      </c>
      <c r="S7" s="1">
        <v>182.0</v>
      </c>
      <c r="T7" s="1">
        <v>183.0</v>
      </c>
      <c r="U7" s="1">
        <v>183.0</v>
      </c>
      <c r="V7" s="1">
        <v>184.0</v>
      </c>
      <c r="W7" s="1">
        <v>184.0</v>
      </c>
      <c r="X7" s="1">
        <v>185.0</v>
      </c>
      <c r="Y7" s="1">
        <v>185.0</v>
      </c>
      <c r="Z7" s="1">
        <v>186.0</v>
      </c>
      <c r="AA7" s="1">
        <v>186.0</v>
      </c>
      <c r="AB7" s="1">
        <v>187.0</v>
      </c>
      <c r="AC7" s="1">
        <v>188.0</v>
      </c>
      <c r="AD7" s="1">
        <v>188.0</v>
      </c>
      <c r="AE7" s="1">
        <v>189.0</v>
      </c>
      <c r="AF7" s="1">
        <v>189.0</v>
      </c>
      <c r="AG7" s="1">
        <v>190.0</v>
      </c>
      <c r="AH7" s="1">
        <v>190.0</v>
      </c>
      <c r="AI7" s="1">
        <v>191.0</v>
      </c>
      <c r="AJ7" s="1">
        <v>191.0</v>
      </c>
      <c r="AK7" s="1">
        <v>192.0</v>
      </c>
      <c r="AL7" s="1">
        <v>193.0</v>
      </c>
      <c r="AM7" s="1">
        <v>193.0</v>
      </c>
      <c r="AN7" s="1">
        <v>194.0</v>
      </c>
      <c r="AO7" s="1">
        <v>194.0</v>
      </c>
      <c r="AP7" s="1">
        <v>195.0</v>
      </c>
      <c r="AQ7" s="1">
        <v>195.0</v>
      </c>
      <c r="AR7" s="1">
        <v>196.0</v>
      </c>
      <c r="AS7" s="1">
        <v>197.0</v>
      </c>
      <c r="AT7" s="1">
        <v>197.0</v>
      </c>
      <c r="AU7" s="1">
        <v>198.0</v>
      </c>
      <c r="AV7" s="1">
        <v>198.0</v>
      </c>
      <c r="AW7" s="1">
        <v>199.0</v>
      </c>
      <c r="AX7" s="1">
        <v>200.0</v>
      </c>
      <c r="AY7" s="1">
        <v>200.0</v>
      </c>
      <c r="AZ7" s="1">
        <v>201.0</v>
      </c>
      <c r="BA7" s="1">
        <v>201.0</v>
      </c>
      <c r="BB7" s="1">
        <v>202.0</v>
      </c>
      <c r="BC7" s="1">
        <v>202.0</v>
      </c>
      <c r="BD7" s="1">
        <v>203.0</v>
      </c>
      <c r="BE7" s="1">
        <v>204.0</v>
      </c>
      <c r="BF7" s="1">
        <v>204.0</v>
      </c>
      <c r="BG7" s="1">
        <v>205.0</v>
      </c>
      <c r="BH7" s="1">
        <v>205.0</v>
      </c>
      <c r="BI7" s="1">
        <v>206.0</v>
      </c>
      <c r="BJ7" s="1">
        <v>207.0</v>
      </c>
      <c r="BK7" s="1">
        <v>207.0</v>
      </c>
      <c r="BL7" s="1">
        <v>208.0</v>
      </c>
      <c r="BM7" s="1">
        <v>209.0</v>
      </c>
      <c r="BN7" s="1">
        <v>209.0</v>
      </c>
      <c r="BO7" s="1">
        <v>210.0</v>
      </c>
      <c r="BP7" s="1">
        <v>210.0</v>
      </c>
      <c r="BQ7" s="1">
        <v>211.0</v>
      </c>
      <c r="BR7" s="1">
        <v>212.0</v>
      </c>
      <c r="BS7" s="1">
        <v>212.0</v>
      </c>
      <c r="BT7" s="1">
        <v>213.0</v>
      </c>
      <c r="BU7" s="1">
        <v>213.0</v>
      </c>
      <c r="BV7" s="1">
        <v>11580.0</v>
      </c>
    </row>
    <row r="8">
      <c r="A8" s="1" t="s">
        <v>145</v>
      </c>
      <c r="B8" s="1">
        <v>1.7</v>
      </c>
      <c r="C8" s="1">
        <v>1.7</v>
      </c>
      <c r="D8" s="1">
        <v>1.7</v>
      </c>
      <c r="E8" s="1">
        <v>1.7</v>
      </c>
      <c r="F8" s="1">
        <v>1.7</v>
      </c>
      <c r="G8" s="1">
        <v>1.7</v>
      </c>
      <c r="H8" s="1">
        <v>1.7</v>
      </c>
      <c r="I8" s="1">
        <v>1.7</v>
      </c>
      <c r="J8" s="1">
        <v>1.7</v>
      </c>
      <c r="K8" s="1">
        <v>1.7</v>
      </c>
      <c r="L8" s="1">
        <v>1.7</v>
      </c>
      <c r="M8" s="1">
        <v>1.7</v>
      </c>
      <c r="N8" s="1">
        <v>1.7</v>
      </c>
      <c r="O8" s="1">
        <v>1.7</v>
      </c>
      <c r="P8" s="1">
        <v>1.7</v>
      </c>
      <c r="Q8" s="1">
        <v>1.7</v>
      </c>
      <c r="R8" s="1">
        <v>1.7</v>
      </c>
      <c r="S8" s="1">
        <v>1.7</v>
      </c>
      <c r="T8" s="1">
        <v>1.7</v>
      </c>
      <c r="U8" s="1">
        <v>1.7</v>
      </c>
      <c r="V8" s="1">
        <v>1.7</v>
      </c>
      <c r="W8" s="1">
        <v>1.7</v>
      </c>
      <c r="X8" s="1">
        <v>1.7</v>
      </c>
      <c r="Y8" s="1">
        <v>1.7</v>
      </c>
      <c r="Z8" s="1">
        <v>1.7</v>
      </c>
      <c r="AA8" s="1">
        <v>1.7</v>
      </c>
      <c r="AB8" s="1">
        <v>1.7</v>
      </c>
      <c r="AC8" s="1">
        <v>1.7</v>
      </c>
      <c r="AD8" s="1">
        <v>1.7</v>
      </c>
      <c r="AE8" s="1">
        <v>1.7</v>
      </c>
      <c r="AF8" s="1">
        <v>1.7</v>
      </c>
      <c r="AG8" s="1">
        <v>1.7</v>
      </c>
      <c r="AH8" s="1">
        <v>1.7</v>
      </c>
      <c r="AI8" s="1">
        <v>1.7</v>
      </c>
      <c r="AJ8" s="1">
        <v>1.7</v>
      </c>
      <c r="AK8" s="1">
        <v>1.7</v>
      </c>
      <c r="AL8" s="1">
        <v>1.7</v>
      </c>
      <c r="AM8" s="1">
        <v>1.7</v>
      </c>
      <c r="AN8" s="1">
        <v>1.7</v>
      </c>
      <c r="AO8" s="1">
        <v>1.7</v>
      </c>
      <c r="AP8" s="1">
        <v>1.7</v>
      </c>
      <c r="AQ8" s="1">
        <v>1.7</v>
      </c>
      <c r="AR8" s="1">
        <v>1.7</v>
      </c>
      <c r="AS8" s="1">
        <v>1.7</v>
      </c>
      <c r="AT8" s="1">
        <v>1.7</v>
      </c>
      <c r="AU8" s="1">
        <v>1.7</v>
      </c>
      <c r="AV8" s="1">
        <v>1.7</v>
      </c>
      <c r="AW8" s="1">
        <v>1.7</v>
      </c>
      <c r="AX8" s="1">
        <v>1.7</v>
      </c>
      <c r="AY8" s="1">
        <v>1.7</v>
      </c>
      <c r="AZ8" s="1">
        <v>1.7</v>
      </c>
      <c r="BA8" s="1">
        <v>1.7</v>
      </c>
      <c r="BB8" s="1">
        <v>1.7</v>
      </c>
      <c r="BC8" s="1">
        <v>1.7</v>
      </c>
      <c r="BD8" s="1">
        <v>1.7</v>
      </c>
      <c r="BE8" s="1">
        <v>1.7</v>
      </c>
      <c r="BF8" s="1">
        <v>1.7</v>
      </c>
      <c r="BG8" s="1">
        <v>1.7</v>
      </c>
      <c r="BH8" s="1">
        <v>1.7</v>
      </c>
      <c r="BI8" s="1">
        <v>1.7</v>
      </c>
      <c r="BJ8" s="1">
        <v>1.7</v>
      </c>
      <c r="BK8" s="1">
        <v>1.7</v>
      </c>
      <c r="BL8" s="1">
        <v>1.7</v>
      </c>
      <c r="BM8" s="1">
        <v>1.7</v>
      </c>
      <c r="BN8" s="1">
        <v>1.7</v>
      </c>
      <c r="BO8" s="1">
        <v>1.7</v>
      </c>
      <c r="BP8" s="1">
        <v>1.7</v>
      </c>
      <c r="BQ8" s="1">
        <v>1.7</v>
      </c>
      <c r="BR8" s="1">
        <v>1.7</v>
      </c>
      <c r="BS8" s="1">
        <v>1.7</v>
      </c>
      <c r="BT8" s="1">
        <v>1.7</v>
      </c>
      <c r="BU8" s="1">
        <v>1.7</v>
      </c>
    </row>
    <row r="9">
      <c r="A9" s="1" t="s">
        <v>146</v>
      </c>
      <c r="B9" s="1">
        <v>50.0</v>
      </c>
      <c r="C9" s="1">
        <v>50.0</v>
      </c>
      <c r="D9" s="1">
        <v>50.0</v>
      </c>
      <c r="E9" s="1">
        <v>50.0</v>
      </c>
      <c r="F9" s="1">
        <v>50.0</v>
      </c>
      <c r="G9" s="1">
        <v>50.0</v>
      </c>
      <c r="H9" s="1">
        <v>50.0</v>
      </c>
      <c r="I9" s="1">
        <v>50.0</v>
      </c>
      <c r="J9" s="1">
        <v>50.0</v>
      </c>
      <c r="K9" s="1">
        <v>50.0</v>
      </c>
      <c r="L9" s="1">
        <v>50.0</v>
      </c>
      <c r="M9" s="1">
        <v>50.0</v>
      </c>
      <c r="N9" s="1">
        <v>50.0</v>
      </c>
      <c r="O9" s="1">
        <v>50.0</v>
      </c>
      <c r="P9" s="1">
        <v>50.0</v>
      </c>
      <c r="Q9" s="1">
        <v>50.0</v>
      </c>
      <c r="R9" s="1">
        <v>50.0</v>
      </c>
      <c r="S9" s="1">
        <v>50.0</v>
      </c>
      <c r="T9" s="1">
        <v>50.0</v>
      </c>
      <c r="U9" s="1">
        <v>50.0</v>
      </c>
      <c r="V9" s="1">
        <v>50.0</v>
      </c>
      <c r="W9" s="1">
        <v>50.0</v>
      </c>
      <c r="X9" s="1">
        <v>50.0</v>
      </c>
      <c r="Y9" s="1">
        <v>50.0</v>
      </c>
      <c r="Z9" s="1">
        <v>50.0</v>
      </c>
      <c r="AA9" s="1">
        <v>50.0</v>
      </c>
      <c r="AB9" s="1">
        <v>50.0</v>
      </c>
      <c r="AC9" s="1">
        <v>50.0</v>
      </c>
      <c r="AD9" s="1">
        <v>50.0</v>
      </c>
      <c r="AE9" s="1">
        <v>50.0</v>
      </c>
      <c r="AF9" s="1">
        <v>50.0</v>
      </c>
      <c r="AG9" s="1">
        <v>50.0</v>
      </c>
      <c r="AH9" s="1">
        <v>50.0</v>
      </c>
      <c r="AI9" s="1">
        <v>50.0</v>
      </c>
      <c r="AJ9" s="1">
        <v>50.0</v>
      </c>
      <c r="AK9" s="1">
        <v>50.0</v>
      </c>
      <c r="AL9" s="1">
        <v>50.0</v>
      </c>
      <c r="AM9" s="1">
        <v>50.0</v>
      </c>
      <c r="AN9" s="1">
        <v>50.0</v>
      </c>
      <c r="AO9" s="1">
        <v>50.0</v>
      </c>
      <c r="AP9" s="1">
        <v>50.0</v>
      </c>
      <c r="AQ9" s="1">
        <v>50.0</v>
      </c>
      <c r="AR9" s="1">
        <v>50.0</v>
      </c>
      <c r="AS9" s="1">
        <v>50.0</v>
      </c>
      <c r="AT9" s="1">
        <v>50.0</v>
      </c>
      <c r="AU9" s="1">
        <v>50.0</v>
      </c>
      <c r="AV9" s="1">
        <v>50.0</v>
      </c>
      <c r="AW9" s="1">
        <v>50.0</v>
      </c>
      <c r="AX9" s="1">
        <v>50.0</v>
      </c>
      <c r="AY9" s="1">
        <v>50.0</v>
      </c>
      <c r="AZ9" s="1">
        <v>50.0</v>
      </c>
      <c r="BA9" s="1">
        <v>50.0</v>
      </c>
      <c r="BB9" s="1">
        <v>50.0</v>
      </c>
      <c r="BC9" s="1">
        <v>50.0</v>
      </c>
      <c r="BD9" s="1">
        <v>50.0</v>
      </c>
      <c r="BE9" s="1">
        <v>50.0</v>
      </c>
      <c r="BF9" s="1">
        <v>50.0</v>
      </c>
      <c r="BG9" s="1">
        <v>50.0</v>
      </c>
      <c r="BH9" s="1">
        <v>50.0</v>
      </c>
      <c r="BI9" s="1">
        <v>50.0</v>
      </c>
      <c r="BJ9" s="1">
        <v>50.0</v>
      </c>
      <c r="BK9" s="1">
        <v>50.0</v>
      </c>
      <c r="BL9" s="1">
        <v>50.0</v>
      </c>
      <c r="BM9" s="1">
        <v>50.0</v>
      </c>
      <c r="BN9" s="1">
        <v>50.0</v>
      </c>
      <c r="BO9" s="1">
        <v>50.0</v>
      </c>
      <c r="BP9" s="1">
        <v>50.0</v>
      </c>
      <c r="BQ9" s="1">
        <v>50.0</v>
      </c>
      <c r="BR9" s="1">
        <v>50.0</v>
      </c>
      <c r="BS9" s="1">
        <v>50.0</v>
      </c>
      <c r="BT9" s="1">
        <v>50.0</v>
      </c>
      <c r="BU9" s="1">
        <v>50.0</v>
      </c>
      <c r="BV9" s="1" t="s">
        <v>166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510.0</v>
      </c>
      <c r="O11" s="1">
        <v>512.0</v>
      </c>
      <c r="P11" s="1">
        <v>513.0</v>
      </c>
      <c r="Q11" s="1">
        <v>515.0</v>
      </c>
      <c r="R11" s="1">
        <v>516.0</v>
      </c>
      <c r="S11" s="1">
        <v>518.0</v>
      </c>
      <c r="T11" s="1">
        <v>519.0</v>
      </c>
      <c r="U11" s="1">
        <v>521.0</v>
      </c>
      <c r="V11" s="1">
        <v>522.0</v>
      </c>
      <c r="W11" s="1">
        <v>524.0</v>
      </c>
      <c r="X11" s="1">
        <v>525.0</v>
      </c>
      <c r="Y11" s="1">
        <v>527.0</v>
      </c>
      <c r="Z11" s="1">
        <v>528.0</v>
      </c>
      <c r="AA11" s="1">
        <v>530.0</v>
      </c>
      <c r="AB11" s="1">
        <v>531.0</v>
      </c>
      <c r="AC11" s="1">
        <v>533.0</v>
      </c>
      <c r="AD11" s="1">
        <v>535.0</v>
      </c>
      <c r="AE11" s="1">
        <v>536.0</v>
      </c>
      <c r="AF11" s="1">
        <v>538.0</v>
      </c>
      <c r="AG11" s="1">
        <v>539.0</v>
      </c>
      <c r="AH11" s="1">
        <v>541.0</v>
      </c>
      <c r="AI11" s="1">
        <v>542.0</v>
      </c>
      <c r="AJ11" s="1">
        <v>544.0</v>
      </c>
      <c r="AK11" s="1">
        <v>546.0</v>
      </c>
      <c r="AL11" s="1">
        <v>547.0</v>
      </c>
      <c r="AM11" s="1">
        <v>549.0</v>
      </c>
      <c r="AN11" s="1">
        <v>551.0</v>
      </c>
      <c r="AO11" s="1">
        <v>552.0</v>
      </c>
      <c r="AP11" s="1">
        <v>554.0</v>
      </c>
      <c r="AQ11" s="1">
        <v>555.0</v>
      </c>
      <c r="AR11" s="1">
        <v>557.0</v>
      </c>
      <c r="AS11" s="1">
        <v>559.0</v>
      </c>
      <c r="AT11" s="1">
        <v>560.0</v>
      </c>
      <c r="AU11" s="1">
        <v>562.0</v>
      </c>
      <c r="AV11" s="1">
        <v>564.0</v>
      </c>
      <c r="AW11" s="1">
        <v>565.0</v>
      </c>
      <c r="AX11" s="1">
        <v>567.0</v>
      </c>
      <c r="AY11" s="1">
        <v>569.0</v>
      </c>
      <c r="AZ11" s="1">
        <v>570.0</v>
      </c>
      <c r="BA11" s="1">
        <v>572.0</v>
      </c>
      <c r="BB11" s="1">
        <v>574.0</v>
      </c>
      <c r="BC11" s="1">
        <v>575.0</v>
      </c>
      <c r="BD11" s="1">
        <v>577.0</v>
      </c>
      <c r="BE11" s="1">
        <v>579.0</v>
      </c>
      <c r="BF11" s="1">
        <v>580.0</v>
      </c>
      <c r="BG11" s="1">
        <v>582.0</v>
      </c>
      <c r="BH11" s="1">
        <v>584.0</v>
      </c>
      <c r="BI11" s="1">
        <v>586.0</v>
      </c>
      <c r="BJ11" s="1">
        <v>587.0</v>
      </c>
      <c r="BK11" s="1">
        <v>589.0</v>
      </c>
      <c r="BL11" s="1">
        <v>591.0</v>
      </c>
      <c r="BM11" s="1">
        <v>593.0</v>
      </c>
      <c r="BN11" s="1">
        <v>594.0</v>
      </c>
      <c r="BO11" s="1">
        <v>596.0</v>
      </c>
      <c r="BP11" s="1">
        <v>598.0</v>
      </c>
      <c r="BQ11" s="1">
        <v>600.0</v>
      </c>
      <c r="BR11" s="1">
        <v>601.0</v>
      </c>
      <c r="BS11" s="1">
        <v>603.0</v>
      </c>
      <c r="BT11" s="1">
        <v>605.0</v>
      </c>
      <c r="BU11" s="1">
        <v>607.0</v>
      </c>
      <c r="BV11" s="1">
        <v>33417.0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25500.0</v>
      </c>
      <c r="O12" s="1">
        <v>25575.0</v>
      </c>
      <c r="P12" s="1">
        <v>25650.0</v>
      </c>
      <c r="Q12" s="1">
        <v>25726.0</v>
      </c>
      <c r="R12" s="1">
        <v>25802.0</v>
      </c>
      <c r="S12" s="1">
        <v>25878.0</v>
      </c>
      <c r="T12" s="1">
        <v>25954.0</v>
      </c>
      <c r="U12" s="1">
        <v>26031.0</v>
      </c>
      <c r="V12" s="1">
        <v>26107.0</v>
      </c>
      <c r="W12" s="1">
        <v>26184.0</v>
      </c>
      <c r="X12" s="1">
        <v>26261.0</v>
      </c>
      <c r="Y12" s="1">
        <v>26339.0</v>
      </c>
      <c r="Z12" s="1">
        <v>26416.0</v>
      </c>
      <c r="AA12" s="1">
        <v>26494.0</v>
      </c>
      <c r="AB12" s="1">
        <v>26572.0</v>
      </c>
      <c r="AC12" s="1">
        <v>26650.0</v>
      </c>
      <c r="AD12" s="1">
        <v>26729.0</v>
      </c>
      <c r="AE12" s="1">
        <v>26808.0</v>
      </c>
      <c r="AF12" s="1">
        <v>26887.0</v>
      </c>
      <c r="AG12" s="1">
        <v>26966.0</v>
      </c>
      <c r="AH12" s="1">
        <v>27045.0</v>
      </c>
      <c r="AI12" s="1">
        <v>27125.0</v>
      </c>
      <c r="AJ12" s="1">
        <v>27205.0</v>
      </c>
      <c r="AK12" s="1">
        <v>27285.0</v>
      </c>
      <c r="AL12" s="1">
        <v>27365.0</v>
      </c>
      <c r="AM12" s="1">
        <v>27446.0</v>
      </c>
      <c r="AN12" s="1">
        <v>27527.0</v>
      </c>
      <c r="AO12" s="1">
        <v>27608.0</v>
      </c>
      <c r="AP12" s="1">
        <v>27689.0</v>
      </c>
      <c r="AQ12" s="1">
        <v>27771.0</v>
      </c>
      <c r="AR12" s="1">
        <v>27853.0</v>
      </c>
      <c r="AS12" s="1">
        <v>27935.0</v>
      </c>
      <c r="AT12" s="1">
        <v>28017.0</v>
      </c>
      <c r="AU12" s="1">
        <v>28100.0</v>
      </c>
      <c r="AV12" s="1">
        <v>28182.0</v>
      </c>
      <c r="AW12" s="1">
        <v>28265.0</v>
      </c>
      <c r="AX12" s="1">
        <v>28349.0</v>
      </c>
      <c r="AY12" s="1">
        <v>28432.0</v>
      </c>
      <c r="AZ12" s="1">
        <v>28516.0</v>
      </c>
      <c r="BA12" s="1">
        <v>28600.0</v>
      </c>
      <c r="BB12" s="1">
        <v>28684.0</v>
      </c>
      <c r="BC12" s="1">
        <v>28769.0</v>
      </c>
      <c r="BD12" s="1">
        <v>28853.0</v>
      </c>
      <c r="BE12" s="1">
        <v>28938.0</v>
      </c>
      <c r="BF12" s="1">
        <v>29024.0</v>
      </c>
      <c r="BG12" s="1">
        <v>29109.0</v>
      </c>
      <c r="BH12" s="1">
        <v>29195.0</v>
      </c>
      <c r="BI12" s="1">
        <v>29281.0</v>
      </c>
      <c r="BJ12" s="1">
        <v>29367.0</v>
      </c>
      <c r="BK12" s="1">
        <v>29454.0</v>
      </c>
      <c r="BL12" s="1">
        <v>29540.0</v>
      </c>
      <c r="BM12" s="1">
        <v>29628.0</v>
      </c>
      <c r="BN12" s="1">
        <v>29715.0</v>
      </c>
      <c r="BO12" s="1">
        <v>29802.0</v>
      </c>
      <c r="BP12" s="1">
        <v>29890.0</v>
      </c>
      <c r="BQ12" s="1">
        <v>29978.0</v>
      </c>
      <c r="BR12" s="1">
        <v>30067.0</v>
      </c>
      <c r="BS12" s="1">
        <v>30155.0</v>
      </c>
      <c r="BT12" s="1">
        <v>30244.0</v>
      </c>
      <c r="BU12" s="1">
        <v>30333.0</v>
      </c>
      <c r="BV12" s="1">
        <v>1670870.0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7650.0</v>
      </c>
      <c r="O13" s="1">
        <v>7673.0</v>
      </c>
      <c r="P13" s="1">
        <v>7695.0</v>
      </c>
      <c r="Q13" s="1">
        <v>7718.0</v>
      </c>
      <c r="R13" s="1">
        <v>7741.0</v>
      </c>
      <c r="S13" s="1">
        <v>7763.0</v>
      </c>
      <c r="T13" s="1">
        <v>7786.0</v>
      </c>
      <c r="U13" s="1">
        <v>7809.0</v>
      </c>
      <c r="V13" s="1">
        <v>7832.0</v>
      </c>
      <c r="W13" s="1">
        <v>7855.0</v>
      </c>
      <c r="X13" s="1">
        <v>7878.0</v>
      </c>
      <c r="Y13" s="1">
        <v>7902.0</v>
      </c>
      <c r="Z13" s="1">
        <v>7925.0</v>
      </c>
      <c r="AA13" s="1">
        <v>7948.0</v>
      </c>
      <c r="AB13" s="1">
        <v>7972.0</v>
      </c>
      <c r="AC13" s="1">
        <v>7995.0</v>
      </c>
      <c r="AD13" s="1">
        <v>8019.0</v>
      </c>
      <c r="AE13" s="1">
        <v>8042.0</v>
      </c>
      <c r="AF13" s="1">
        <v>8066.0</v>
      </c>
      <c r="AG13" s="1">
        <v>8090.0</v>
      </c>
      <c r="AH13" s="1">
        <v>8114.0</v>
      </c>
      <c r="AI13" s="1">
        <v>8137.0</v>
      </c>
      <c r="AJ13" s="1">
        <v>8161.0</v>
      </c>
      <c r="AK13" s="1">
        <v>8185.0</v>
      </c>
      <c r="AL13" s="1">
        <v>8210.0</v>
      </c>
      <c r="AM13" s="1">
        <v>8234.0</v>
      </c>
      <c r="AN13" s="1">
        <v>8258.0</v>
      </c>
      <c r="AO13" s="1">
        <v>8282.0</v>
      </c>
      <c r="AP13" s="1">
        <v>8307.0</v>
      </c>
      <c r="AQ13" s="1">
        <v>8331.0</v>
      </c>
      <c r="AR13" s="1">
        <v>8356.0</v>
      </c>
      <c r="AS13" s="1">
        <v>8380.0</v>
      </c>
      <c r="AT13" s="1">
        <v>8405.0</v>
      </c>
      <c r="AU13" s="1">
        <v>8430.0</v>
      </c>
      <c r="AV13" s="1">
        <v>8455.0</v>
      </c>
      <c r="AW13" s="1">
        <v>8480.0</v>
      </c>
      <c r="AX13" s="1">
        <v>8505.0</v>
      </c>
      <c r="AY13" s="1">
        <v>8530.0</v>
      </c>
      <c r="AZ13" s="1">
        <v>8555.0</v>
      </c>
      <c r="BA13" s="1">
        <v>8580.0</v>
      </c>
      <c r="BB13" s="1">
        <v>8605.0</v>
      </c>
      <c r="BC13" s="1">
        <v>8631.0</v>
      </c>
      <c r="BD13" s="1">
        <v>8656.0</v>
      </c>
      <c r="BE13" s="1">
        <v>8682.0</v>
      </c>
      <c r="BF13" s="1">
        <v>8707.0</v>
      </c>
      <c r="BG13" s="1">
        <v>8733.0</v>
      </c>
      <c r="BH13" s="1">
        <v>8758.0</v>
      </c>
      <c r="BI13" s="1">
        <v>8784.0</v>
      </c>
      <c r="BJ13" s="1">
        <v>8810.0</v>
      </c>
      <c r="BK13" s="1">
        <v>8836.0</v>
      </c>
      <c r="BL13" s="1">
        <v>8862.0</v>
      </c>
      <c r="BM13" s="1">
        <v>8888.0</v>
      </c>
      <c r="BN13" s="1">
        <v>8914.0</v>
      </c>
      <c r="BO13" s="1">
        <v>8941.0</v>
      </c>
      <c r="BP13" s="1">
        <v>8967.0</v>
      </c>
      <c r="BQ13" s="1">
        <v>8993.0</v>
      </c>
      <c r="BR13" s="1">
        <v>9020.0</v>
      </c>
      <c r="BS13" s="1">
        <v>9047.0</v>
      </c>
      <c r="BT13" s="1">
        <v>9073.0</v>
      </c>
      <c r="BU13" s="1">
        <v>9100.0</v>
      </c>
      <c r="BV13" s="1">
        <v>501261.0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7650.0</v>
      </c>
      <c r="O15" s="1">
        <v>7673.0</v>
      </c>
      <c r="P15" s="1">
        <v>7695.0</v>
      </c>
      <c r="Q15" s="1">
        <v>7718.0</v>
      </c>
      <c r="R15" s="1">
        <v>7741.0</v>
      </c>
      <c r="S15" s="1">
        <v>7763.0</v>
      </c>
      <c r="T15" s="1">
        <v>7786.0</v>
      </c>
      <c r="U15" s="1">
        <v>7809.0</v>
      </c>
      <c r="V15" s="1">
        <v>7832.0</v>
      </c>
      <c r="W15" s="1">
        <v>7855.0</v>
      </c>
      <c r="X15" s="1">
        <v>7878.0</v>
      </c>
      <c r="Y15" s="1">
        <v>7902.0</v>
      </c>
      <c r="Z15" s="1">
        <v>7925.0</v>
      </c>
      <c r="AA15" s="1">
        <v>7948.0</v>
      </c>
      <c r="AB15" s="1">
        <v>7972.0</v>
      </c>
      <c r="AC15" s="1">
        <v>7995.0</v>
      </c>
      <c r="AD15" s="1">
        <v>8019.0</v>
      </c>
      <c r="AE15" s="1">
        <v>8042.0</v>
      </c>
      <c r="AF15" s="1">
        <v>8066.0</v>
      </c>
      <c r="AG15" s="1">
        <v>8090.0</v>
      </c>
      <c r="AH15" s="1">
        <v>8114.0</v>
      </c>
      <c r="AI15" s="1">
        <v>8137.0</v>
      </c>
      <c r="AJ15" s="1">
        <v>8161.0</v>
      </c>
      <c r="AK15" s="1">
        <v>8185.0</v>
      </c>
      <c r="AL15" s="1">
        <v>8210.0</v>
      </c>
      <c r="AM15" s="1">
        <v>8234.0</v>
      </c>
      <c r="AN15" s="1">
        <v>8258.0</v>
      </c>
      <c r="AO15" s="1">
        <v>8282.0</v>
      </c>
      <c r="AP15" s="1">
        <v>8307.0</v>
      </c>
      <c r="AQ15" s="1">
        <v>8331.0</v>
      </c>
      <c r="AR15" s="1">
        <v>8356.0</v>
      </c>
      <c r="AS15" s="1">
        <v>8380.0</v>
      </c>
      <c r="AT15" s="1">
        <v>8405.0</v>
      </c>
      <c r="AU15" s="1">
        <v>8430.0</v>
      </c>
      <c r="AV15" s="1">
        <v>8455.0</v>
      </c>
      <c r="AW15" s="1">
        <v>8480.0</v>
      </c>
      <c r="AX15" s="1">
        <v>8505.0</v>
      </c>
      <c r="AY15" s="1">
        <v>8530.0</v>
      </c>
      <c r="AZ15" s="1">
        <v>8555.0</v>
      </c>
      <c r="BA15" s="1">
        <v>8580.0</v>
      </c>
      <c r="BB15" s="1">
        <v>8605.0</v>
      </c>
      <c r="BC15" s="1">
        <v>8631.0</v>
      </c>
      <c r="BD15" s="1">
        <v>8656.0</v>
      </c>
      <c r="BE15" s="1">
        <v>8682.0</v>
      </c>
      <c r="BF15" s="1">
        <v>8707.0</v>
      </c>
      <c r="BG15" s="1">
        <v>8733.0</v>
      </c>
      <c r="BH15" s="1">
        <v>8758.0</v>
      </c>
      <c r="BI15" s="1">
        <v>8784.0</v>
      </c>
      <c r="BJ15" s="1">
        <v>8810.0</v>
      </c>
      <c r="BK15" s="1">
        <v>8836.0</v>
      </c>
      <c r="BL15" s="1">
        <v>8862.0</v>
      </c>
      <c r="BM15" s="1">
        <v>8888.0</v>
      </c>
      <c r="BN15" s="1">
        <v>8914.0</v>
      </c>
      <c r="BO15" s="1">
        <v>8941.0</v>
      </c>
      <c r="BP15" s="1">
        <v>8967.0</v>
      </c>
      <c r="BQ15" s="1">
        <v>8993.0</v>
      </c>
      <c r="BR15" s="1">
        <v>9020.0</v>
      </c>
      <c r="BS15" s="1">
        <v>9047.0</v>
      </c>
      <c r="BT15" s="1">
        <v>9073.0</v>
      </c>
      <c r="BU15" s="1">
        <v>9100.0</v>
      </c>
      <c r="BV15" s="1">
        <v>501261.0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17850.0</v>
      </c>
      <c r="O16" s="1">
        <v>17903.0</v>
      </c>
      <c r="P16" s="1">
        <v>17955.0</v>
      </c>
      <c r="Q16" s="1">
        <v>18008.0</v>
      </c>
      <c r="R16" s="1">
        <v>18061.0</v>
      </c>
      <c r="S16" s="1">
        <v>18114.0</v>
      </c>
      <c r="T16" s="1">
        <v>18168.0</v>
      </c>
      <c r="U16" s="1">
        <v>18221.0</v>
      </c>
      <c r="V16" s="1">
        <v>18275.0</v>
      </c>
      <c r="W16" s="1">
        <v>18329.0</v>
      </c>
      <c r="X16" s="1">
        <v>18383.0</v>
      </c>
      <c r="Y16" s="1">
        <v>18437.0</v>
      </c>
      <c r="Z16" s="1">
        <v>18491.0</v>
      </c>
      <c r="AA16" s="1">
        <v>18546.0</v>
      </c>
      <c r="AB16" s="1">
        <v>18600.0</v>
      </c>
      <c r="AC16" s="1">
        <v>18655.0</v>
      </c>
      <c r="AD16" s="1">
        <v>18710.0</v>
      </c>
      <c r="AE16" s="1">
        <v>18765.0</v>
      </c>
      <c r="AF16" s="1">
        <v>18821.0</v>
      </c>
      <c r="AG16" s="1">
        <v>18876.0</v>
      </c>
      <c r="AH16" s="1">
        <v>18932.0</v>
      </c>
      <c r="AI16" s="1">
        <v>18987.0</v>
      </c>
      <c r="AJ16" s="1">
        <v>19043.0</v>
      </c>
      <c r="AK16" s="1">
        <v>19099.0</v>
      </c>
      <c r="AL16" s="1">
        <v>19156.0</v>
      </c>
      <c r="AM16" s="1">
        <v>19212.0</v>
      </c>
      <c r="AN16" s="1">
        <v>19269.0</v>
      </c>
      <c r="AO16" s="1">
        <v>19326.0</v>
      </c>
      <c r="AP16" s="1">
        <v>19382.0</v>
      </c>
      <c r="AQ16" s="1">
        <v>19440.0</v>
      </c>
      <c r="AR16" s="1">
        <v>19497.0</v>
      </c>
      <c r="AS16" s="1">
        <v>19554.0</v>
      </c>
      <c r="AT16" s="1">
        <v>19612.0</v>
      </c>
      <c r="AU16" s="1">
        <v>19670.0</v>
      </c>
      <c r="AV16" s="1">
        <v>19728.0</v>
      </c>
      <c r="AW16" s="1">
        <v>19786.0</v>
      </c>
      <c r="AX16" s="1">
        <v>19844.0</v>
      </c>
      <c r="AY16" s="1">
        <v>19902.0</v>
      </c>
      <c r="AZ16" s="1">
        <v>19961.0</v>
      </c>
      <c r="BA16" s="1">
        <v>20020.0</v>
      </c>
      <c r="BB16" s="1">
        <v>20079.0</v>
      </c>
      <c r="BC16" s="1">
        <v>20138.0</v>
      </c>
      <c r="BD16" s="1">
        <v>20197.0</v>
      </c>
      <c r="BE16" s="1">
        <v>20257.0</v>
      </c>
      <c r="BF16" s="1">
        <v>20317.0</v>
      </c>
      <c r="BG16" s="1">
        <v>20376.0</v>
      </c>
      <c r="BH16" s="1">
        <v>20436.0</v>
      </c>
      <c r="BI16" s="1">
        <v>20497.0</v>
      </c>
      <c r="BJ16" s="1">
        <v>20557.0</v>
      </c>
      <c r="BK16" s="1">
        <v>20618.0</v>
      </c>
      <c r="BL16" s="1">
        <v>20678.0</v>
      </c>
      <c r="BM16" s="1">
        <v>20739.0</v>
      </c>
      <c r="BN16" s="1">
        <v>20800.0</v>
      </c>
      <c r="BO16" s="1">
        <v>20862.0</v>
      </c>
      <c r="BP16" s="1">
        <v>20923.0</v>
      </c>
      <c r="BQ16" s="1">
        <v>20985.0</v>
      </c>
      <c r="BR16" s="1">
        <v>21047.0</v>
      </c>
      <c r="BS16" s="1">
        <v>21109.0</v>
      </c>
      <c r="BT16" s="1">
        <v>21171.0</v>
      </c>
      <c r="BU16" s="1">
        <v>21233.0</v>
      </c>
      <c r="BV16" s="1">
        <v>1169609.0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0.44"/>
  </cols>
  <sheetData>
    <row r="1">
      <c r="A1" s="23" t="s">
        <v>22</v>
      </c>
    </row>
    <row r="2">
      <c r="A2" s="1" t="s">
        <v>175</v>
      </c>
    </row>
    <row r="3">
      <c r="A3" s="1" t="s">
        <v>176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550000.0</v>
      </c>
      <c r="K6" s="1">
        <v>552704.0</v>
      </c>
      <c r="L6" s="1">
        <v>555421.0</v>
      </c>
      <c r="M6" s="1">
        <v>558151.0</v>
      </c>
      <c r="N6" s="1">
        <v>560895.0</v>
      </c>
      <c r="O6" s="1">
        <v>563653.0</v>
      </c>
      <c r="P6" s="1">
        <v>566423.0</v>
      </c>
      <c r="Q6" s="1">
        <v>569208.0</v>
      </c>
      <c r="R6" s="1">
        <v>572006.0</v>
      </c>
      <c r="S6" s="1">
        <v>574818.0</v>
      </c>
      <c r="T6" s="1">
        <v>577644.0</v>
      </c>
      <c r="U6" s="1">
        <v>580484.0</v>
      </c>
      <c r="V6" s="1">
        <v>583337.0</v>
      </c>
      <c r="W6" s="1">
        <v>586205.0</v>
      </c>
      <c r="X6" s="1">
        <v>589087.0</v>
      </c>
      <c r="Y6" s="1">
        <v>591983.0</v>
      </c>
      <c r="Z6" s="1">
        <v>594893.0</v>
      </c>
      <c r="AA6" s="1">
        <v>597818.0</v>
      </c>
      <c r="AB6" s="1">
        <v>600756.0</v>
      </c>
      <c r="AC6" s="1">
        <v>603710.0</v>
      </c>
      <c r="AD6" s="1">
        <v>606678.0</v>
      </c>
      <c r="AE6" s="1">
        <v>609660.0</v>
      </c>
      <c r="AF6" s="1">
        <v>612657.0</v>
      </c>
      <c r="AG6" s="1">
        <v>615669.0</v>
      </c>
      <c r="AH6" s="1">
        <v>618695.0</v>
      </c>
      <c r="AI6" s="1">
        <v>621737.0</v>
      </c>
      <c r="AJ6" s="1">
        <v>624793.0</v>
      </c>
      <c r="AK6" s="1">
        <v>627865.0</v>
      </c>
      <c r="AL6" s="1">
        <v>630952.0</v>
      </c>
      <c r="AM6" s="1">
        <v>634053.0</v>
      </c>
      <c r="AN6" s="1">
        <v>637170.0</v>
      </c>
      <c r="AO6" s="1">
        <v>640303.0</v>
      </c>
      <c r="AP6" s="1">
        <v>643450.0</v>
      </c>
      <c r="AQ6" s="1">
        <v>646614.0</v>
      </c>
      <c r="AR6" s="1">
        <v>649792.0</v>
      </c>
      <c r="AS6" s="1">
        <v>652987.0</v>
      </c>
      <c r="AT6" s="1">
        <v>656197.0</v>
      </c>
      <c r="AU6" s="1">
        <v>659423.0</v>
      </c>
      <c r="AV6" s="1">
        <v>662664.0</v>
      </c>
      <c r="AW6" s="1">
        <v>665922.0</v>
      </c>
      <c r="AX6" s="1">
        <v>669196.0</v>
      </c>
      <c r="AY6" s="1">
        <v>672485.0</v>
      </c>
      <c r="AZ6" s="1">
        <v>675791.0</v>
      </c>
      <c r="BA6" s="1">
        <v>679114.0</v>
      </c>
      <c r="BB6" s="1">
        <v>682452.0</v>
      </c>
      <c r="BC6" s="1">
        <v>685807.0</v>
      </c>
      <c r="BD6" s="1">
        <v>689178.0</v>
      </c>
      <c r="BE6" s="1">
        <v>692566.0</v>
      </c>
      <c r="BF6" s="1">
        <v>695971.0</v>
      </c>
      <c r="BG6" s="1">
        <v>699393.0</v>
      </c>
      <c r="BH6" s="1">
        <v>702831.0</v>
      </c>
      <c r="BI6" s="1">
        <v>706286.0</v>
      </c>
      <c r="BJ6" s="1">
        <v>709758.0</v>
      </c>
      <c r="BK6" s="1">
        <v>713247.0</v>
      </c>
      <c r="BL6" s="1">
        <v>716753.0</v>
      </c>
      <c r="BM6" s="1">
        <v>720277.0</v>
      </c>
      <c r="BN6" s="1">
        <v>723818.0</v>
      </c>
      <c r="BO6" s="1">
        <v>727376.0</v>
      </c>
      <c r="BP6" s="1">
        <v>730952.0</v>
      </c>
      <c r="BQ6" s="1">
        <v>734545.0</v>
      </c>
      <c r="BR6" s="1">
        <v>738156.0</v>
      </c>
      <c r="BS6" s="1">
        <v>741785.0</v>
      </c>
      <c r="BT6" s="1">
        <v>745432.0</v>
      </c>
      <c r="BU6" s="1">
        <v>749096.0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3850.0</v>
      </c>
      <c r="L7" s="1">
        <v>3869.0</v>
      </c>
      <c r="M7" s="1">
        <v>3888.0</v>
      </c>
      <c r="N7" s="1">
        <v>3907.0</v>
      </c>
      <c r="O7" s="1">
        <v>3926.0</v>
      </c>
      <c r="P7" s="1">
        <v>3946.0</v>
      </c>
      <c r="Q7" s="1">
        <v>3965.0</v>
      </c>
      <c r="R7" s="1">
        <v>3984.0</v>
      </c>
      <c r="S7" s="1">
        <v>4004.0</v>
      </c>
      <c r="T7" s="1">
        <v>4024.0</v>
      </c>
      <c r="U7" s="1">
        <v>4044.0</v>
      </c>
      <c r="V7" s="1">
        <v>4063.0</v>
      </c>
      <c r="W7" s="1">
        <v>4083.0</v>
      </c>
      <c r="X7" s="1">
        <v>4103.0</v>
      </c>
      <c r="Y7" s="1">
        <v>4124.0</v>
      </c>
      <c r="Z7" s="1">
        <v>4144.0</v>
      </c>
      <c r="AA7" s="1">
        <v>4164.0</v>
      </c>
      <c r="AB7" s="1">
        <v>4185.0</v>
      </c>
      <c r="AC7" s="1">
        <v>4205.0</v>
      </c>
      <c r="AD7" s="1">
        <v>4226.0</v>
      </c>
      <c r="AE7" s="1">
        <v>4247.0</v>
      </c>
      <c r="AF7" s="1">
        <v>4268.0</v>
      </c>
      <c r="AG7" s="1">
        <v>4289.0</v>
      </c>
      <c r="AH7" s="1">
        <v>4310.0</v>
      </c>
      <c r="AI7" s="1">
        <v>4331.0</v>
      </c>
      <c r="AJ7" s="1">
        <v>4352.0</v>
      </c>
      <c r="AK7" s="1">
        <v>4374.0</v>
      </c>
      <c r="AL7" s="1">
        <v>4395.0</v>
      </c>
      <c r="AM7" s="1">
        <v>4417.0</v>
      </c>
      <c r="AN7" s="1">
        <v>4438.0</v>
      </c>
      <c r="AO7" s="1">
        <v>4460.0</v>
      </c>
      <c r="AP7" s="1">
        <v>4482.0</v>
      </c>
      <c r="AQ7" s="1">
        <v>4504.0</v>
      </c>
      <c r="AR7" s="1">
        <v>4526.0</v>
      </c>
      <c r="AS7" s="1">
        <v>4549.0</v>
      </c>
      <c r="AT7" s="1">
        <v>4571.0</v>
      </c>
      <c r="AU7" s="1">
        <v>4593.0</v>
      </c>
      <c r="AV7" s="1">
        <v>4616.0</v>
      </c>
      <c r="AW7" s="1">
        <v>4639.0</v>
      </c>
      <c r="AX7" s="1">
        <v>4661.0</v>
      </c>
      <c r="AY7" s="1">
        <v>4684.0</v>
      </c>
      <c r="AZ7" s="1">
        <v>4707.0</v>
      </c>
      <c r="BA7" s="1">
        <v>4731.0</v>
      </c>
      <c r="BB7" s="1">
        <v>4754.0</v>
      </c>
      <c r="BC7" s="1">
        <v>4777.0</v>
      </c>
      <c r="BD7" s="1">
        <v>4801.0</v>
      </c>
      <c r="BE7" s="1">
        <v>4824.0</v>
      </c>
      <c r="BF7" s="1">
        <v>4848.0</v>
      </c>
      <c r="BG7" s="1">
        <v>4872.0</v>
      </c>
      <c r="BH7" s="1">
        <v>4896.0</v>
      </c>
      <c r="BI7" s="1">
        <v>4920.0</v>
      </c>
      <c r="BJ7" s="1">
        <v>4944.0</v>
      </c>
      <c r="BK7" s="1">
        <v>4968.0</v>
      </c>
      <c r="BL7" s="1">
        <v>4993.0</v>
      </c>
      <c r="BM7" s="1">
        <v>5017.0</v>
      </c>
      <c r="BN7" s="1">
        <v>5042.0</v>
      </c>
      <c r="BO7" s="1">
        <v>5067.0</v>
      </c>
      <c r="BP7" s="1">
        <v>5092.0</v>
      </c>
      <c r="BQ7" s="1">
        <v>5117.0</v>
      </c>
      <c r="BR7" s="1">
        <v>5142.0</v>
      </c>
      <c r="BS7" s="1">
        <v>5167.0</v>
      </c>
      <c r="BT7" s="1">
        <v>5192.0</v>
      </c>
      <c r="BU7" s="1">
        <v>5218.0</v>
      </c>
      <c r="BV7" s="1">
        <v>283498.0</v>
      </c>
    </row>
    <row r="8">
      <c r="A8" s="1" t="s">
        <v>145</v>
      </c>
      <c r="B8" s="1">
        <v>1.2</v>
      </c>
      <c r="C8" s="1">
        <v>1.2</v>
      </c>
      <c r="D8" s="1">
        <v>1.2</v>
      </c>
      <c r="E8" s="1">
        <v>1.2</v>
      </c>
      <c r="F8" s="1">
        <v>1.2</v>
      </c>
      <c r="G8" s="1">
        <v>1.2</v>
      </c>
      <c r="H8" s="1">
        <v>1.2</v>
      </c>
      <c r="I8" s="1">
        <v>1.2</v>
      </c>
      <c r="J8" s="1">
        <v>1.2</v>
      </c>
      <c r="K8" s="1">
        <v>1.2</v>
      </c>
      <c r="L8" s="1">
        <v>1.2</v>
      </c>
      <c r="M8" s="1">
        <v>1.2</v>
      </c>
      <c r="N8" s="1">
        <v>1.2</v>
      </c>
      <c r="O8" s="1">
        <v>1.2</v>
      </c>
      <c r="P8" s="1">
        <v>1.2</v>
      </c>
      <c r="Q8" s="1">
        <v>1.2</v>
      </c>
      <c r="R8" s="1">
        <v>1.2</v>
      </c>
      <c r="S8" s="1">
        <v>1.2</v>
      </c>
      <c r="T8" s="1">
        <v>1.2</v>
      </c>
      <c r="U8" s="1">
        <v>1.2</v>
      </c>
      <c r="V8" s="1">
        <v>1.2</v>
      </c>
      <c r="W8" s="1">
        <v>1.2</v>
      </c>
      <c r="X8" s="1">
        <v>1.2</v>
      </c>
      <c r="Y8" s="1">
        <v>1.2</v>
      </c>
      <c r="Z8" s="1">
        <v>1.2</v>
      </c>
      <c r="AA8" s="1">
        <v>1.2</v>
      </c>
      <c r="AB8" s="1">
        <v>1.2</v>
      </c>
      <c r="AC8" s="1">
        <v>1.2</v>
      </c>
      <c r="AD8" s="1">
        <v>1.2</v>
      </c>
      <c r="AE8" s="1">
        <v>1.2</v>
      </c>
      <c r="AF8" s="1">
        <v>1.2</v>
      </c>
      <c r="AG8" s="1">
        <v>1.2</v>
      </c>
      <c r="AH8" s="1">
        <v>1.2</v>
      </c>
      <c r="AI8" s="1">
        <v>1.2</v>
      </c>
      <c r="AJ8" s="1">
        <v>1.2</v>
      </c>
      <c r="AK8" s="1">
        <v>1.2</v>
      </c>
      <c r="AL8" s="1">
        <v>1.2</v>
      </c>
      <c r="AM8" s="1">
        <v>1.2</v>
      </c>
      <c r="AN8" s="1">
        <v>1.2</v>
      </c>
      <c r="AO8" s="1">
        <v>1.2</v>
      </c>
      <c r="AP8" s="1">
        <v>1.2</v>
      </c>
      <c r="AQ8" s="1">
        <v>1.2</v>
      </c>
      <c r="AR8" s="1">
        <v>1.2</v>
      </c>
      <c r="AS8" s="1">
        <v>1.2</v>
      </c>
      <c r="AT8" s="1">
        <v>1.2</v>
      </c>
      <c r="AU8" s="1">
        <v>1.2</v>
      </c>
      <c r="AV8" s="1">
        <v>1.2</v>
      </c>
      <c r="AW8" s="1">
        <v>1.2</v>
      </c>
      <c r="AX8" s="1">
        <v>1.2</v>
      </c>
      <c r="AY8" s="1">
        <v>1.2</v>
      </c>
      <c r="AZ8" s="1">
        <v>1.2</v>
      </c>
      <c r="BA8" s="1">
        <v>1.2</v>
      </c>
      <c r="BB8" s="1">
        <v>1.2</v>
      </c>
      <c r="BC8" s="1">
        <v>1.2</v>
      </c>
      <c r="BD8" s="1">
        <v>1.2</v>
      </c>
      <c r="BE8" s="1">
        <v>1.2</v>
      </c>
      <c r="BF8" s="1">
        <v>1.2</v>
      </c>
      <c r="BG8" s="1">
        <v>1.2</v>
      </c>
      <c r="BH8" s="1">
        <v>1.2</v>
      </c>
      <c r="BI8" s="1">
        <v>1.2</v>
      </c>
      <c r="BJ8" s="1">
        <v>1.2</v>
      </c>
      <c r="BK8" s="1">
        <v>1.2</v>
      </c>
      <c r="BL8" s="1">
        <v>1.2</v>
      </c>
      <c r="BM8" s="1">
        <v>1.2</v>
      </c>
      <c r="BN8" s="1">
        <v>1.2</v>
      </c>
      <c r="BO8" s="1">
        <v>1.2</v>
      </c>
      <c r="BP8" s="1">
        <v>1.2</v>
      </c>
      <c r="BQ8" s="1">
        <v>1.2</v>
      </c>
      <c r="BR8" s="1">
        <v>1.2</v>
      </c>
      <c r="BS8" s="1">
        <v>1.2</v>
      </c>
      <c r="BT8" s="1">
        <v>1.2</v>
      </c>
      <c r="BU8" s="1">
        <v>1.2</v>
      </c>
    </row>
    <row r="9">
      <c r="A9" s="1" t="s">
        <v>146</v>
      </c>
      <c r="B9" s="1">
        <v>110.0</v>
      </c>
      <c r="C9" s="1">
        <v>110.0</v>
      </c>
      <c r="D9" s="1">
        <v>110.0</v>
      </c>
      <c r="E9" s="1">
        <v>110.0</v>
      </c>
      <c r="F9" s="1">
        <v>110.0</v>
      </c>
      <c r="G9" s="1">
        <v>110.0</v>
      </c>
      <c r="H9" s="1">
        <v>110.0</v>
      </c>
      <c r="I9" s="1">
        <v>110.0</v>
      </c>
      <c r="J9" s="1">
        <v>110.0</v>
      </c>
      <c r="K9" s="1">
        <v>110.0</v>
      </c>
      <c r="L9" s="1">
        <v>110.0</v>
      </c>
      <c r="M9" s="1">
        <v>110.0</v>
      </c>
      <c r="N9" s="1">
        <v>110.0</v>
      </c>
      <c r="O9" s="1">
        <v>110.0</v>
      </c>
      <c r="P9" s="1">
        <v>110.0</v>
      </c>
      <c r="Q9" s="1">
        <v>110.0</v>
      </c>
      <c r="R9" s="1">
        <v>110.0</v>
      </c>
      <c r="S9" s="1">
        <v>110.0</v>
      </c>
      <c r="T9" s="1">
        <v>110.0</v>
      </c>
      <c r="U9" s="1">
        <v>110.0</v>
      </c>
      <c r="V9" s="1">
        <v>110.0</v>
      </c>
      <c r="W9" s="1">
        <v>110.0</v>
      </c>
      <c r="X9" s="1">
        <v>110.0</v>
      </c>
      <c r="Y9" s="1">
        <v>110.0</v>
      </c>
      <c r="Z9" s="1">
        <v>110.0</v>
      </c>
      <c r="AA9" s="1">
        <v>110.0</v>
      </c>
      <c r="AB9" s="1">
        <v>110.0</v>
      </c>
      <c r="AC9" s="1">
        <v>110.0</v>
      </c>
      <c r="AD9" s="1">
        <v>110.0</v>
      </c>
      <c r="AE9" s="1">
        <v>110.0</v>
      </c>
      <c r="AF9" s="1">
        <v>110.0</v>
      </c>
      <c r="AG9" s="1">
        <v>110.0</v>
      </c>
      <c r="AH9" s="1">
        <v>110.0</v>
      </c>
      <c r="AI9" s="1">
        <v>110.0</v>
      </c>
      <c r="AJ9" s="1">
        <v>110.0</v>
      </c>
      <c r="AK9" s="1">
        <v>110.0</v>
      </c>
      <c r="AL9" s="1">
        <v>110.0</v>
      </c>
      <c r="AM9" s="1">
        <v>110.0</v>
      </c>
      <c r="AN9" s="1">
        <v>110.0</v>
      </c>
      <c r="AO9" s="1">
        <v>110.0</v>
      </c>
      <c r="AP9" s="1">
        <v>110.0</v>
      </c>
      <c r="AQ9" s="1">
        <v>110.0</v>
      </c>
      <c r="AR9" s="1">
        <v>110.0</v>
      </c>
      <c r="AS9" s="1">
        <v>110.0</v>
      </c>
      <c r="AT9" s="1">
        <v>110.0</v>
      </c>
      <c r="AU9" s="1">
        <v>110.0</v>
      </c>
      <c r="AV9" s="1">
        <v>110.0</v>
      </c>
      <c r="AW9" s="1">
        <v>110.0</v>
      </c>
      <c r="AX9" s="1">
        <v>110.0</v>
      </c>
      <c r="AY9" s="1">
        <v>110.0</v>
      </c>
      <c r="AZ9" s="1">
        <v>110.0</v>
      </c>
      <c r="BA9" s="1">
        <v>110.0</v>
      </c>
      <c r="BB9" s="1">
        <v>110.0</v>
      </c>
      <c r="BC9" s="1">
        <v>110.0</v>
      </c>
      <c r="BD9" s="1">
        <v>110.0</v>
      </c>
      <c r="BE9" s="1">
        <v>110.0</v>
      </c>
      <c r="BF9" s="1">
        <v>110.0</v>
      </c>
      <c r="BG9" s="1">
        <v>110.0</v>
      </c>
      <c r="BH9" s="1">
        <v>110.0</v>
      </c>
      <c r="BI9" s="1">
        <v>110.0</v>
      </c>
      <c r="BJ9" s="1">
        <v>110.0</v>
      </c>
      <c r="BK9" s="1">
        <v>110.0</v>
      </c>
      <c r="BL9" s="1">
        <v>110.0</v>
      </c>
      <c r="BM9" s="1">
        <v>110.0</v>
      </c>
      <c r="BN9" s="1">
        <v>110.0</v>
      </c>
      <c r="BO9" s="1">
        <v>110.0</v>
      </c>
      <c r="BP9" s="1">
        <v>110.0</v>
      </c>
      <c r="BQ9" s="1">
        <v>110.0</v>
      </c>
      <c r="BR9" s="1">
        <v>110.0</v>
      </c>
      <c r="BS9" s="1">
        <v>110.0</v>
      </c>
      <c r="BT9" s="1">
        <v>110.0</v>
      </c>
      <c r="BU9" s="1">
        <v>110.0</v>
      </c>
      <c r="BV9" s="1" t="s">
        <v>177</v>
      </c>
    </row>
    <row r="10">
      <c r="A10" s="1" t="s">
        <v>149</v>
      </c>
      <c r="B10" s="1">
        <v>20.0</v>
      </c>
      <c r="C10" s="1">
        <v>20.0</v>
      </c>
      <c r="D10" s="1">
        <v>20.0</v>
      </c>
      <c r="E10" s="1">
        <v>20.0</v>
      </c>
      <c r="F10" s="1">
        <v>20.0</v>
      </c>
      <c r="G10" s="1">
        <v>20.0</v>
      </c>
      <c r="H10" s="1">
        <v>20.0</v>
      </c>
      <c r="I10" s="1">
        <v>20.0</v>
      </c>
      <c r="J10" s="1">
        <v>20.0</v>
      </c>
      <c r="K10" s="1">
        <v>20.0</v>
      </c>
      <c r="L10" s="1">
        <v>20.0</v>
      </c>
      <c r="M10" s="1">
        <v>20.0</v>
      </c>
      <c r="N10" s="1">
        <v>20.0</v>
      </c>
      <c r="O10" s="1">
        <v>20.0</v>
      </c>
      <c r="P10" s="1">
        <v>20.0</v>
      </c>
      <c r="Q10" s="1">
        <v>20.0</v>
      </c>
      <c r="R10" s="1">
        <v>20.0</v>
      </c>
      <c r="S10" s="1">
        <v>20.0</v>
      </c>
      <c r="T10" s="1">
        <v>20.0</v>
      </c>
      <c r="U10" s="1">
        <v>20.0</v>
      </c>
      <c r="V10" s="1">
        <v>20.0</v>
      </c>
      <c r="W10" s="1">
        <v>20.0</v>
      </c>
      <c r="X10" s="1">
        <v>20.0</v>
      </c>
      <c r="Y10" s="1">
        <v>20.0</v>
      </c>
      <c r="Z10" s="1">
        <v>20.0</v>
      </c>
      <c r="AA10" s="1">
        <v>20.0</v>
      </c>
      <c r="AB10" s="1">
        <v>20.0</v>
      </c>
      <c r="AC10" s="1">
        <v>20.0</v>
      </c>
      <c r="AD10" s="1">
        <v>20.0</v>
      </c>
      <c r="AE10" s="1">
        <v>20.0</v>
      </c>
      <c r="AF10" s="1">
        <v>20.0</v>
      </c>
      <c r="AG10" s="1">
        <v>20.0</v>
      </c>
      <c r="AH10" s="1">
        <v>20.0</v>
      </c>
      <c r="AI10" s="1">
        <v>20.0</v>
      </c>
      <c r="AJ10" s="1">
        <v>20.0</v>
      </c>
      <c r="AK10" s="1">
        <v>20.0</v>
      </c>
      <c r="AL10" s="1">
        <v>20.0</v>
      </c>
      <c r="AM10" s="1">
        <v>20.0</v>
      </c>
      <c r="AN10" s="1">
        <v>20.0</v>
      </c>
      <c r="AO10" s="1">
        <v>20.0</v>
      </c>
      <c r="AP10" s="1">
        <v>20.0</v>
      </c>
      <c r="AQ10" s="1">
        <v>20.0</v>
      </c>
      <c r="AR10" s="1">
        <v>20.0</v>
      </c>
      <c r="AS10" s="1">
        <v>20.0</v>
      </c>
      <c r="AT10" s="1">
        <v>20.0</v>
      </c>
      <c r="AU10" s="1">
        <v>20.0</v>
      </c>
      <c r="AV10" s="1">
        <v>20.0</v>
      </c>
      <c r="AW10" s="1">
        <v>20.0</v>
      </c>
      <c r="AX10" s="1">
        <v>20.0</v>
      </c>
      <c r="AY10" s="1">
        <v>20.0</v>
      </c>
      <c r="AZ10" s="1">
        <v>20.0</v>
      </c>
      <c r="BA10" s="1">
        <v>20.0</v>
      </c>
      <c r="BB10" s="1">
        <v>20.0</v>
      </c>
      <c r="BC10" s="1">
        <v>20.0</v>
      </c>
      <c r="BD10" s="1">
        <v>20.0</v>
      </c>
      <c r="BE10" s="1">
        <v>20.0</v>
      </c>
      <c r="BF10" s="1">
        <v>20.0</v>
      </c>
      <c r="BG10" s="1">
        <v>20.0</v>
      </c>
      <c r="BH10" s="1">
        <v>20.0</v>
      </c>
      <c r="BI10" s="1">
        <v>20.0</v>
      </c>
      <c r="BJ10" s="1">
        <v>20.0</v>
      </c>
      <c r="BK10" s="1">
        <v>20.0</v>
      </c>
      <c r="BL10" s="1">
        <v>20.0</v>
      </c>
      <c r="BM10" s="1">
        <v>20.0</v>
      </c>
      <c r="BN10" s="1">
        <v>20.0</v>
      </c>
      <c r="BO10" s="1">
        <v>20.0</v>
      </c>
      <c r="BP10" s="1">
        <v>20.0</v>
      </c>
      <c r="BQ10" s="1">
        <v>20.0</v>
      </c>
      <c r="BR10" s="1">
        <v>20.0</v>
      </c>
      <c r="BS10" s="1">
        <v>20.0</v>
      </c>
      <c r="BT10" s="1">
        <v>20.0</v>
      </c>
      <c r="BU10" s="1">
        <v>20.0</v>
      </c>
      <c r="BV10" s="1" t="s">
        <v>178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6600.0</v>
      </c>
      <c r="K11" s="1">
        <v>6632.0</v>
      </c>
      <c r="L11" s="1">
        <v>6665.0</v>
      </c>
      <c r="M11" s="1">
        <v>6698.0</v>
      </c>
      <c r="N11" s="1">
        <v>6731.0</v>
      </c>
      <c r="O11" s="1">
        <v>6764.0</v>
      </c>
      <c r="P11" s="1">
        <v>6797.0</v>
      </c>
      <c r="Q11" s="1">
        <v>6830.0</v>
      </c>
      <c r="R11" s="1">
        <v>6864.0</v>
      </c>
      <c r="S11" s="1">
        <v>6898.0</v>
      </c>
      <c r="T11" s="1">
        <v>6932.0</v>
      </c>
      <c r="U11" s="1">
        <v>6966.0</v>
      </c>
      <c r="V11" s="1">
        <v>7000.0</v>
      </c>
      <c r="W11" s="1">
        <v>7034.0</v>
      </c>
      <c r="X11" s="1">
        <v>7069.0</v>
      </c>
      <c r="Y11" s="1">
        <v>7104.0</v>
      </c>
      <c r="Z11" s="1">
        <v>7139.0</v>
      </c>
      <c r="AA11" s="1">
        <v>7174.0</v>
      </c>
      <c r="AB11" s="1">
        <v>7209.0</v>
      </c>
      <c r="AC11" s="1">
        <v>7245.0</v>
      </c>
      <c r="AD11" s="1">
        <v>7280.0</v>
      </c>
      <c r="AE11" s="1">
        <v>7316.0</v>
      </c>
      <c r="AF11" s="1">
        <v>7352.0</v>
      </c>
      <c r="AG11" s="1">
        <v>7388.0</v>
      </c>
      <c r="AH11" s="1">
        <v>7424.0</v>
      </c>
      <c r="AI11" s="1">
        <v>7461.0</v>
      </c>
      <c r="AJ11" s="1">
        <v>7498.0</v>
      </c>
      <c r="AK11" s="1">
        <v>7534.0</v>
      </c>
      <c r="AL11" s="1">
        <v>7571.0</v>
      </c>
      <c r="AM11" s="1">
        <v>7609.0</v>
      </c>
      <c r="AN11" s="1">
        <v>7646.0</v>
      </c>
      <c r="AO11" s="1">
        <v>7684.0</v>
      </c>
      <c r="AP11" s="1">
        <v>7721.0</v>
      </c>
      <c r="AQ11" s="1">
        <v>7759.0</v>
      </c>
      <c r="AR11" s="1">
        <v>7798.0</v>
      </c>
      <c r="AS11" s="1">
        <v>7836.0</v>
      </c>
      <c r="AT11" s="1">
        <v>7874.0</v>
      </c>
      <c r="AU11" s="1">
        <v>7913.0</v>
      </c>
      <c r="AV11" s="1">
        <v>7952.0</v>
      </c>
      <c r="AW11" s="1">
        <v>7991.0</v>
      </c>
      <c r="AX11" s="1">
        <v>8030.0</v>
      </c>
      <c r="AY11" s="1">
        <v>8070.0</v>
      </c>
      <c r="AZ11" s="1">
        <v>8109.0</v>
      </c>
      <c r="BA11" s="1">
        <v>8149.0</v>
      </c>
      <c r="BB11" s="1">
        <v>8189.0</v>
      </c>
      <c r="BC11" s="1">
        <v>8230.0</v>
      </c>
      <c r="BD11" s="1">
        <v>8270.0</v>
      </c>
      <c r="BE11" s="1">
        <v>8311.0</v>
      </c>
      <c r="BF11" s="1">
        <v>8352.0</v>
      </c>
      <c r="BG11" s="1">
        <v>8393.0</v>
      </c>
      <c r="BH11" s="1">
        <v>8434.0</v>
      </c>
      <c r="BI11" s="1">
        <v>8475.0</v>
      </c>
      <c r="BJ11" s="1">
        <v>8517.0</v>
      </c>
      <c r="BK11" s="1">
        <v>8559.0</v>
      </c>
      <c r="BL11" s="1">
        <v>8601.0</v>
      </c>
      <c r="BM11" s="1">
        <v>8643.0</v>
      </c>
      <c r="BN11" s="1">
        <v>8686.0</v>
      </c>
      <c r="BO11" s="1">
        <v>8729.0</v>
      </c>
      <c r="BP11" s="1">
        <v>8771.0</v>
      </c>
      <c r="BQ11" s="1">
        <v>8815.0</v>
      </c>
      <c r="BR11" s="1">
        <v>8858.0</v>
      </c>
      <c r="BS11" s="1">
        <v>8901.0</v>
      </c>
      <c r="BT11" s="1">
        <v>8945.0</v>
      </c>
      <c r="BU11" s="1">
        <v>8989.0</v>
      </c>
      <c r="BV11" s="1">
        <v>494985.0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726000.0</v>
      </c>
      <c r="K12" s="1">
        <v>729569.0</v>
      </c>
      <c r="L12" s="1">
        <v>733156.0</v>
      </c>
      <c r="M12" s="1">
        <v>736760.0</v>
      </c>
      <c r="N12" s="1">
        <v>740382.0</v>
      </c>
      <c r="O12" s="1">
        <v>744021.0</v>
      </c>
      <c r="P12" s="1">
        <v>747679.0</v>
      </c>
      <c r="Q12" s="1">
        <v>751355.0</v>
      </c>
      <c r="R12" s="1">
        <v>755048.0</v>
      </c>
      <c r="S12" s="1">
        <v>758760.0</v>
      </c>
      <c r="T12" s="1">
        <v>762490.0</v>
      </c>
      <c r="U12" s="1">
        <v>766239.0</v>
      </c>
      <c r="V12" s="1">
        <v>770005.0</v>
      </c>
      <c r="W12" s="1">
        <v>773791.0</v>
      </c>
      <c r="X12" s="1">
        <v>777595.0</v>
      </c>
      <c r="Y12" s="1">
        <v>781417.0</v>
      </c>
      <c r="Z12" s="1">
        <v>785259.0</v>
      </c>
      <c r="AA12" s="1">
        <v>789119.0</v>
      </c>
      <c r="AB12" s="1">
        <v>792998.0</v>
      </c>
      <c r="AC12" s="1">
        <v>796897.0</v>
      </c>
      <c r="AD12" s="1">
        <v>800814.0</v>
      </c>
      <c r="AE12" s="1">
        <v>804751.0</v>
      </c>
      <c r="AF12" s="1">
        <v>808707.0</v>
      </c>
      <c r="AG12" s="1">
        <v>812683.0</v>
      </c>
      <c r="AH12" s="1">
        <v>816678.0</v>
      </c>
      <c r="AI12" s="1">
        <v>820693.0</v>
      </c>
      <c r="AJ12" s="1">
        <v>824727.0</v>
      </c>
      <c r="AK12" s="1">
        <v>828782.0</v>
      </c>
      <c r="AL12" s="1">
        <v>832856.0</v>
      </c>
      <c r="AM12" s="1">
        <v>836950.0</v>
      </c>
      <c r="AN12" s="1">
        <v>841065.0</v>
      </c>
      <c r="AO12" s="1">
        <v>845199.0</v>
      </c>
      <c r="AP12" s="1">
        <v>849354.0</v>
      </c>
      <c r="AQ12" s="1">
        <v>853530.0</v>
      </c>
      <c r="AR12" s="1">
        <v>857726.0</v>
      </c>
      <c r="AS12" s="1">
        <v>861942.0</v>
      </c>
      <c r="AT12" s="1">
        <v>866180.0</v>
      </c>
      <c r="AU12" s="1">
        <v>870438.0</v>
      </c>
      <c r="AV12" s="1">
        <v>874717.0</v>
      </c>
      <c r="AW12" s="1">
        <v>879017.0</v>
      </c>
      <c r="AX12" s="1">
        <v>883338.0</v>
      </c>
      <c r="AY12" s="1">
        <v>887681.0</v>
      </c>
      <c r="AZ12" s="1">
        <v>892045.0</v>
      </c>
      <c r="BA12" s="1">
        <v>896430.0</v>
      </c>
      <c r="BB12" s="1">
        <v>900837.0</v>
      </c>
      <c r="BC12" s="1">
        <v>905265.0</v>
      </c>
      <c r="BD12" s="1">
        <v>909716.0</v>
      </c>
      <c r="BE12" s="1">
        <v>914188.0</v>
      </c>
      <c r="BF12" s="1">
        <v>918682.0</v>
      </c>
      <c r="BG12" s="1">
        <v>923198.0</v>
      </c>
      <c r="BH12" s="1">
        <v>927737.0</v>
      </c>
      <c r="BI12" s="1">
        <v>932297.0</v>
      </c>
      <c r="BJ12" s="1">
        <v>936880.0</v>
      </c>
      <c r="BK12" s="1">
        <v>941486.0</v>
      </c>
      <c r="BL12" s="1">
        <v>946115.0</v>
      </c>
      <c r="BM12" s="1">
        <v>950766.0</v>
      </c>
      <c r="BN12" s="1">
        <v>955440.0</v>
      </c>
      <c r="BO12" s="1">
        <v>960137.0</v>
      </c>
      <c r="BP12" s="1">
        <v>964857.0</v>
      </c>
      <c r="BQ12" s="1">
        <v>969600.0</v>
      </c>
      <c r="BR12" s="1">
        <v>974366.0</v>
      </c>
      <c r="BS12" s="1">
        <v>979156.0</v>
      </c>
      <c r="BT12" s="1">
        <v>983970.0</v>
      </c>
      <c r="BU12" s="1">
        <v>988807.0</v>
      </c>
      <c r="BV12" s="1">
        <v>5.4448342E7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145200.0</v>
      </c>
      <c r="K13" s="1">
        <v>145914.0</v>
      </c>
      <c r="L13" s="1">
        <v>146631.0</v>
      </c>
      <c r="M13" s="1">
        <v>147352.0</v>
      </c>
      <c r="N13" s="1">
        <v>148076.0</v>
      </c>
      <c r="O13" s="1">
        <v>148804.0</v>
      </c>
      <c r="P13" s="1">
        <v>149536.0</v>
      </c>
      <c r="Q13" s="1">
        <v>150271.0</v>
      </c>
      <c r="R13" s="1">
        <v>151010.0</v>
      </c>
      <c r="S13" s="1">
        <v>151752.0</v>
      </c>
      <c r="T13" s="1">
        <v>152498.0</v>
      </c>
      <c r="U13" s="1">
        <v>153248.0</v>
      </c>
      <c r="V13" s="1">
        <v>154001.0</v>
      </c>
      <c r="W13" s="1">
        <v>154758.0</v>
      </c>
      <c r="X13" s="1">
        <v>155519.0</v>
      </c>
      <c r="Y13" s="1">
        <v>156283.0</v>
      </c>
      <c r="Z13" s="1">
        <v>157052.0</v>
      </c>
      <c r="AA13" s="1">
        <v>157824.0</v>
      </c>
      <c r="AB13" s="1">
        <v>158600.0</v>
      </c>
      <c r="AC13" s="1">
        <v>159379.0</v>
      </c>
      <c r="AD13" s="1">
        <v>160163.0</v>
      </c>
      <c r="AE13" s="1">
        <v>160950.0</v>
      </c>
      <c r="AF13" s="1">
        <v>161741.0</v>
      </c>
      <c r="AG13" s="1">
        <v>162537.0</v>
      </c>
      <c r="AH13" s="1">
        <v>163336.0</v>
      </c>
      <c r="AI13" s="1">
        <v>164139.0</v>
      </c>
      <c r="AJ13" s="1">
        <v>164945.0</v>
      </c>
      <c r="AK13" s="1">
        <v>165756.0</v>
      </c>
      <c r="AL13" s="1">
        <v>166571.0</v>
      </c>
      <c r="AM13" s="1">
        <v>167390.0</v>
      </c>
      <c r="AN13" s="1">
        <v>168213.0</v>
      </c>
      <c r="AO13" s="1">
        <v>169040.0</v>
      </c>
      <c r="AP13" s="1">
        <v>169871.0</v>
      </c>
      <c r="AQ13" s="1">
        <v>170706.0</v>
      </c>
      <c r="AR13" s="1">
        <v>171545.0</v>
      </c>
      <c r="AS13" s="1">
        <v>172388.0</v>
      </c>
      <c r="AT13" s="1">
        <v>173236.0</v>
      </c>
      <c r="AU13" s="1">
        <v>174088.0</v>
      </c>
      <c r="AV13" s="1">
        <v>174943.0</v>
      </c>
      <c r="AW13" s="1">
        <v>175803.0</v>
      </c>
      <c r="AX13" s="1">
        <v>176668.0</v>
      </c>
      <c r="AY13" s="1">
        <v>177536.0</v>
      </c>
      <c r="AZ13" s="1">
        <v>178409.0</v>
      </c>
      <c r="BA13" s="1">
        <v>179286.0</v>
      </c>
      <c r="BB13" s="1">
        <v>180167.0</v>
      </c>
      <c r="BC13" s="1">
        <v>181053.0</v>
      </c>
      <c r="BD13" s="1">
        <v>181943.0</v>
      </c>
      <c r="BE13" s="1">
        <v>182838.0</v>
      </c>
      <c r="BF13" s="1">
        <v>183736.0</v>
      </c>
      <c r="BG13" s="1">
        <v>184640.0</v>
      </c>
      <c r="BH13" s="1">
        <v>185547.0</v>
      </c>
      <c r="BI13" s="1">
        <v>186459.0</v>
      </c>
      <c r="BJ13" s="1">
        <v>187376.0</v>
      </c>
      <c r="BK13" s="1">
        <v>188297.0</v>
      </c>
      <c r="BL13" s="1">
        <v>189223.0</v>
      </c>
      <c r="BM13" s="1">
        <v>190153.0</v>
      </c>
      <c r="BN13" s="1">
        <v>191088.0</v>
      </c>
      <c r="BO13" s="1">
        <v>192027.0</v>
      </c>
      <c r="BP13" s="1">
        <v>192971.0</v>
      </c>
      <c r="BQ13" s="1">
        <v>193920.0</v>
      </c>
      <c r="BR13" s="1">
        <v>194873.0</v>
      </c>
      <c r="BS13" s="1">
        <v>195831.0</v>
      </c>
      <c r="BT13" s="1">
        <v>196794.0</v>
      </c>
      <c r="BU13" s="1">
        <v>197761.0</v>
      </c>
      <c r="BV13" s="1">
        <v>1.0889668E7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2000.0</v>
      </c>
      <c r="K14" s="1">
        <v>2000.0</v>
      </c>
      <c r="L14" s="1">
        <v>2000.0</v>
      </c>
      <c r="M14" s="1">
        <v>2000.0</v>
      </c>
      <c r="N14" s="1">
        <v>2000.0</v>
      </c>
      <c r="O14" s="1">
        <v>2000.0</v>
      </c>
      <c r="P14" s="1">
        <v>2000.0</v>
      </c>
      <c r="Q14" s="1">
        <v>2000.0</v>
      </c>
      <c r="R14" s="1">
        <v>2000.0</v>
      </c>
      <c r="S14" s="1">
        <v>2000.0</v>
      </c>
      <c r="T14" s="1">
        <v>2000.0</v>
      </c>
      <c r="U14" s="1">
        <v>2000.0</v>
      </c>
      <c r="V14" s="1">
        <v>2000.0</v>
      </c>
      <c r="W14" s="1">
        <v>2000.0</v>
      </c>
      <c r="X14" s="1">
        <v>2000.0</v>
      </c>
      <c r="Y14" s="1">
        <v>2000.0</v>
      </c>
      <c r="Z14" s="1">
        <v>2000.0</v>
      </c>
      <c r="AA14" s="1">
        <v>2000.0</v>
      </c>
      <c r="AB14" s="1">
        <v>2000.0</v>
      </c>
      <c r="AC14" s="1">
        <v>2000.0</v>
      </c>
      <c r="AD14" s="1">
        <v>2000.0</v>
      </c>
      <c r="AE14" s="1">
        <v>2000.0</v>
      </c>
      <c r="AF14" s="1">
        <v>2000.0</v>
      </c>
      <c r="AG14" s="1">
        <v>2000.0</v>
      </c>
      <c r="AH14" s="1">
        <v>2000.0</v>
      </c>
      <c r="AI14" s="1">
        <v>2000.0</v>
      </c>
      <c r="AJ14" s="1">
        <v>2000.0</v>
      </c>
      <c r="AK14" s="1">
        <v>2000.0</v>
      </c>
      <c r="AL14" s="1">
        <v>2000.0</v>
      </c>
      <c r="AM14" s="1">
        <v>2000.0</v>
      </c>
      <c r="AN14" s="1">
        <v>2000.0</v>
      </c>
      <c r="AO14" s="1">
        <v>2000.0</v>
      </c>
      <c r="AP14" s="1">
        <v>2000.0</v>
      </c>
      <c r="AQ14" s="1">
        <v>2000.0</v>
      </c>
      <c r="AR14" s="1">
        <v>2000.0</v>
      </c>
      <c r="AS14" s="1">
        <v>2000.0</v>
      </c>
      <c r="AT14" s="1">
        <v>2000.0</v>
      </c>
      <c r="AU14" s="1">
        <v>2000.0</v>
      </c>
      <c r="AV14" s="1">
        <v>2000.0</v>
      </c>
      <c r="AW14" s="1">
        <v>2000.0</v>
      </c>
      <c r="AX14" s="1">
        <v>2000.0</v>
      </c>
      <c r="AY14" s="1">
        <v>2000.0</v>
      </c>
      <c r="AZ14" s="1">
        <v>2000.0</v>
      </c>
      <c r="BA14" s="1">
        <v>2000.0</v>
      </c>
      <c r="BB14" s="1">
        <v>2000.0</v>
      </c>
      <c r="BC14" s="1">
        <v>2000.0</v>
      </c>
      <c r="BD14" s="1">
        <v>2000.0</v>
      </c>
      <c r="BE14" s="1">
        <v>2000.0</v>
      </c>
      <c r="BF14" s="1">
        <v>2000.0</v>
      </c>
      <c r="BG14" s="1">
        <v>2000.0</v>
      </c>
      <c r="BH14" s="1">
        <v>2000.0</v>
      </c>
      <c r="BI14" s="1">
        <v>2000.0</v>
      </c>
      <c r="BJ14" s="1">
        <v>2000.0</v>
      </c>
      <c r="BK14" s="1">
        <v>2000.0</v>
      </c>
      <c r="BL14" s="1">
        <v>2000.0</v>
      </c>
      <c r="BM14" s="1">
        <v>2000.0</v>
      </c>
      <c r="BN14" s="1">
        <v>2000.0</v>
      </c>
      <c r="BO14" s="1">
        <v>2000.0</v>
      </c>
      <c r="BP14" s="1">
        <v>2000.0</v>
      </c>
      <c r="BQ14" s="1">
        <v>2000.0</v>
      </c>
      <c r="BR14" s="1">
        <v>2000.0</v>
      </c>
      <c r="BS14" s="1">
        <v>2000.0</v>
      </c>
      <c r="BT14" s="1">
        <v>2000.0</v>
      </c>
      <c r="BU14" s="1">
        <v>2000.0</v>
      </c>
      <c r="BV14" s="1">
        <v>128000.0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147200.0</v>
      </c>
      <c r="K15" s="1">
        <v>147914.0</v>
      </c>
      <c r="L15" s="1">
        <v>148631.0</v>
      </c>
      <c r="M15" s="1">
        <v>149352.0</v>
      </c>
      <c r="N15" s="1">
        <v>150076.0</v>
      </c>
      <c r="O15" s="1">
        <v>150804.0</v>
      </c>
      <c r="P15" s="1">
        <v>151536.0</v>
      </c>
      <c r="Q15" s="1">
        <v>152271.0</v>
      </c>
      <c r="R15" s="1">
        <v>153010.0</v>
      </c>
      <c r="S15" s="1">
        <v>153752.0</v>
      </c>
      <c r="T15" s="1">
        <v>154498.0</v>
      </c>
      <c r="U15" s="1">
        <v>155248.0</v>
      </c>
      <c r="V15" s="1">
        <v>156001.0</v>
      </c>
      <c r="W15" s="1">
        <v>156758.0</v>
      </c>
      <c r="X15" s="1">
        <v>157519.0</v>
      </c>
      <c r="Y15" s="1">
        <v>158283.0</v>
      </c>
      <c r="Z15" s="1">
        <v>159052.0</v>
      </c>
      <c r="AA15" s="1">
        <v>159824.0</v>
      </c>
      <c r="AB15" s="1">
        <v>160600.0</v>
      </c>
      <c r="AC15" s="1">
        <v>161379.0</v>
      </c>
      <c r="AD15" s="1">
        <v>162163.0</v>
      </c>
      <c r="AE15" s="1">
        <v>162950.0</v>
      </c>
      <c r="AF15" s="1">
        <v>163741.0</v>
      </c>
      <c r="AG15" s="1">
        <v>164537.0</v>
      </c>
      <c r="AH15" s="1">
        <v>165336.0</v>
      </c>
      <c r="AI15" s="1">
        <v>166139.0</v>
      </c>
      <c r="AJ15" s="1">
        <v>166945.0</v>
      </c>
      <c r="AK15" s="1">
        <v>167756.0</v>
      </c>
      <c r="AL15" s="1">
        <v>168571.0</v>
      </c>
      <c r="AM15" s="1">
        <v>169390.0</v>
      </c>
      <c r="AN15" s="1">
        <v>170213.0</v>
      </c>
      <c r="AO15" s="1">
        <v>171040.0</v>
      </c>
      <c r="AP15" s="1">
        <v>171871.0</v>
      </c>
      <c r="AQ15" s="1">
        <v>172706.0</v>
      </c>
      <c r="AR15" s="1">
        <v>173545.0</v>
      </c>
      <c r="AS15" s="1">
        <v>174388.0</v>
      </c>
      <c r="AT15" s="1">
        <v>175236.0</v>
      </c>
      <c r="AU15" s="1">
        <v>176088.0</v>
      </c>
      <c r="AV15" s="1">
        <v>176943.0</v>
      </c>
      <c r="AW15" s="1">
        <v>177803.0</v>
      </c>
      <c r="AX15" s="1">
        <v>178668.0</v>
      </c>
      <c r="AY15" s="1">
        <v>179536.0</v>
      </c>
      <c r="AZ15" s="1">
        <v>180409.0</v>
      </c>
      <c r="BA15" s="1">
        <v>181286.0</v>
      </c>
      <c r="BB15" s="1">
        <v>182167.0</v>
      </c>
      <c r="BC15" s="1">
        <v>183053.0</v>
      </c>
      <c r="BD15" s="1">
        <v>183943.0</v>
      </c>
      <c r="BE15" s="1">
        <v>184838.0</v>
      </c>
      <c r="BF15" s="1">
        <v>185736.0</v>
      </c>
      <c r="BG15" s="1">
        <v>186640.0</v>
      </c>
      <c r="BH15" s="1">
        <v>187547.0</v>
      </c>
      <c r="BI15" s="1">
        <v>188459.0</v>
      </c>
      <c r="BJ15" s="1">
        <v>189376.0</v>
      </c>
      <c r="BK15" s="1">
        <v>190297.0</v>
      </c>
      <c r="BL15" s="1">
        <v>191223.0</v>
      </c>
      <c r="BM15" s="1">
        <v>192153.0</v>
      </c>
      <c r="BN15" s="1">
        <v>193088.0</v>
      </c>
      <c r="BO15" s="1">
        <v>194027.0</v>
      </c>
      <c r="BP15" s="1">
        <v>194971.0</v>
      </c>
      <c r="BQ15" s="1">
        <v>195920.0</v>
      </c>
      <c r="BR15" s="1">
        <v>196873.0</v>
      </c>
      <c r="BS15" s="1">
        <v>197831.0</v>
      </c>
      <c r="BT15" s="1">
        <v>198794.0</v>
      </c>
      <c r="BU15" s="1">
        <v>199761.0</v>
      </c>
      <c r="BV15" s="1">
        <v>1.1017668E7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580800.0</v>
      </c>
      <c r="K16" s="1">
        <v>583655.0</v>
      </c>
      <c r="L16" s="1">
        <v>586524.0</v>
      </c>
      <c r="M16" s="1">
        <v>589408.0</v>
      </c>
      <c r="N16" s="1">
        <v>592305.0</v>
      </c>
      <c r="O16" s="1">
        <v>595217.0</v>
      </c>
      <c r="P16" s="1">
        <v>598143.0</v>
      </c>
      <c r="Q16" s="1">
        <v>601084.0</v>
      </c>
      <c r="R16" s="1">
        <v>604039.0</v>
      </c>
      <c r="S16" s="1">
        <v>607008.0</v>
      </c>
      <c r="T16" s="1">
        <v>609992.0</v>
      </c>
      <c r="U16" s="1">
        <v>612991.0</v>
      </c>
      <c r="V16" s="1">
        <v>616004.0</v>
      </c>
      <c r="W16" s="1">
        <v>619033.0</v>
      </c>
      <c r="X16" s="1">
        <v>622076.0</v>
      </c>
      <c r="Y16" s="1">
        <v>625134.0</v>
      </c>
      <c r="Z16" s="1">
        <v>628207.0</v>
      </c>
      <c r="AA16" s="1">
        <v>631295.0</v>
      </c>
      <c r="AB16" s="1">
        <v>634399.0</v>
      </c>
      <c r="AC16" s="1">
        <v>637517.0</v>
      </c>
      <c r="AD16" s="1">
        <v>640651.0</v>
      </c>
      <c r="AE16" s="1">
        <v>643801.0</v>
      </c>
      <c r="AF16" s="1">
        <v>646966.0</v>
      </c>
      <c r="AG16" s="1">
        <v>650146.0</v>
      </c>
      <c r="AH16" s="1">
        <v>653342.0</v>
      </c>
      <c r="AI16" s="1">
        <v>656554.0</v>
      </c>
      <c r="AJ16" s="1">
        <v>659782.0</v>
      </c>
      <c r="AK16" s="1">
        <v>663025.0</v>
      </c>
      <c r="AL16" s="1">
        <v>666285.0</v>
      </c>
      <c r="AM16" s="1">
        <v>669560.0</v>
      </c>
      <c r="AN16" s="1">
        <v>672852.0</v>
      </c>
      <c r="AO16" s="1">
        <v>676160.0</v>
      </c>
      <c r="AP16" s="1">
        <v>679484.0</v>
      </c>
      <c r="AQ16" s="1">
        <v>682824.0</v>
      </c>
      <c r="AR16" s="1">
        <v>686181.0</v>
      </c>
      <c r="AS16" s="1">
        <v>689554.0</v>
      </c>
      <c r="AT16" s="1">
        <v>692944.0</v>
      </c>
      <c r="AU16" s="1">
        <v>696350.0</v>
      </c>
      <c r="AV16" s="1">
        <v>699774.0</v>
      </c>
      <c r="AW16" s="1">
        <v>703214.0</v>
      </c>
      <c r="AX16" s="1">
        <v>706671.0</v>
      </c>
      <c r="AY16" s="1">
        <v>710145.0</v>
      </c>
      <c r="AZ16" s="1">
        <v>713636.0</v>
      </c>
      <c r="BA16" s="1">
        <v>717144.0</v>
      </c>
      <c r="BB16" s="1">
        <v>720669.0</v>
      </c>
      <c r="BC16" s="1">
        <v>724212.0</v>
      </c>
      <c r="BD16" s="1">
        <v>727772.0</v>
      </c>
      <c r="BE16" s="1">
        <v>731350.0</v>
      </c>
      <c r="BF16" s="1">
        <v>734946.0</v>
      </c>
      <c r="BG16" s="1">
        <v>738558.0</v>
      </c>
      <c r="BH16" s="1">
        <v>742189.0</v>
      </c>
      <c r="BI16" s="1">
        <v>745838.0</v>
      </c>
      <c r="BJ16" s="1">
        <v>749504.0</v>
      </c>
      <c r="BK16" s="1">
        <v>753189.0</v>
      </c>
      <c r="BL16" s="1">
        <v>756892.0</v>
      </c>
      <c r="BM16" s="1">
        <v>760613.0</v>
      </c>
      <c r="BN16" s="1">
        <v>764352.0</v>
      </c>
      <c r="BO16" s="1">
        <v>768109.0</v>
      </c>
      <c r="BP16" s="1">
        <v>771885.0</v>
      </c>
      <c r="BQ16" s="1">
        <v>775680.0</v>
      </c>
      <c r="BR16" s="1">
        <v>779493.0</v>
      </c>
      <c r="BS16" s="1">
        <v>783325.0</v>
      </c>
      <c r="BT16" s="1">
        <v>787176.0</v>
      </c>
      <c r="BU16" s="1">
        <v>791046.0</v>
      </c>
      <c r="BV16" s="1">
        <v>4.3558673E7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23" t="s">
        <v>24</v>
      </c>
    </row>
    <row r="2">
      <c r="A2" s="1" t="s">
        <v>179</v>
      </c>
    </row>
    <row r="3">
      <c r="A3" s="1" t="s">
        <v>180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25000.0</v>
      </c>
      <c r="J6" s="1">
        <v>25049.0</v>
      </c>
      <c r="K6" s="1">
        <v>25098.0</v>
      </c>
      <c r="L6" s="1">
        <v>25147.0</v>
      </c>
      <c r="M6" s="1">
        <v>25196.0</v>
      </c>
      <c r="N6" s="1">
        <v>25245.0</v>
      </c>
      <c r="O6" s="1">
        <v>25294.0</v>
      </c>
      <c r="P6" s="1">
        <v>25344.0</v>
      </c>
      <c r="Q6" s="1">
        <v>25393.0</v>
      </c>
      <c r="R6" s="1">
        <v>25443.0</v>
      </c>
      <c r="S6" s="1">
        <v>25492.0</v>
      </c>
      <c r="T6" s="1">
        <v>25542.0</v>
      </c>
      <c r="U6" s="1">
        <v>25592.0</v>
      </c>
      <c r="V6" s="1">
        <v>25642.0</v>
      </c>
      <c r="W6" s="1">
        <v>25692.0</v>
      </c>
      <c r="X6" s="1">
        <v>25742.0</v>
      </c>
      <c r="Y6" s="1">
        <v>25792.0</v>
      </c>
      <c r="Z6" s="1">
        <v>25843.0</v>
      </c>
      <c r="AA6" s="1">
        <v>25893.0</v>
      </c>
      <c r="AB6" s="1">
        <v>25944.0</v>
      </c>
      <c r="AC6" s="1">
        <v>25994.0</v>
      </c>
      <c r="AD6" s="1">
        <v>26045.0</v>
      </c>
      <c r="AE6" s="1">
        <v>26096.0</v>
      </c>
      <c r="AF6" s="1">
        <v>26147.0</v>
      </c>
      <c r="AG6" s="1">
        <v>26198.0</v>
      </c>
      <c r="AH6" s="1">
        <v>26249.0</v>
      </c>
      <c r="AI6" s="1">
        <v>26300.0</v>
      </c>
      <c r="AJ6" s="1">
        <v>26352.0</v>
      </c>
      <c r="AK6" s="1">
        <v>26403.0</v>
      </c>
      <c r="AL6" s="1">
        <v>26455.0</v>
      </c>
      <c r="AM6" s="1">
        <v>26506.0</v>
      </c>
      <c r="AN6" s="1">
        <v>26558.0</v>
      </c>
      <c r="AO6" s="1">
        <v>26610.0</v>
      </c>
      <c r="AP6" s="1">
        <v>26662.0</v>
      </c>
      <c r="AQ6" s="1">
        <v>26714.0</v>
      </c>
      <c r="AR6" s="1">
        <v>26766.0</v>
      </c>
      <c r="AS6" s="1">
        <v>26818.0</v>
      </c>
      <c r="AT6" s="1">
        <v>26871.0</v>
      </c>
      <c r="AU6" s="1">
        <v>26923.0</v>
      </c>
      <c r="AV6" s="1">
        <v>26976.0</v>
      </c>
      <c r="AW6" s="1">
        <v>27028.0</v>
      </c>
      <c r="AX6" s="1">
        <v>27081.0</v>
      </c>
      <c r="AY6" s="1">
        <v>27134.0</v>
      </c>
      <c r="AZ6" s="1">
        <v>27187.0</v>
      </c>
      <c r="BA6" s="1">
        <v>27240.0</v>
      </c>
      <c r="BB6" s="1">
        <v>27293.0</v>
      </c>
      <c r="BC6" s="1">
        <v>27346.0</v>
      </c>
      <c r="BD6" s="1">
        <v>27400.0</v>
      </c>
      <c r="BE6" s="1">
        <v>27453.0</v>
      </c>
      <c r="BF6" s="1">
        <v>27507.0</v>
      </c>
      <c r="BG6" s="1">
        <v>27560.0</v>
      </c>
      <c r="BH6" s="1">
        <v>27614.0</v>
      </c>
      <c r="BI6" s="1">
        <v>27668.0</v>
      </c>
      <c r="BJ6" s="1">
        <v>27722.0</v>
      </c>
      <c r="BK6" s="1">
        <v>27776.0</v>
      </c>
      <c r="BL6" s="1">
        <v>27830.0</v>
      </c>
      <c r="BM6" s="1">
        <v>27885.0</v>
      </c>
      <c r="BN6" s="1">
        <v>27939.0</v>
      </c>
      <c r="BO6" s="1">
        <v>27994.0</v>
      </c>
      <c r="BP6" s="1">
        <v>28048.0</v>
      </c>
      <c r="BQ6" s="1">
        <v>28103.0</v>
      </c>
      <c r="BR6" s="1">
        <v>28158.0</v>
      </c>
      <c r="BS6" s="1">
        <v>28213.0</v>
      </c>
      <c r="BT6" s="1">
        <v>28268.0</v>
      </c>
      <c r="BU6" s="1">
        <v>28323.0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150.0</v>
      </c>
      <c r="K7" s="1">
        <v>150.0</v>
      </c>
      <c r="L7" s="1">
        <v>151.0</v>
      </c>
      <c r="M7" s="1">
        <v>151.0</v>
      </c>
      <c r="N7" s="1">
        <v>151.0</v>
      </c>
      <c r="O7" s="1">
        <v>151.0</v>
      </c>
      <c r="P7" s="1">
        <v>152.0</v>
      </c>
      <c r="Q7" s="1">
        <v>152.0</v>
      </c>
      <c r="R7" s="1">
        <v>152.0</v>
      </c>
      <c r="S7" s="1">
        <v>153.0</v>
      </c>
      <c r="T7" s="1">
        <v>153.0</v>
      </c>
      <c r="U7" s="1">
        <v>153.0</v>
      </c>
      <c r="V7" s="1">
        <v>154.0</v>
      </c>
      <c r="W7" s="1">
        <v>154.0</v>
      </c>
      <c r="X7" s="1">
        <v>154.0</v>
      </c>
      <c r="Y7" s="1">
        <v>154.0</v>
      </c>
      <c r="Z7" s="1">
        <v>155.0</v>
      </c>
      <c r="AA7" s="1">
        <v>155.0</v>
      </c>
      <c r="AB7" s="1">
        <v>155.0</v>
      </c>
      <c r="AC7" s="1">
        <v>156.0</v>
      </c>
      <c r="AD7" s="1">
        <v>156.0</v>
      </c>
      <c r="AE7" s="1">
        <v>156.0</v>
      </c>
      <c r="AF7" s="1">
        <v>157.0</v>
      </c>
      <c r="AG7" s="1">
        <v>157.0</v>
      </c>
      <c r="AH7" s="1">
        <v>157.0</v>
      </c>
      <c r="AI7" s="1">
        <v>157.0</v>
      </c>
      <c r="AJ7" s="1">
        <v>158.0</v>
      </c>
      <c r="AK7" s="1">
        <v>158.0</v>
      </c>
      <c r="AL7" s="1">
        <v>158.0</v>
      </c>
      <c r="AM7" s="1">
        <v>159.0</v>
      </c>
      <c r="AN7" s="1">
        <v>159.0</v>
      </c>
      <c r="AO7" s="1">
        <v>159.0</v>
      </c>
      <c r="AP7" s="1">
        <v>160.0</v>
      </c>
      <c r="AQ7" s="1">
        <v>160.0</v>
      </c>
      <c r="AR7" s="1">
        <v>160.0</v>
      </c>
      <c r="AS7" s="1">
        <v>161.0</v>
      </c>
      <c r="AT7" s="1">
        <v>161.0</v>
      </c>
      <c r="AU7" s="1">
        <v>161.0</v>
      </c>
      <c r="AV7" s="1">
        <v>162.0</v>
      </c>
      <c r="AW7" s="1">
        <v>162.0</v>
      </c>
      <c r="AX7" s="1">
        <v>162.0</v>
      </c>
      <c r="AY7" s="1">
        <v>162.0</v>
      </c>
      <c r="AZ7" s="1">
        <v>163.0</v>
      </c>
      <c r="BA7" s="1">
        <v>163.0</v>
      </c>
      <c r="BB7" s="1">
        <v>163.0</v>
      </c>
      <c r="BC7" s="1">
        <v>164.0</v>
      </c>
      <c r="BD7" s="1">
        <v>164.0</v>
      </c>
      <c r="BE7" s="1">
        <v>164.0</v>
      </c>
      <c r="BF7" s="1">
        <v>165.0</v>
      </c>
      <c r="BG7" s="1">
        <v>165.0</v>
      </c>
      <c r="BH7" s="1">
        <v>165.0</v>
      </c>
      <c r="BI7" s="1">
        <v>166.0</v>
      </c>
      <c r="BJ7" s="1">
        <v>166.0</v>
      </c>
      <c r="BK7" s="1">
        <v>166.0</v>
      </c>
      <c r="BL7" s="1">
        <v>167.0</v>
      </c>
      <c r="BM7" s="1">
        <v>167.0</v>
      </c>
      <c r="BN7" s="1">
        <v>167.0</v>
      </c>
      <c r="BO7" s="1">
        <v>168.0</v>
      </c>
      <c r="BP7" s="1">
        <v>168.0</v>
      </c>
      <c r="BQ7" s="1">
        <v>168.0</v>
      </c>
      <c r="BR7" s="1">
        <v>169.0</v>
      </c>
      <c r="BS7" s="1">
        <v>169.0</v>
      </c>
      <c r="BT7" s="1">
        <v>169.0</v>
      </c>
      <c r="BU7" s="1">
        <v>170.0</v>
      </c>
      <c r="BV7" s="1">
        <v>10215.0</v>
      </c>
    </row>
    <row r="8">
      <c r="A8" s="1" t="s">
        <v>145</v>
      </c>
      <c r="B8" s="1">
        <v>1.2</v>
      </c>
      <c r="C8" s="1">
        <v>1.2</v>
      </c>
      <c r="D8" s="1">
        <v>1.2</v>
      </c>
      <c r="E8" s="1">
        <v>1.2</v>
      </c>
      <c r="F8" s="1">
        <v>1.2</v>
      </c>
      <c r="G8" s="1">
        <v>1.2</v>
      </c>
      <c r="H8" s="1">
        <v>1.2</v>
      </c>
      <c r="I8" s="1">
        <v>1.2</v>
      </c>
      <c r="J8" s="1">
        <v>1.2</v>
      </c>
      <c r="K8" s="1">
        <v>1.2</v>
      </c>
      <c r="L8" s="1">
        <v>1.2</v>
      </c>
      <c r="M8" s="1">
        <v>1.2</v>
      </c>
      <c r="N8" s="1">
        <v>1.2</v>
      </c>
      <c r="O8" s="1">
        <v>1.2</v>
      </c>
      <c r="P8" s="1">
        <v>1.2</v>
      </c>
      <c r="Q8" s="1">
        <v>1.2</v>
      </c>
      <c r="R8" s="1">
        <v>1.2</v>
      </c>
      <c r="S8" s="1">
        <v>1.2</v>
      </c>
      <c r="T8" s="1">
        <v>1.2</v>
      </c>
      <c r="U8" s="1">
        <v>1.2</v>
      </c>
      <c r="V8" s="1">
        <v>1.2</v>
      </c>
      <c r="W8" s="1">
        <v>1.2</v>
      </c>
      <c r="X8" s="1">
        <v>1.2</v>
      </c>
      <c r="Y8" s="1">
        <v>1.2</v>
      </c>
      <c r="Z8" s="1">
        <v>1.2</v>
      </c>
      <c r="AA8" s="1">
        <v>1.2</v>
      </c>
      <c r="AB8" s="1">
        <v>1.2</v>
      </c>
      <c r="AC8" s="1">
        <v>1.2</v>
      </c>
      <c r="AD8" s="1">
        <v>1.2</v>
      </c>
      <c r="AE8" s="1">
        <v>1.2</v>
      </c>
      <c r="AF8" s="1">
        <v>1.2</v>
      </c>
      <c r="AG8" s="1">
        <v>1.2</v>
      </c>
      <c r="AH8" s="1">
        <v>1.2</v>
      </c>
      <c r="AI8" s="1">
        <v>1.2</v>
      </c>
      <c r="AJ8" s="1">
        <v>1.2</v>
      </c>
      <c r="AK8" s="1">
        <v>1.2</v>
      </c>
      <c r="AL8" s="1">
        <v>1.2</v>
      </c>
      <c r="AM8" s="1">
        <v>1.2</v>
      </c>
      <c r="AN8" s="1">
        <v>1.2</v>
      </c>
      <c r="AO8" s="1">
        <v>1.2</v>
      </c>
      <c r="AP8" s="1">
        <v>1.2</v>
      </c>
      <c r="AQ8" s="1">
        <v>1.2</v>
      </c>
      <c r="AR8" s="1">
        <v>1.2</v>
      </c>
      <c r="AS8" s="1">
        <v>1.2</v>
      </c>
      <c r="AT8" s="1">
        <v>1.2</v>
      </c>
      <c r="AU8" s="1">
        <v>1.2</v>
      </c>
      <c r="AV8" s="1">
        <v>1.2</v>
      </c>
      <c r="AW8" s="1">
        <v>1.2</v>
      </c>
      <c r="AX8" s="1">
        <v>1.2</v>
      </c>
      <c r="AY8" s="1">
        <v>1.2</v>
      </c>
      <c r="AZ8" s="1">
        <v>1.2</v>
      </c>
      <c r="BA8" s="1">
        <v>1.2</v>
      </c>
      <c r="BB8" s="1">
        <v>1.2</v>
      </c>
      <c r="BC8" s="1">
        <v>1.2</v>
      </c>
      <c r="BD8" s="1">
        <v>1.2</v>
      </c>
      <c r="BE8" s="1">
        <v>1.2</v>
      </c>
      <c r="BF8" s="1">
        <v>1.2</v>
      </c>
      <c r="BG8" s="1">
        <v>1.2</v>
      </c>
      <c r="BH8" s="1">
        <v>1.2</v>
      </c>
      <c r="BI8" s="1">
        <v>1.2</v>
      </c>
      <c r="BJ8" s="1">
        <v>1.2</v>
      </c>
      <c r="BK8" s="1">
        <v>1.2</v>
      </c>
      <c r="BL8" s="1">
        <v>1.2</v>
      </c>
      <c r="BM8" s="1">
        <v>1.2</v>
      </c>
      <c r="BN8" s="1">
        <v>1.2</v>
      </c>
      <c r="BO8" s="1">
        <v>1.2</v>
      </c>
      <c r="BP8" s="1">
        <v>1.2</v>
      </c>
      <c r="BQ8" s="1">
        <v>1.2</v>
      </c>
      <c r="BR8" s="1">
        <v>1.2</v>
      </c>
      <c r="BS8" s="1">
        <v>1.2</v>
      </c>
      <c r="BT8" s="1">
        <v>1.2</v>
      </c>
      <c r="BU8" s="1">
        <v>1.2</v>
      </c>
    </row>
    <row r="9">
      <c r="A9" s="1" t="s">
        <v>146</v>
      </c>
      <c r="B9" s="1">
        <v>70.0</v>
      </c>
      <c r="C9" s="1">
        <v>70.0</v>
      </c>
      <c r="D9" s="1">
        <v>70.0</v>
      </c>
      <c r="E9" s="1">
        <v>70.0</v>
      </c>
      <c r="F9" s="1">
        <v>70.0</v>
      </c>
      <c r="G9" s="1">
        <v>70.0</v>
      </c>
      <c r="H9" s="1">
        <v>70.0</v>
      </c>
      <c r="I9" s="1">
        <v>70.0</v>
      </c>
      <c r="J9" s="1">
        <v>70.0</v>
      </c>
      <c r="K9" s="1">
        <v>70.0</v>
      </c>
      <c r="L9" s="1">
        <v>70.0</v>
      </c>
      <c r="M9" s="1">
        <v>70.0</v>
      </c>
      <c r="N9" s="1">
        <v>70.0</v>
      </c>
      <c r="O9" s="1">
        <v>70.0</v>
      </c>
      <c r="P9" s="1">
        <v>70.0</v>
      </c>
      <c r="Q9" s="1">
        <v>70.0</v>
      </c>
      <c r="R9" s="1">
        <v>70.0</v>
      </c>
      <c r="S9" s="1">
        <v>70.0</v>
      </c>
      <c r="T9" s="1">
        <v>70.0</v>
      </c>
      <c r="U9" s="1">
        <v>70.0</v>
      </c>
      <c r="V9" s="1">
        <v>70.0</v>
      </c>
      <c r="W9" s="1">
        <v>70.0</v>
      </c>
      <c r="X9" s="1">
        <v>70.0</v>
      </c>
      <c r="Y9" s="1">
        <v>70.0</v>
      </c>
      <c r="Z9" s="1">
        <v>70.0</v>
      </c>
      <c r="AA9" s="1">
        <v>70.0</v>
      </c>
      <c r="AB9" s="1">
        <v>70.0</v>
      </c>
      <c r="AC9" s="1">
        <v>70.0</v>
      </c>
      <c r="AD9" s="1">
        <v>70.0</v>
      </c>
      <c r="AE9" s="1">
        <v>70.0</v>
      </c>
      <c r="AF9" s="1">
        <v>70.0</v>
      </c>
      <c r="AG9" s="1">
        <v>70.0</v>
      </c>
      <c r="AH9" s="1">
        <v>70.0</v>
      </c>
      <c r="AI9" s="1">
        <v>70.0</v>
      </c>
      <c r="AJ9" s="1">
        <v>70.0</v>
      </c>
      <c r="AK9" s="1">
        <v>70.0</v>
      </c>
      <c r="AL9" s="1">
        <v>70.0</v>
      </c>
      <c r="AM9" s="1">
        <v>70.0</v>
      </c>
      <c r="AN9" s="1">
        <v>70.0</v>
      </c>
      <c r="AO9" s="1">
        <v>70.0</v>
      </c>
      <c r="AP9" s="1">
        <v>70.0</v>
      </c>
      <c r="AQ9" s="1">
        <v>70.0</v>
      </c>
      <c r="AR9" s="1">
        <v>70.0</v>
      </c>
      <c r="AS9" s="1">
        <v>70.0</v>
      </c>
      <c r="AT9" s="1">
        <v>70.0</v>
      </c>
      <c r="AU9" s="1">
        <v>70.0</v>
      </c>
      <c r="AV9" s="1">
        <v>70.0</v>
      </c>
      <c r="AW9" s="1">
        <v>70.0</v>
      </c>
      <c r="AX9" s="1">
        <v>70.0</v>
      </c>
      <c r="AY9" s="1">
        <v>70.0</v>
      </c>
      <c r="AZ9" s="1">
        <v>70.0</v>
      </c>
      <c r="BA9" s="1">
        <v>70.0</v>
      </c>
      <c r="BB9" s="1">
        <v>70.0</v>
      </c>
      <c r="BC9" s="1">
        <v>70.0</v>
      </c>
      <c r="BD9" s="1">
        <v>70.0</v>
      </c>
      <c r="BE9" s="1">
        <v>70.0</v>
      </c>
      <c r="BF9" s="1">
        <v>70.0</v>
      </c>
      <c r="BG9" s="1">
        <v>70.0</v>
      </c>
      <c r="BH9" s="1">
        <v>70.0</v>
      </c>
      <c r="BI9" s="1">
        <v>70.0</v>
      </c>
      <c r="BJ9" s="1">
        <v>70.0</v>
      </c>
      <c r="BK9" s="1">
        <v>70.0</v>
      </c>
      <c r="BL9" s="1">
        <v>70.0</v>
      </c>
      <c r="BM9" s="1">
        <v>70.0</v>
      </c>
      <c r="BN9" s="1">
        <v>70.0</v>
      </c>
      <c r="BO9" s="1">
        <v>70.0</v>
      </c>
      <c r="BP9" s="1">
        <v>70.0</v>
      </c>
      <c r="BQ9" s="1">
        <v>70.0</v>
      </c>
      <c r="BR9" s="1">
        <v>70.0</v>
      </c>
      <c r="BS9" s="1">
        <v>70.0</v>
      </c>
      <c r="BT9" s="1">
        <v>70.0</v>
      </c>
      <c r="BU9" s="1">
        <v>70.0</v>
      </c>
      <c r="BV9" s="1" t="s">
        <v>181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300.0</v>
      </c>
      <c r="J11" s="1">
        <v>301.0</v>
      </c>
      <c r="K11" s="1">
        <v>301.0</v>
      </c>
      <c r="L11" s="1">
        <v>302.0</v>
      </c>
      <c r="M11" s="1">
        <v>302.0</v>
      </c>
      <c r="N11" s="1">
        <v>303.0</v>
      </c>
      <c r="O11" s="1">
        <v>304.0</v>
      </c>
      <c r="P11" s="1">
        <v>304.0</v>
      </c>
      <c r="Q11" s="1">
        <v>305.0</v>
      </c>
      <c r="R11" s="1">
        <v>305.0</v>
      </c>
      <c r="S11" s="1">
        <v>306.0</v>
      </c>
      <c r="T11" s="1">
        <v>307.0</v>
      </c>
      <c r="U11" s="1">
        <v>307.0</v>
      </c>
      <c r="V11" s="1">
        <v>308.0</v>
      </c>
      <c r="W11" s="1">
        <v>308.0</v>
      </c>
      <c r="X11" s="1">
        <v>309.0</v>
      </c>
      <c r="Y11" s="1">
        <v>310.0</v>
      </c>
      <c r="Z11" s="1">
        <v>310.0</v>
      </c>
      <c r="AA11" s="1">
        <v>311.0</v>
      </c>
      <c r="AB11" s="1">
        <v>311.0</v>
      </c>
      <c r="AC11" s="1">
        <v>312.0</v>
      </c>
      <c r="AD11" s="1">
        <v>313.0</v>
      </c>
      <c r="AE11" s="1">
        <v>313.0</v>
      </c>
      <c r="AF11" s="1">
        <v>314.0</v>
      </c>
      <c r="AG11" s="1">
        <v>314.0</v>
      </c>
      <c r="AH11" s="1">
        <v>315.0</v>
      </c>
      <c r="AI11" s="1">
        <v>316.0</v>
      </c>
      <c r="AJ11" s="1">
        <v>316.0</v>
      </c>
      <c r="AK11" s="1">
        <v>317.0</v>
      </c>
      <c r="AL11" s="1">
        <v>317.0</v>
      </c>
      <c r="AM11" s="1">
        <v>318.0</v>
      </c>
      <c r="AN11" s="1">
        <v>319.0</v>
      </c>
      <c r="AO11" s="1">
        <v>319.0</v>
      </c>
      <c r="AP11" s="1">
        <v>320.0</v>
      </c>
      <c r="AQ11" s="1">
        <v>321.0</v>
      </c>
      <c r="AR11" s="1">
        <v>321.0</v>
      </c>
      <c r="AS11" s="1">
        <v>322.0</v>
      </c>
      <c r="AT11" s="1">
        <v>322.0</v>
      </c>
      <c r="AU11" s="1">
        <v>323.0</v>
      </c>
      <c r="AV11" s="1">
        <v>324.0</v>
      </c>
      <c r="AW11" s="1">
        <v>324.0</v>
      </c>
      <c r="AX11" s="1">
        <v>325.0</v>
      </c>
      <c r="AY11" s="1">
        <v>326.0</v>
      </c>
      <c r="AZ11" s="1">
        <v>326.0</v>
      </c>
      <c r="BA11" s="1">
        <v>327.0</v>
      </c>
      <c r="BB11" s="1">
        <v>328.0</v>
      </c>
      <c r="BC11" s="1">
        <v>328.0</v>
      </c>
      <c r="BD11" s="1">
        <v>329.0</v>
      </c>
      <c r="BE11" s="1">
        <v>329.0</v>
      </c>
      <c r="BF11" s="1">
        <v>330.0</v>
      </c>
      <c r="BG11" s="1">
        <v>331.0</v>
      </c>
      <c r="BH11" s="1">
        <v>331.0</v>
      </c>
      <c r="BI11" s="1">
        <v>332.0</v>
      </c>
      <c r="BJ11" s="1">
        <v>333.0</v>
      </c>
      <c r="BK11" s="1">
        <v>333.0</v>
      </c>
      <c r="BL11" s="1">
        <v>334.0</v>
      </c>
      <c r="BM11" s="1">
        <v>335.0</v>
      </c>
      <c r="BN11" s="1">
        <v>335.0</v>
      </c>
      <c r="BO11" s="1">
        <v>336.0</v>
      </c>
      <c r="BP11" s="1">
        <v>337.0</v>
      </c>
      <c r="BQ11" s="1">
        <v>337.0</v>
      </c>
      <c r="BR11" s="1">
        <v>338.0</v>
      </c>
      <c r="BS11" s="1">
        <v>339.0</v>
      </c>
      <c r="BT11" s="1">
        <v>339.0</v>
      </c>
      <c r="BU11" s="1">
        <v>340.0</v>
      </c>
      <c r="BV11" s="1">
        <v>20770.0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21000.0</v>
      </c>
      <c r="J12" s="1">
        <v>21041.0</v>
      </c>
      <c r="K12" s="1">
        <v>21082.0</v>
      </c>
      <c r="L12" s="1">
        <v>21123.0</v>
      </c>
      <c r="M12" s="1">
        <v>21164.0</v>
      </c>
      <c r="N12" s="1">
        <v>21206.0</v>
      </c>
      <c r="O12" s="1">
        <v>21247.0</v>
      </c>
      <c r="P12" s="1">
        <v>21289.0</v>
      </c>
      <c r="Q12" s="1">
        <v>21330.0</v>
      </c>
      <c r="R12" s="1">
        <v>21372.0</v>
      </c>
      <c r="S12" s="1">
        <v>21414.0</v>
      </c>
      <c r="T12" s="1">
        <v>21455.0</v>
      </c>
      <c r="U12" s="1">
        <v>21497.0</v>
      </c>
      <c r="V12" s="1">
        <v>21539.0</v>
      </c>
      <c r="W12" s="1">
        <v>21581.0</v>
      </c>
      <c r="X12" s="1">
        <v>21623.0</v>
      </c>
      <c r="Y12" s="1">
        <v>21666.0</v>
      </c>
      <c r="Z12" s="1">
        <v>21708.0</v>
      </c>
      <c r="AA12" s="1">
        <v>21750.0</v>
      </c>
      <c r="AB12" s="1">
        <v>21793.0</v>
      </c>
      <c r="AC12" s="1">
        <v>21835.0</v>
      </c>
      <c r="AD12" s="1">
        <v>21878.0</v>
      </c>
      <c r="AE12" s="1">
        <v>21921.0</v>
      </c>
      <c r="AF12" s="1">
        <v>21963.0</v>
      </c>
      <c r="AG12" s="1">
        <v>22006.0</v>
      </c>
      <c r="AH12" s="1">
        <v>22049.0</v>
      </c>
      <c r="AI12" s="1">
        <v>22092.0</v>
      </c>
      <c r="AJ12" s="1">
        <v>22135.0</v>
      </c>
      <c r="AK12" s="1">
        <v>22179.0</v>
      </c>
      <c r="AL12" s="1">
        <v>22222.0</v>
      </c>
      <c r="AM12" s="1">
        <v>22265.0</v>
      </c>
      <c r="AN12" s="1">
        <v>22309.0</v>
      </c>
      <c r="AO12" s="1">
        <v>22352.0</v>
      </c>
      <c r="AP12" s="1">
        <v>22396.0</v>
      </c>
      <c r="AQ12" s="1">
        <v>22440.0</v>
      </c>
      <c r="AR12" s="1">
        <v>22483.0</v>
      </c>
      <c r="AS12" s="1">
        <v>22527.0</v>
      </c>
      <c r="AT12" s="1">
        <v>22571.0</v>
      </c>
      <c r="AU12" s="1">
        <v>22615.0</v>
      </c>
      <c r="AV12" s="1">
        <v>22659.0</v>
      </c>
      <c r="AW12" s="1">
        <v>22704.0</v>
      </c>
      <c r="AX12" s="1">
        <v>22748.0</v>
      </c>
      <c r="AY12" s="1">
        <v>22792.0</v>
      </c>
      <c r="AZ12" s="1">
        <v>22837.0</v>
      </c>
      <c r="BA12" s="1">
        <v>22881.0</v>
      </c>
      <c r="BB12" s="1">
        <v>22926.0</v>
      </c>
      <c r="BC12" s="1">
        <v>22971.0</v>
      </c>
      <c r="BD12" s="1">
        <v>23016.0</v>
      </c>
      <c r="BE12" s="1">
        <v>23061.0</v>
      </c>
      <c r="BF12" s="1">
        <v>23106.0</v>
      </c>
      <c r="BG12" s="1">
        <v>23151.0</v>
      </c>
      <c r="BH12" s="1">
        <v>23196.0</v>
      </c>
      <c r="BI12" s="1">
        <v>23241.0</v>
      </c>
      <c r="BJ12" s="1">
        <v>23287.0</v>
      </c>
      <c r="BK12" s="1">
        <v>23332.0</v>
      </c>
      <c r="BL12" s="1">
        <v>23378.0</v>
      </c>
      <c r="BM12" s="1">
        <v>23423.0</v>
      </c>
      <c r="BN12" s="1">
        <v>23469.0</v>
      </c>
      <c r="BO12" s="1">
        <v>23515.0</v>
      </c>
      <c r="BP12" s="1">
        <v>23561.0</v>
      </c>
      <c r="BQ12" s="1">
        <v>23607.0</v>
      </c>
      <c r="BR12" s="1">
        <v>23653.0</v>
      </c>
      <c r="BS12" s="1">
        <v>23699.0</v>
      </c>
      <c r="BT12" s="1">
        <v>23745.0</v>
      </c>
      <c r="BU12" s="1">
        <v>23792.0</v>
      </c>
      <c r="BV12" s="1">
        <v>1453867.0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6300.0</v>
      </c>
      <c r="J13" s="1">
        <v>6312.0</v>
      </c>
      <c r="K13" s="1">
        <v>6325.0</v>
      </c>
      <c r="L13" s="1">
        <v>6337.0</v>
      </c>
      <c r="M13" s="1">
        <v>6349.0</v>
      </c>
      <c r="N13" s="1">
        <v>6362.0</v>
      </c>
      <c r="O13" s="1">
        <v>6374.0</v>
      </c>
      <c r="P13" s="1">
        <v>6387.0</v>
      </c>
      <c r="Q13" s="1">
        <v>6399.0</v>
      </c>
      <c r="R13" s="1">
        <v>6412.0</v>
      </c>
      <c r="S13" s="1">
        <v>6424.0</v>
      </c>
      <c r="T13" s="1">
        <v>6437.0</v>
      </c>
      <c r="U13" s="1">
        <v>6449.0</v>
      </c>
      <c r="V13" s="1">
        <v>6462.0</v>
      </c>
      <c r="W13" s="1">
        <v>6474.0</v>
      </c>
      <c r="X13" s="1">
        <v>6487.0</v>
      </c>
      <c r="Y13" s="1">
        <v>6500.0</v>
      </c>
      <c r="Z13" s="1">
        <v>6512.0</v>
      </c>
      <c r="AA13" s="1">
        <v>6525.0</v>
      </c>
      <c r="AB13" s="1">
        <v>6538.0</v>
      </c>
      <c r="AC13" s="1">
        <v>6551.0</v>
      </c>
      <c r="AD13" s="1">
        <v>6563.0</v>
      </c>
      <c r="AE13" s="1">
        <v>6576.0</v>
      </c>
      <c r="AF13" s="1">
        <v>6589.0</v>
      </c>
      <c r="AG13" s="1">
        <v>6602.0</v>
      </c>
      <c r="AH13" s="1">
        <v>6615.0</v>
      </c>
      <c r="AI13" s="1">
        <v>6628.0</v>
      </c>
      <c r="AJ13" s="1">
        <v>6641.0</v>
      </c>
      <c r="AK13" s="1">
        <v>6654.0</v>
      </c>
      <c r="AL13" s="1">
        <v>6667.0</v>
      </c>
      <c r="AM13" s="1">
        <v>6680.0</v>
      </c>
      <c r="AN13" s="1">
        <v>6693.0</v>
      </c>
      <c r="AO13" s="1">
        <v>6706.0</v>
      </c>
      <c r="AP13" s="1">
        <v>6719.0</v>
      </c>
      <c r="AQ13" s="1">
        <v>6732.0</v>
      </c>
      <c r="AR13" s="1">
        <v>6745.0</v>
      </c>
      <c r="AS13" s="1">
        <v>6758.0</v>
      </c>
      <c r="AT13" s="1">
        <v>6771.0</v>
      </c>
      <c r="AU13" s="1">
        <v>6785.0</v>
      </c>
      <c r="AV13" s="1">
        <v>6798.0</v>
      </c>
      <c r="AW13" s="1">
        <v>6811.0</v>
      </c>
      <c r="AX13" s="1">
        <v>6824.0</v>
      </c>
      <c r="AY13" s="1">
        <v>6838.0</v>
      </c>
      <c r="AZ13" s="1">
        <v>6851.0</v>
      </c>
      <c r="BA13" s="1">
        <v>6864.0</v>
      </c>
      <c r="BB13" s="1">
        <v>6878.0</v>
      </c>
      <c r="BC13" s="1">
        <v>6891.0</v>
      </c>
      <c r="BD13" s="1">
        <v>6905.0</v>
      </c>
      <c r="BE13" s="1">
        <v>6918.0</v>
      </c>
      <c r="BF13" s="1">
        <v>6932.0</v>
      </c>
      <c r="BG13" s="1">
        <v>6945.0</v>
      </c>
      <c r="BH13" s="1">
        <v>6959.0</v>
      </c>
      <c r="BI13" s="1">
        <v>6972.0</v>
      </c>
      <c r="BJ13" s="1">
        <v>6986.0</v>
      </c>
      <c r="BK13" s="1">
        <v>7000.0</v>
      </c>
      <c r="BL13" s="1">
        <v>7013.0</v>
      </c>
      <c r="BM13" s="1">
        <v>7027.0</v>
      </c>
      <c r="BN13" s="1">
        <v>7041.0</v>
      </c>
      <c r="BO13" s="1">
        <v>7054.0</v>
      </c>
      <c r="BP13" s="1">
        <v>7068.0</v>
      </c>
      <c r="BQ13" s="1">
        <v>7082.0</v>
      </c>
      <c r="BR13" s="1">
        <v>7096.0</v>
      </c>
      <c r="BS13" s="1">
        <v>7110.0</v>
      </c>
      <c r="BT13" s="1">
        <v>7124.0</v>
      </c>
      <c r="BU13" s="1">
        <v>7137.0</v>
      </c>
      <c r="BV13" s="1">
        <v>436160.0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6300.0</v>
      </c>
      <c r="J15" s="1">
        <v>6312.0</v>
      </c>
      <c r="K15" s="1">
        <v>6325.0</v>
      </c>
      <c r="L15" s="1">
        <v>6337.0</v>
      </c>
      <c r="M15" s="1">
        <v>6349.0</v>
      </c>
      <c r="N15" s="1">
        <v>6362.0</v>
      </c>
      <c r="O15" s="1">
        <v>6374.0</v>
      </c>
      <c r="P15" s="1">
        <v>6387.0</v>
      </c>
      <c r="Q15" s="1">
        <v>6399.0</v>
      </c>
      <c r="R15" s="1">
        <v>6412.0</v>
      </c>
      <c r="S15" s="1">
        <v>6424.0</v>
      </c>
      <c r="T15" s="1">
        <v>6437.0</v>
      </c>
      <c r="U15" s="1">
        <v>6449.0</v>
      </c>
      <c r="V15" s="1">
        <v>6462.0</v>
      </c>
      <c r="W15" s="1">
        <v>6474.0</v>
      </c>
      <c r="X15" s="1">
        <v>6487.0</v>
      </c>
      <c r="Y15" s="1">
        <v>6500.0</v>
      </c>
      <c r="Z15" s="1">
        <v>6512.0</v>
      </c>
      <c r="AA15" s="1">
        <v>6525.0</v>
      </c>
      <c r="AB15" s="1">
        <v>6538.0</v>
      </c>
      <c r="AC15" s="1">
        <v>6551.0</v>
      </c>
      <c r="AD15" s="1">
        <v>6563.0</v>
      </c>
      <c r="AE15" s="1">
        <v>6576.0</v>
      </c>
      <c r="AF15" s="1">
        <v>6589.0</v>
      </c>
      <c r="AG15" s="1">
        <v>6602.0</v>
      </c>
      <c r="AH15" s="1">
        <v>6615.0</v>
      </c>
      <c r="AI15" s="1">
        <v>6628.0</v>
      </c>
      <c r="AJ15" s="1">
        <v>6641.0</v>
      </c>
      <c r="AK15" s="1">
        <v>6654.0</v>
      </c>
      <c r="AL15" s="1">
        <v>6667.0</v>
      </c>
      <c r="AM15" s="1">
        <v>6680.0</v>
      </c>
      <c r="AN15" s="1">
        <v>6693.0</v>
      </c>
      <c r="AO15" s="1">
        <v>6706.0</v>
      </c>
      <c r="AP15" s="1">
        <v>6719.0</v>
      </c>
      <c r="AQ15" s="1">
        <v>6732.0</v>
      </c>
      <c r="AR15" s="1">
        <v>6745.0</v>
      </c>
      <c r="AS15" s="1">
        <v>6758.0</v>
      </c>
      <c r="AT15" s="1">
        <v>6771.0</v>
      </c>
      <c r="AU15" s="1">
        <v>6785.0</v>
      </c>
      <c r="AV15" s="1">
        <v>6798.0</v>
      </c>
      <c r="AW15" s="1">
        <v>6811.0</v>
      </c>
      <c r="AX15" s="1">
        <v>6824.0</v>
      </c>
      <c r="AY15" s="1">
        <v>6838.0</v>
      </c>
      <c r="AZ15" s="1">
        <v>6851.0</v>
      </c>
      <c r="BA15" s="1">
        <v>6864.0</v>
      </c>
      <c r="BB15" s="1">
        <v>6878.0</v>
      </c>
      <c r="BC15" s="1">
        <v>6891.0</v>
      </c>
      <c r="BD15" s="1">
        <v>6905.0</v>
      </c>
      <c r="BE15" s="1">
        <v>6918.0</v>
      </c>
      <c r="BF15" s="1">
        <v>6932.0</v>
      </c>
      <c r="BG15" s="1">
        <v>6945.0</v>
      </c>
      <c r="BH15" s="1">
        <v>6959.0</v>
      </c>
      <c r="BI15" s="1">
        <v>6972.0</v>
      </c>
      <c r="BJ15" s="1">
        <v>6986.0</v>
      </c>
      <c r="BK15" s="1">
        <v>7000.0</v>
      </c>
      <c r="BL15" s="1">
        <v>7013.0</v>
      </c>
      <c r="BM15" s="1">
        <v>7027.0</v>
      </c>
      <c r="BN15" s="1">
        <v>7041.0</v>
      </c>
      <c r="BO15" s="1">
        <v>7054.0</v>
      </c>
      <c r="BP15" s="1">
        <v>7068.0</v>
      </c>
      <c r="BQ15" s="1">
        <v>7082.0</v>
      </c>
      <c r="BR15" s="1">
        <v>7096.0</v>
      </c>
      <c r="BS15" s="1">
        <v>7110.0</v>
      </c>
      <c r="BT15" s="1">
        <v>7124.0</v>
      </c>
      <c r="BU15" s="1">
        <v>7137.0</v>
      </c>
      <c r="BV15" s="1">
        <v>436160.0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14700.0</v>
      </c>
      <c r="J16" s="1">
        <v>14729.0</v>
      </c>
      <c r="K16" s="1">
        <v>14757.0</v>
      </c>
      <c r="L16" s="1">
        <v>14786.0</v>
      </c>
      <c r="M16" s="1">
        <v>14815.0</v>
      </c>
      <c r="N16" s="1">
        <v>14844.0</v>
      </c>
      <c r="O16" s="1">
        <v>14873.0</v>
      </c>
      <c r="P16" s="1">
        <v>14902.0</v>
      </c>
      <c r="Q16" s="1">
        <v>14931.0</v>
      </c>
      <c r="R16" s="1">
        <v>14960.0</v>
      </c>
      <c r="S16" s="1">
        <v>14989.0</v>
      </c>
      <c r="T16" s="1">
        <v>15019.0</v>
      </c>
      <c r="U16" s="1">
        <v>15048.0</v>
      </c>
      <c r="V16" s="1">
        <v>15077.0</v>
      </c>
      <c r="W16" s="1">
        <v>15107.0</v>
      </c>
      <c r="X16" s="1">
        <v>15136.0</v>
      </c>
      <c r="Y16" s="1">
        <v>15166.0</v>
      </c>
      <c r="Z16" s="1">
        <v>15195.0</v>
      </c>
      <c r="AA16" s="1">
        <v>15225.0</v>
      </c>
      <c r="AB16" s="1">
        <v>15255.0</v>
      </c>
      <c r="AC16" s="1">
        <v>15285.0</v>
      </c>
      <c r="AD16" s="1">
        <v>15314.0</v>
      </c>
      <c r="AE16" s="1">
        <v>15344.0</v>
      </c>
      <c r="AF16" s="1">
        <v>15374.0</v>
      </c>
      <c r="AG16" s="1">
        <v>15404.0</v>
      </c>
      <c r="AH16" s="1">
        <v>15434.0</v>
      </c>
      <c r="AI16" s="1">
        <v>15465.0</v>
      </c>
      <c r="AJ16" s="1">
        <v>15495.0</v>
      </c>
      <c r="AK16" s="1">
        <v>15525.0</v>
      </c>
      <c r="AL16" s="1">
        <v>15555.0</v>
      </c>
      <c r="AM16" s="1">
        <v>15586.0</v>
      </c>
      <c r="AN16" s="1">
        <v>15616.0</v>
      </c>
      <c r="AO16" s="1">
        <v>15647.0</v>
      </c>
      <c r="AP16" s="1">
        <v>15677.0</v>
      </c>
      <c r="AQ16" s="1">
        <v>15708.0</v>
      </c>
      <c r="AR16" s="1">
        <v>15738.0</v>
      </c>
      <c r="AS16" s="1">
        <v>15769.0</v>
      </c>
      <c r="AT16" s="1">
        <v>15800.0</v>
      </c>
      <c r="AU16" s="1">
        <v>15831.0</v>
      </c>
      <c r="AV16" s="1">
        <v>15862.0</v>
      </c>
      <c r="AW16" s="1">
        <v>15893.0</v>
      </c>
      <c r="AX16" s="1">
        <v>15924.0</v>
      </c>
      <c r="AY16" s="1">
        <v>15955.0</v>
      </c>
      <c r="AZ16" s="1">
        <v>15986.0</v>
      </c>
      <c r="BA16" s="1">
        <v>16017.0</v>
      </c>
      <c r="BB16" s="1">
        <v>16048.0</v>
      </c>
      <c r="BC16" s="1">
        <v>16080.0</v>
      </c>
      <c r="BD16" s="1">
        <v>16111.0</v>
      </c>
      <c r="BE16" s="1">
        <v>16142.0</v>
      </c>
      <c r="BF16" s="1">
        <v>16174.0</v>
      </c>
      <c r="BG16" s="1">
        <v>16206.0</v>
      </c>
      <c r="BH16" s="1">
        <v>16237.0</v>
      </c>
      <c r="BI16" s="1">
        <v>16269.0</v>
      </c>
      <c r="BJ16" s="1">
        <v>16301.0</v>
      </c>
      <c r="BK16" s="1">
        <v>16332.0</v>
      </c>
      <c r="BL16" s="1">
        <v>16364.0</v>
      </c>
      <c r="BM16" s="1">
        <v>16396.0</v>
      </c>
      <c r="BN16" s="1">
        <v>16428.0</v>
      </c>
      <c r="BO16" s="1">
        <v>16460.0</v>
      </c>
      <c r="BP16" s="1">
        <v>16492.0</v>
      </c>
      <c r="BQ16" s="1">
        <v>16525.0</v>
      </c>
      <c r="BR16" s="1">
        <v>16557.0</v>
      </c>
      <c r="BS16" s="1">
        <v>16589.0</v>
      </c>
      <c r="BT16" s="1">
        <v>16622.0</v>
      </c>
      <c r="BU16" s="1">
        <v>16654.0</v>
      </c>
      <c r="BV16" s="1">
        <v>1017707.0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182</v>
      </c>
    </row>
    <row r="2">
      <c r="A2" s="1" t="s">
        <v>183</v>
      </c>
    </row>
    <row r="3">
      <c r="A3" s="1" t="s">
        <v>180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10000.0</v>
      </c>
      <c r="I6" s="1">
        <v>10020.0</v>
      </c>
      <c r="J6" s="1">
        <v>10039.0</v>
      </c>
      <c r="K6" s="1">
        <v>10059.0</v>
      </c>
      <c r="L6" s="1">
        <v>10078.0</v>
      </c>
      <c r="M6" s="1">
        <v>10098.0</v>
      </c>
      <c r="N6" s="1">
        <v>10118.0</v>
      </c>
      <c r="O6" s="1">
        <v>10137.0</v>
      </c>
      <c r="P6" s="1">
        <v>10157.0</v>
      </c>
      <c r="Q6" s="1">
        <v>10177.0</v>
      </c>
      <c r="R6" s="1">
        <v>10197.0</v>
      </c>
      <c r="S6" s="1">
        <v>10217.0</v>
      </c>
      <c r="T6" s="1">
        <v>10237.0</v>
      </c>
      <c r="U6" s="1">
        <v>10257.0</v>
      </c>
      <c r="V6" s="1">
        <v>10277.0</v>
      </c>
      <c r="W6" s="1">
        <v>10297.0</v>
      </c>
      <c r="X6" s="1">
        <v>10317.0</v>
      </c>
      <c r="Y6" s="1">
        <v>10337.0</v>
      </c>
      <c r="Z6" s="1">
        <v>10357.0</v>
      </c>
      <c r="AA6" s="1">
        <v>10377.0</v>
      </c>
      <c r="AB6" s="1">
        <v>10398.0</v>
      </c>
      <c r="AC6" s="1">
        <v>10418.0</v>
      </c>
      <c r="AD6" s="1">
        <v>10438.0</v>
      </c>
      <c r="AE6" s="1">
        <v>10459.0</v>
      </c>
      <c r="AF6" s="1">
        <v>10479.0</v>
      </c>
      <c r="AG6" s="1">
        <v>10500.0</v>
      </c>
      <c r="AH6" s="1">
        <v>10520.0</v>
      </c>
      <c r="AI6" s="1">
        <v>10541.0</v>
      </c>
      <c r="AJ6" s="1">
        <v>10561.0</v>
      </c>
      <c r="AK6" s="1">
        <v>10582.0</v>
      </c>
      <c r="AL6" s="1">
        <v>10602.0</v>
      </c>
      <c r="AM6" s="1">
        <v>10623.0</v>
      </c>
      <c r="AN6" s="1">
        <v>10644.0</v>
      </c>
      <c r="AO6" s="1">
        <v>10665.0</v>
      </c>
      <c r="AP6" s="1">
        <v>10686.0</v>
      </c>
      <c r="AQ6" s="1">
        <v>10706.0</v>
      </c>
      <c r="AR6" s="1">
        <v>10727.0</v>
      </c>
      <c r="AS6" s="1">
        <v>10748.0</v>
      </c>
      <c r="AT6" s="1">
        <v>10769.0</v>
      </c>
      <c r="AU6" s="1">
        <v>10790.0</v>
      </c>
      <c r="AV6" s="1">
        <v>10811.0</v>
      </c>
      <c r="AW6" s="1">
        <v>10832.0</v>
      </c>
      <c r="AX6" s="1">
        <v>10854.0</v>
      </c>
      <c r="AY6" s="1">
        <v>10875.0</v>
      </c>
      <c r="AZ6" s="1">
        <v>10896.0</v>
      </c>
      <c r="BA6" s="1">
        <v>10917.0</v>
      </c>
      <c r="BB6" s="1">
        <v>10939.0</v>
      </c>
      <c r="BC6" s="1">
        <v>10960.0</v>
      </c>
      <c r="BD6" s="1">
        <v>10981.0</v>
      </c>
      <c r="BE6" s="1">
        <v>11003.0</v>
      </c>
      <c r="BF6" s="1">
        <v>11024.0</v>
      </c>
      <c r="BG6" s="1">
        <v>11046.0</v>
      </c>
      <c r="BH6" s="1">
        <v>11067.0</v>
      </c>
      <c r="BI6" s="1">
        <v>11089.0</v>
      </c>
      <c r="BJ6" s="1">
        <v>11110.0</v>
      </c>
      <c r="BK6" s="1">
        <v>11132.0</v>
      </c>
      <c r="BL6" s="1">
        <v>11154.0</v>
      </c>
      <c r="BM6" s="1">
        <v>11176.0</v>
      </c>
      <c r="BN6" s="1">
        <v>11198.0</v>
      </c>
      <c r="BO6" s="1">
        <v>11219.0</v>
      </c>
      <c r="BP6" s="1">
        <v>11241.0</v>
      </c>
      <c r="BQ6" s="1">
        <v>11263.0</v>
      </c>
      <c r="BR6" s="1">
        <v>11285.0</v>
      </c>
      <c r="BS6" s="1">
        <v>11307.0</v>
      </c>
      <c r="BT6" s="1">
        <v>11329.0</v>
      </c>
      <c r="BU6" s="1">
        <v>11351.0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60.0</v>
      </c>
      <c r="J7" s="1">
        <v>60.0</v>
      </c>
      <c r="K7" s="1">
        <v>60.0</v>
      </c>
      <c r="L7" s="1">
        <v>60.0</v>
      </c>
      <c r="M7" s="1">
        <v>60.0</v>
      </c>
      <c r="N7" s="1">
        <v>61.0</v>
      </c>
      <c r="O7" s="1">
        <v>61.0</v>
      </c>
      <c r="P7" s="1">
        <v>61.0</v>
      </c>
      <c r="Q7" s="1">
        <v>61.0</v>
      </c>
      <c r="R7" s="1">
        <v>61.0</v>
      </c>
      <c r="S7" s="1">
        <v>61.0</v>
      </c>
      <c r="T7" s="1">
        <v>61.0</v>
      </c>
      <c r="U7" s="1">
        <v>61.0</v>
      </c>
      <c r="V7" s="1">
        <v>62.0</v>
      </c>
      <c r="W7" s="1">
        <v>62.0</v>
      </c>
      <c r="X7" s="1">
        <v>62.0</v>
      </c>
      <c r="Y7" s="1">
        <v>62.0</v>
      </c>
      <c r="Z7" s="1">
        <v>62.0</v>
      </c>
      <c r="AA7" s="1">
        <v>62.0</v>
      </c>
      <c r="AB7" s="1">
        <v>62.0</v>
      </c>
      <c r="AC7" s="1">
        <v>62.0</v>
      </c>
      <c r="AD7" s="1">
        <v>63.0</v>
      </c>
      <c r="AE7" s="1">
        <v>63.0</v>
      </c>
      <c r="AF7" s="1">
        <v>63.0</v>
      </c>
      <c r="AG7" s="1">
        <v>63.0</v>
      </c>
      <c r="AH7" s="1">
        <v>63.0</v>
      </c>
      <c r="AI7" s="1">
        <v>63.0</v>
      </c>
      <c r="AJ7" s="1">
        <v>63.0</v>
      </c>
      <c r="AK7" s="1">
        <v>63.0</v>
      </c>
      <c r="AL7" s="1">
        <v>63.0</v>
      </c>
      <c r="AM7" s="1">
        <v>64.0</v>
      </c>
      <c r="AN7" s="1">
        <v>64.0</v>
      </c>
      <c r="AO7" s="1">
        <v>64.0</v>
      </c>
      <c r="AP7" s="1">
        <v>64.0</v>
      </c>
      <c r="AQ7" s="1">
        <v>64.0</v>
      </c>
      <c r="AR7" s="1">
        <v>64.0</v>
      </c>
      <c r="AS7" s="1">
        <v>64.0</v>
      </c>
      <c r="AT7" s="1">
        <v>64.0</v>
      </c>
      <c r="AU7" s="1">
        <v>65.0</v>
      </c>
      <c r="AV7" s="1">
        <v>65.0</v>
      </c>
      <c r="AW7" s="1">
        <v>65.0</v>
      </c>
      <c r="AX7" s="1">
        <v>65.0</v>
      </c>
      <c r="AY7" s="1">
        <v>65.0</v>
      </c>
      <c r="AZ7" s="1">
        <v>65.0</v>
      </c>
      <c r="BA7" s="1">
        <v>65.0</v>
      </c>
      <c r="BB7" s="1">
        <v>66.0</v>
      </c>
      <c r="BC7" s="1">
        <v>66.0</v>
      </c>
      <c r="BD7" s="1">
        <v>66.0</v>
      </c>
      <c r="BE7" s="1">
        <v>66.0</v>
      </c>
      <c r="BF7" s="1">
        <v>66.0</v>
      </c>
      <c r="BG7" s="1">
        <v>66.0</v>
      </c>
      <c r="BH7" s="1">
        <v>66.0</v>
      </c>
      <c r="BI7" s="1">
        <v>66.0</v>
      </c>
      <c r="BJ7" s="1">
        <v>67.0</v>
      </c>
      <c r="BK7" s="1">
        <v>67.0</v>
      </c>
      <c r="BL7" s="1">
        <v>67.0</v>
      </c>
      <c r="BM7" s="1">
        <v>67.0</v>
      </c>
      <c r="BN7" s="1">
        <v>67.0</v>
      </c>
      <c r="BO7" s="1">
        <v>67.0</v>
      </c>
      <c r="BP7" s="1">
        <v>67.0</v>
      </c>
      <c r="BQ7" s="1">
        <v>67.0</v>
      </c>
      <c r="BR7" s="1">
        <v>68.0</v>
      </c>
      <c r="BS7" s="1">
        <v>68.0</v>
      </c>
      <c r="BT7" s="1">
        <v>68.0</v>
      </c>
      <c r="BU7" s="1">
        <v>68.0</v>
      </c>
      <c r="BV7" s="1">
        <v>4154.0</v>
      </c>
    </row>
    <row r="8">
      <c r="A8" s="1" t="s">
        <v>145</v>
      </c>
      <c r="B8" s="1">
        <v>1.5</v>
      </c>
      <c r="C8" s="1">
        <v>1.5</v>
      </c>
      <c r="D8" s="1">
        <v>1.5</v>
      </c>
      <c r="E8" s="1">
        <v>1.5</v>
      </c>
      <c r="F8" s="1">
        <v>1.5</v>
      </c>
      <c r="G8" s="1">
        <v>1.5</v>
      </c>
      <c r="H8" s="1">
        <v>1.5</v>
      </c>
      <c r="I8" s="1">
        <v>1.5</v>
      </c>
      <c r="J8" s="1">
        <v>1.5</v>
      </c>
      <c r="K8" s="1">
        <v>1.5</v>
      </c>
      <c r="L8" s="1">
        <v>1.5</v>
      </c>
      <c r="M8" s="1">
        <v>1.5</v>
      </c>
      <c r="N8" s="1">
        <v>1.5</v>
      </c>
      <c r="O8" s="1">
        <v>1.5</v>
      </c>
      <c r="P8" s="1">
        <v>1.5</v>
      </c>
      <c r="Q8" s="1">
        <v>1.5</v>
      </c>
      <c r="R8" s="1">
        <v>1.5</v>
      </c>
      <c r="S8" s="1">
        <v>1.5</v>
      </c>
      <c r="T8" s="1">
        <v>1.5</v>
      </c>
      <c r="U8" s="1">
        <v>1.5</v>
      </c>
      <c r="V8" s="1">
        <v>1.5</v>
      </c>
      <c r="W8" s="1">
        <v>1.5</v>
      </c>
      <c r="X8" s="1">
        <v>1.5</v>
      </c>
      <c r="Y8" s="1">
        <v>1.5</v>
      </c>
      <c r="Z8" s="1">
        <v>1.5</v>
      </c>
      <c r="AA8" s="1">
        <v>1.5</v>
      </c>
      <c r="AB8" s="1">
        <v>1.5</v>
      </c>
      <c r="AC8" s="1">
        <v>1.5</v>
      </c>
      <c r="AD8" s="1">
        <v>1.5</v>
      </c>
      <c r="AE8" s="1">
        <v>1.5</v>
      </c>
      <c r="AF8" s="1">
        <v>1.5</v>
      </c>
      <c r="AG8" s="1">
        <v>1.5</v>
      </c>
      <c r="AH8" s="1">
        <v>1.5</v>
      </c>
      <c r="AI8" s="1">
        <v>1.5</v>
      </c>
      <c r="AJ8" s="1">
        <v>1.5</v>
      </c>
      <c r="AK8" s="1">
        <v>1.5</v>
      </c>
      <c r="AL8" s="1">
        <v>1.5</v>
      </c>
      <c r="AM8" s="1">
        <v>1.5</v>
      </c>
      <c r="AN8" s="1">
        <v>1.5</v>
      </c>
      <c r="AO8" s="1">
        <v>1.5</v>
      </c>
      <c r="AP8" s="1">
        <v>1.5</v>
      </c>
      <c r="AQ8" s="1">
        <v>1.5</v>
      </c>
      <c r="AR8" s="1">
        <v>1.5</v>
      </c>
      <c r="AS8" s="1">
        <v>1.5</v>
      </c>
      <c r="AT8" s="1">
        <v>1.5</v>
      </c>
      <c r="AU8" s="1">
        <v>1.5</v>
      </c>
      <c r="AV8" s="1">
        <v>1.5</v>
      </c>
      <c r="AW8" s="1">
        <v>1.5</v>
      </c>
      <c r="AX8" s="1">
        <v>1.5</v>
      </c>
      <c r="AY8" s="1">
        <v>1.5</v>
      </c>
      <c r="AZ8" s="1">
        <v>1.5</v>
      </c>
      <c r="BA8" s="1">
        <v>1.5</v>
      </c>
      <c r="BB8" s="1">
        <v>1.5</v>
      </c>
      <c r="BC8" s="1">
        <v>1.5</v>
      </c>
      <c r="BD8" s="1">
        <v>1.5</v>
      </c>
      <c r="BE8" s="1">
        <v>1.5</v>
      </c>
      <c r="BF8" s="1">
        <v>1.5</v>
      </c>
      <c r="BG8" s="1">
        <v>1.5</v>
      </c>
      <c r="BH8" s="1">
        <v>1.5</v>
      </c>
      <c r="BI8" s="1">
        <v>1.5</v>
      </c>
      <c r="BJ8" s="1">
        <v>1.5</v>
      </c>
      <c r="BK8" s="1">
        <v>1.5</v>
      </c>
      <c r="BL8" s="1">
        <v>1.5</v>
      </c>
      <c r="BM8" s="1">
        <v>1.5</v>
      </c>
      <c r="BN8" s="1">
        <v>1.5</v>
      </c>
      <c r="BO8" s="1">
        <v>1.5</v>
      </c>
      <c r="BP8" s="1">
        <v>1.5</v>
      </c>
      <c r="BQ8" s="1">
        <v>1.5</v>
      </c>
      <c r="BR8" s="1">
        <v>1.5</v>
      </c>
      <c r="BS8" s="1">
        <v>1.5</v>
      </c>
      <c r="BT8" s="1">
        <v>1.5</v>
      </c>
      <c r="BU8" s="1">
        <v>1.5</v>
      </c>
    </row>
    <row r="9">
      <c r="A9" s="1" t="s">
        <v>146</v>
      </c>
      <c r="B9" s="1">
        <v>45.0</v>
      </c>
      <c r="C9" s="1">
        <v>45.0</v>
      </c>
      <c r="D9" s="1">
        <v>45.0</v>
      </c>
      <c r="E9" s="1">
        <v>45.0</v>
      </c>
      <c r="F9" s="1">
        <v>45.0</v>
      </c>
      <c r="G9" s="1">
        <v>45.0</v>
      </c>
      <c r="H9" s="1">
        <v>45.0</v>
      </c>
      <c r="I9" s="1">
        <v>45.0</v>
      </c>
      <c r="J9" s="1">
        <v>45.0</v>
      </c>
      <c r="K9" s="1">
        <v>45.0</v>
      </c>
      <c r="L9" s="1">
        <v>45.0</v>
      </c>
      <c r="M9" s="1">
        <v>45.0</v>
      </c>
      <c r="N9" s="1">
        <v>45.0</v>
      </c>
      <c r="O9" s="1">
        <v>45.0</v>
      </c>
      <c r="P9" s="1">
        <v>45.0</v>
      </c>
      <c r="Q9" s="1">
        <v>45.0</v>
      </c>
      <c r="R9" s="1">
        <v>45.0</v>
      </c>
      <c r="S9" s="1">
        <v>45.0</v>
      </c>
      <c r="T9" s="1">
        <v>45.0</v>
      </c>
      <c r="U9" s="1">
        <v>45.0</v>
      </c>
      <c r="V9" s="1">
        <v>45.0</v>
      </c>
      <c r="W9" s="1">
        <v>45.0</v>
      </c>
      <c r="X9" s="1">
        <v>45.0</v>
      </c>
      <c r="Y9" s="1">
        <v>45.0</v>
      </c>
      <c r="Z9" s="1">
        <v>45.0</v>
      </c>
      <c r="AA9" s="1">
        <v>45.0</v>
      </c>
      <c r="AB9" s="1">
        <v>45.0</v>
      </c>
      <c r="AC9" s="1">
        <v>45.0</v>
      </c>
      <c r="AD9" s="1">
        <v>45.0</v>
      </c>
      <c r="AE9" s="1">
        <v>45.0</v>
      </c>
      <c r="AF9" s="1">
        <v>45.0</v>
      </c>
      <c r="AG9" s="1">
        <v>45.0</v>
      </c>
      <c r="AH9" s="1">
        <v>45.0</v>
      </c>
      <c r="AI9" s="1">
        <v>45.0</v>
      </c>
      <c r="AJ9" s="1">
        <v>45.0</v>
      </c>
      <c r="AK9" s="1">
        <v>45.0</v>
      </c>
      <c r="AL9" s="1">
        <v>45.0</v>
      </c>
      <c r="AM9" s="1">
        <v>45.0</v>
      </c>
      <c r="AN9" s="1">
        <v>45.0</v>
      </c>
      <c r="AO9" s="1">
        <v>45.0</v>
      </c>
      <c r="AP9" s="1">
        <v>45.0</v>
      </c>
      <c r="AQ9" s="1">
        <v>45.0</v>
      </c>
      <c r="AR9" s="1">
        <v>45.0</v>
      </c>
      <c r="AS9" s="1">
        <v>45.0</v>
      </c>
      <c r="AT9" s="1">
        <v>45.0</v>
      </c>
      <c r="AU9" s="1">
        <v>45.0</v>
      </c>
      <c r="AV9" s="1">
        <v>45.0</v>
      </c>
      <c r="AW9" s="1">
        <v>45.0</v>
      </c>
      <c r="AX9" s="1">
        <v>45.0</v>
      </c>
      <c r="AY9" s="1">
        <v>45.0</v>
      </c>
      <c r="AZ9" s="1">
        <v>45.0</v>
      </c>
      <c r="BA9" s="1">
        <v>45.0</v>
      </c>
      <c r="BB9" s="1">
        <v>45.0</v>
      </c>
      <c r="BC9" s="1">
        <v>45.0</v>
      </c>
      <c r="BD9" s="1">
        <v>45.0</v>
      </c>
      <c r="BE9" s="1">
        <v>45.0</v>
      </c>
      <c r="BF9" s="1">
        <v>45.0</v>
      </c>
      <c r="BG9" s="1">
        <v>45.0</v>
      </c>
      <c r="BH9" s="1">
        <v>45.0</v>
      </c>
      <c r="BI9" s="1">
        <v>45.0</v>
      </c>
      <c r="BJ9" s="1">
        <v>45.0</v>
      </c>
      <c r="BK9" s="1">
        <v>45.0</v>
      </c>
      <c r="BL9" s="1">
        <v>45.0</v>
      </c>
      <c r="BM9" s="1">
        <v>45.0</v>
      </c>
      <c r="BN9" s="1">
        <v>45.0</v>
      </c>
      <c r="BO9" s="1">
        <v>45.0</v>
      </c>
      <c r="BP9" s="1">
        <v>45.0</v>
      </c>
      <c r="BQ9" s="1">
        <v>45.0</v>
      </c>
      <c r="BR9" s="1">
        <v>45.0</v>
      </c>
      <c r="BS9" s="1">
        <v>45.0</v>
      </c>
      <c r="BT9" s="1">
        <v>45.0</v>
      </c>
      <c r="BU9" s="1">
        <v>45.0</v>
      </c>
      <c r="BV9" s="1" t="s">
        <v>184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150.0</v>
      </c>
      <c r="I11" s="1">
        <v>150.0</v>
      </c>
      <c r="J11" s="1">
        <v>151.0</v>
      </c>
      <c r="K11" s="1">
        <v>151.0</v>
      </c>
      <c r="L11" s="1">
        <v>151.0</v>
      </c>
      <c r="M11" s="1">
        <v>151.0</v>
      </c>
      <c r="N11" s="1">
        <v>152.0</v>
      </c>
      <c r="O11" s="1">
        <v>152.0</v>
      </c>
      <c r="P11" s="1">
        <v>152.0</v>
      </c>
      <c r="Q11" s="1">
        <v>153.0</v>
      </c>
      <c r="R11" s="1">
        <v>153.0</v>
      </c>
      <c r="S11" s="1">
        <v>153.0</v>
      </c>
      <c r="T11" s="1">
        <v>154.0</v>
      </c>
      <c r="U11" s="1">
        <v>154.0</v>
      </c>
      <c r="V11" s="1">
        <v>154.0</v>
      </c>
      <c r="W11" s="1">
        <v>154.0</v>
      </c>
      <c r="X11" s="1">
        <v>155.0</v>
      </c>
      <c r="Y11" s="1">
        <v>155.0</v>
      </c>
      <c r="Z11" s="1">
        <v>155.0</v>
      </c>
      <c r="AA11" s="1">
        <v>156.0</v>
      </c>
      <c r="AB11" s="1">
        <v>156.0</v>
      </c>
      <c r="AC11" s="1">
        <v>156.0</v>
      </c>
      <c r="AD11" s="1">
        <v>157.0</v>
      </c>
      <c r="AE11" s="1">
        <v>157.0</v>
      </c>
      <c r="AF11" s="1">
        <v>157.0</v>
      </c>
      <c r="AG11" s="1">
        <v>157.0</v>
      </c>
      <c r="AH11" s="1">
        <v>158.0</v>
      </c>
      <c r="AI11" s="1">
        <v>158.0</v>
      </c>
      <c r="AJ11" s="1">
        <v>158.0</v>
      </c>
      <c r="AK11" s="1">
        <v>159.0</v>
      </c>
      <c r="AL11" s="1">
        <v>159.0</v>
      </c>
      <c r="AM11" s="1">
        <v>159.0</v>
      </c>
      <c r="AN11" s="1">
        <v>160.0</v>
      </c>
      <c r="AO11" s="1">
        <v>160.0</v>
      </c>
      <c r="AP11" s="1">
        <v>160.0</v>
      </c>
      <c r="AQ11" s="1">
        <v>161.0</v>
      </c>
      <c r="AR11" s="1">
        <v>161.0</v>
      </c>
      <c r="AS11" s="1">
        <v>161.0</v>
      </c>
      <c r="AT11" s="1">
        <v>162.0</v>
      </c>
      <c r="AU11" s="1">
        <v>162.0</v>
      </c>
      <c r="AV11" s="1">
        <v>162.0</v>
      </c>
      <c r="AW11" s="1">
        <v>162.0</v>
      </c>
      <c r="AX11" s="1">
        <v>163.0</v>
      </c>
      <c r="AY11" s="1">
        <v>163.0</v>
      </c>
      <c r="AZ11" s="1">
        <v>163.0</v>
      </c>
      <c r="BA11" s="1">
        <v>164.0</v>
      </c>
      <c r="BB11" s="1">
        <v>164.0</v>
      </c>
      <c r="BC11" s="1">
        <v>164.0</v>
      </c>
      <c r="BD11" s="1">
        <v>165.0</v>
      </c>
      <c r="BE11" s="1">
        <v>165.0</v>
      </c>
      <c r="BF11" s="1">
        <v>165.0</v>
      </c>
      <c r="BG11" s="1">
        <v>166.0</v>
      </c>
      <c r="BH11" s="1">
        <v>166.0</v>
      </c>
      <c r="BI11" s="1">
        <v>166.0</v>
      </c>
      <c r="BJ11" s="1">
        <v>167.0</v>
      </c>
      <c r="BK11" s="1">
        <v>167.0</v>
      </c>
      <c r="BL11" s="1">
        <v>167.0</v>
      </c>
      <c r="BM11" s="1">
        <v>168.0</v>
      </c>
      <c r="BN11" s="1">
        <v>168.0</v>
      </c>
      <c r="BO11" s="1">
        <v>168.0</v>
      </c>
      <c r="BP11" s="1">
        <v>169.0</v>
      </c>
      <c r="BQ11" s="1">
        <v>169.0</v>
      </c>
      <c r="BR11" s="1">
        <v>169.0</v>
      </c>
      <c r="BS11" s="1">
        <v>170.0</v>
      </c>
      <c r="BT11" s="1">
        <v>170.0</v>
      </c>
      <c r="BU11" s="1">
        <v>170.0</v>
      </c>
      <c r="BV11" s="1">
        <v>10555.0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6750.0</v>
      </c>
      <c r="I12" s="1">
        <v>6763.0</v>
      </c>
      <c r="J12" s="1">
        <v>6776.0</v>
      </c>
      <c r="K12" s="1">
        <v>6790.0</v>
      </c>
      <c r="L12" s="1">
        <v>6803.0</v>
      </c>
      <c r="M12" s="1">
        <v>6816.0</v>
      </c>
      <c r="N12" s="1">
        <v>6829.0</v>
      </c>
      <c r="O12" s="1">
        <v>6843.0</v>
      </c>
      <c r="P12" s="1">
        <v>6856.0</v>
      </c>
      <c r="Q12" s="1">
        <v>6870.0</v>
      </c>
      <c r="R12" s="1">
        <v>6883.0</v>
      </c>
      <c r="S12" s="1">
        <v>6896.0</v>
      </c>
      <c r="T12" s="1">
        <v>6910.0</v>
      </c>
      <c r="U12" s="1">
        <v>6923.0</v>
      </c>
      <c r="V12" s="1">
        <v>6937.0</v>
      </c>
      <c r="W12" s="1">
        <v>6950.0</v>
      </c>
      <c r="X12" s="1">
        <v>6964.0</v>
      </c>
      <c r="Y12" s="1">
        <v>6978.0</v>
      </c>
      <c r="Z12" s="1">
        <v>6991.0</v>
      </c>
      <c r="AA12" s="1">
        <v>7005.0</v>
      </c>
      <c r="AB12" s="1">
        <v>7018.0</v>
      </c>
      <c r="AC12" s="1">
        <v>7032.0</v>
      </c>
      <c r="AD12" s="1">
        <v>7046.0</v>
      </c>
      <c r="AE12" s="1">
        <v>7060.0</v>
      </c>
      <c r="AF12" s="1">
        <v>7073.0</v>
      </c>
      <c r="AG12" s="1">
        <v>7087.0</v>
      </c>
      <c r="AH12" s="1">
        <v>7101.0</v>
      </c>
      <c r="AI12" s="1">
        <v>7115.0</v>
      </c>
      <c r="AJ12" s="1">
        <v>7129.0</v>
      </c>
      <c r="AK12" s="1">
        <v>7143.0</v>
      </c>
      <c r="AL12" s="1">
        <v>7157.0</v>
      </c>
      <c r="AM12" s="1">
        <v>7171.0</v>
      </c>
      <c r="AN12" s="1">
        <v>7185.0</v>
      </c>
      <c r="AO12" s="1">
        <v>7199.0</v>
      </c>
      <c r="AP12" s="1">
        <v>7213.0</v>
      </c>
      <c r="AQ12" s="1">
        <v>7227.0</v>
      </c>
      <c r="AR12" s="1">
        <v>7241.0</v>
      </c>
      <c r="AS12" s="1">
        <v>7255.0</v>
      </c>
      <c r="AT12" s="1">
        <v>7269.0</v>
      </c>
      <c r="AU12" s="1">
        <v>7283.0</v>
      </c>
      <c r="AV12" s="1">
        <v>7298.0</v>
      </c>
      <c r="AW12" s="1">
        <v>7312.0</v>
      </c>
      <c r="AX12" s="1">
        <v>7326.0</v>
      </c>
      <c r="AY12" s="1">
        <v>7340.0</v>
      </c>
      <c r="AZ12" s="1">
        <v>7355.0</v>
      </c>
      <c r="BA12" s="1">
        <v>7369.0</v>
      </c>
      <c r="BB12" s="1">
        <v>7383.0</v>
      </c>
      <c r="BC12" s="1">
        <v>7398.0</v>
      </c>
      <c r="BD12" s="1">
        <v>7412.0</v>
      </c>
      <c r="BE12" s="1">
        <v>7427.0</v>
      </c>
      <c r="BF12" s="1">
        <v>7441.0</v>
      </c>
      <c r="BG12" s="1">
        <v>7456.0</v>
      </c>
      <c r="BH12" s="1">
        <v>7470.0</v>
      </c>
      <c r="BI12" s="1">
        <v>7485.0</v>
      </c>
      <c r="BJ12" s="1">
        <v>7500.0</v>
      </c>
      <c r="BK12" s="1">
        <v>7514.0</v>
      </c>
      <c r="BL12" s="1">
        <v>7529.0</v>
      </c>
      <c r="BM12" s="1">
        <v>7544.0</v>
      </c>
      <c r="BN12" s="1">
        <v>7558.0</v>
      </c>
      <c r="BO12" s="1">
        <v>7573.0</v>
      </c>
      <c r="BP12" s="1">
        <v>7588.0</v>
      </c>
      <c r="BQ12" s="1">
        <v>7603.0</v>
      </c>
      <c r="BR12" s="1">
        <v>7618.0</v>
      </c>
      <c r="BS12" s="1">
        <v>7632.0</v>
      </c>
      <c r="BT12" s="1">
        <v>7647.0</v>
      </c>
      <c r="BU12" s="1">
        <v>7662.0</v>
      </c>
      <c r="BV12" s="1">
        <v>474977.0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2025.0</v>
      </c>
      <c r="I13" s="1">
        <v>2029.0</v>
      </c>
      <c r="J13" s="1">
        <v>2033.0</v>
      </c>
      <c r="K13" s="1">
        <v>2037.0</v>
      </c>
      <c r="L13" s="1">
        <v>2041.0</v>
      </c>
      <c r="M13" s="1">
        <v>2045.0</v>
      </c>
      <c r="N13" s="1">
        <v>2049.0</v>
      </c>
      <c r="O13" s="1">
        <v>2053.0</v>
      </c>
      <c r="P13" s="1">
        <v>2057.0</v>
      </c>
      <c r="Q13" s="1">
        <v>2061.0</v>
      </c>
      <c r="R13" s="1">
        <v>2065.0</v>
      </c>
      <c r="S13" s="1">
        <v>2069.0</v>
      </c>
      <c r="T13" s="1">
        <v>2073.0</v>
      </c>
      <c r="U13" s="1">
        <v>2077.0</v>
      </c>
      <c r="V13" s="1">
        <v>2081.0</v>
      </c>
      <c r="W13" s="1">
        <v>2085.0</v>
      </c>
      <c r="X13" s="1">
        <v>2089.0</v>
      </c>
      <c r="Y13" s="1">
        <v>2093.0</v>
      </c>
      <c r="Z13" s="1">
        <v>2097.0</v>
      </c>
      <c r="AA13" s="1">
        <v>2101.0</v>
      </c>
      <c r="AB13" s="1">
        <v>2106.0</v>
      </c>
      <c r="AC13" s="1">
        <v>2110.0</v>
      </c>
      <c r="AD13" s="1">
        <v>2114.0</v>
      </c>
      <c r="AE13" s="1">
        <v>2118.0</v>
      </c>
      <c r="AF13" s="1">
        <v>2122.0</v>
      </c>
      <c r="AG13" s="1">
        <v>2126.0</v>
      </c>
      <c r="AH13" s="1">
        <v>2130.0</v>
      </c>
      <c r="AI13" s="1">
        <v>2134.0</v>
      </c>
      <c r="AJ13" s="1">
        <v>2139.0</v>
      </c>
      <c r="AK13" s="1">
        <v>2143.0</v>
      </c>
      <c r="AL13" s="1">
        <v>2147.0</v>
      </c>
      <c r="AM13" s="1">
        <v>2151.0</v>
      </c>
      <c r="AN13" s="1">
        <v>2155.0</v>
      </c>
      <c r="AO13" s="1">
        <v>2160.0</v>
      </c>
      <c r="AP13" s="1">
        <v>2164.0</v>
      </c>
      <c r="AQ13" s="1">
        <v>2168.0</v>
      </c>
      <c r="AR13" s="1">
        <v>2172.0</v>
      </c>
      <c r="AS13" s="1">
        <v>2177.0</v>
      </c>
      <c r="AT13" s="1">
        <v>2181.0</v>
      </c>
      <c r="AU13" s="1">
        <v>2185.0</v>
      </c>
      <c r="AV13" s="1">
        <v>2189.0</v>
      </c>
      <c r="AW13" s="1">
        <v>2194.0</v>
      </c>
      <c r="AX13" s="1">
        <v>2198.0</v>
      </c>
      <c r="AY13" s="1">
        <v>2202.0</v>
      </c>
      <c r="AZ13" s="1">
        <v>2206.0</v>
      </c>
      <c r="BA13" s="1">
        <v>2211.0</v>
      </c>
      <c r="BB13" s="1">
        <v>2215.0</v>
      </c>
      <c r="BC13" s="1">
        <v>2219.0</v>
      </c>
      <c r="BD13" s="1">
        <v>2224.0</v>
      </c>
      <c r="BE13" s="1">
        <v>2228.0</v>
      </c>
      <c r="BF13" s="1">
        <v>2232.0</v>
      </c>
      <c r="BG13" s="1">
        <v>2237.0</v>
      </c>
      <c r="BH13" s="1">
        <v>2241.0</v>
      </c>
      <c r="BI13" s="1">
        <v>2245.0</v>
      </c>
      <c r="BJ13" s="1">
        <v>2250.0</v>
      </c>
      <c r="BK13" s="1">
        <v>2254.0</v>
      </c>
      <c r="BL13" s="1">
        <v>2259.0</v>
      </c>
      <c r="BM13" s="1">
        <v>2263.0</v>
      </c>
      <c r="BN13" s="1">
        <v>2267.0</v>
      </c>
      <c r="BO13" s="1">
        <v>2272.0</v>
      </c>
      <c r="BP13" s="1">
        <v>2276.0</v>
      </c>
      <c r="BQ13" s="1">
        <v>2281.0</v>
      </c>
      <c r="BR13" s="1">
        <v>2285.0</v>
      </c>
      <c r="BS13" s="1">
        <v>2290.0</v>
      </c>
      <c r="BT13" s="1">
        <v>2294.0</v>
      </c>
      <c r="BU13" s="1">
        <v>2299.0</v>
      </c>
      <c r="BV13" s="1">
        <v>142493.0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2025.0</v>
      </c>
      <c r="I15" s="1">
        <v>2029.0</v>
      </c>
      <c r="J15" s="1">
        <v>2033.0</v>
      </c>
      <c r="K15" s="1">
        <v>2037.0</v>
      </c>
      <c r="L15" s="1">
        <v>2041.0</v>
      </c>
      <c r="M15" s="1">
        <v>2045.0</v>
      </c>
      <c r="N15" s="1">
        <v>2049.0</v>
      </c>
      <c r="O15" s="1">
        <v>2053.0</v>
      </c>
      <c r="P15" s="1">
        <v>2057.0</v>
      </c>
      <c r="Q15" s="1">
        <v>2061.0</v>
      </c>
      <c r="R15" s="1">
        <v>2065.0</v>
      </c>
      <c r="S15" s="1">
        <v>2069.0</v>
      </c>
      <c r="T15" s="1">
        <v>2073.0</v>
      </c>
      <c r="U15" s="1">
        <v>2077.0</v>
      </c>
      <c r="V15" s="1">
        <v>2081.0</v>
      </c>
      <c r="W15" s="1">
        <v>2085.0</v>
      </c>
      <c r="X15" s="1">
        <v>2089.0</v>
      </c>
      <c r="Y15" s="1">
        <v>2093.0</v>
      </c>
      <c r="Z15" s="1">
        <v>2097.0</v>
      </c>
      <c r="AA15" s="1">
        <v>2101.0</v>
      </c>
      <c r="AB15" s="1">
        <v>2106.0</v>
      </c>
      <c r="AC15" s="1">
        <v>2110.0</v>
      </c>
      <c r="AD15" s="1">
        <v>2114.0</v>
      </c>
      <c r="AE15" s="1">
        <v>2118.0</v>
      </c>
      <c r="AF15" s="1">
        <v>2122.0</v>
      </c>
      <c r="AG15" s="1">
        <v>2126.0</v>
      </c>
      <c r="AH15" s="1">
        <v>2130.0</v>
      </c>
      <c r="AI15" s="1">
        <v>2134.0</v>
      </c>
      <c r="AJ15" s="1">
        <v>2139.0</v>
      </c>
      <c r="AK15" s="1">
        <v>2143.0</v>
      </c>
      <c r="AL15" s="1">
        <v>2147.0</v>
      </c>
      <c r="AM15" s="1">
        <v>2151.0</v>
      </c>
      <c r="AN15" s="1">
        <v>2155.0</v>
      </c>
      <c r="AO15" s="1">
        <v>2160.0</v>
      </c>
      <c r="AP15" s="1">
        <v>2164.0</v>
      </c>
      <c r="AQ15" s="1">
        <v>2168.0</v>
      </c>
      <c r="AR15" s="1">
        <v>2172.0</v>
      </c>
      <c r="AS15" s="1">
        <v>2177.0</v>
      </c>
      <c r="AT15" s="1">
        <v>2181.0</v>
      </c>
      <c r="AU15" s="1">
        <v>2185.0</v>
      </c>
      <c r="AV15" s="1">
        <v>2189.0</v>
      </c>
      <c r="AW15" s="1">
        <v>2194.0</v>
      </c>
      <c r="AX15" s="1">
        <v>2198.0</v>
      </c>
      <c r="AY15" s="1">
        <v>2202.0</v>
      </c>
      <c r="AZ15" s="1">
        <v>2206.0</v>
      </c>
      <c r="BA15" s="1">
        <v>2211.0</v>
      </c>
      <c r="BB15" s="1">
        <v>2215.0</v>
      </c>
      <c r="BC15" s="1">
        <v>2219.0</v>
      </c>
      <c r="BD15" s="1">
        <v>2224.0</v>
      </c>
      <c r="BE15" s="1">
        <v>2228.0</v>
      </c>
      <c r="BF15" s="1">
        <v>2232.0</v>
      </c>
      <c r="BG15" s="1">
        <v>2237.0</v>
      </c>
      <c r="BH15" s="1">
        <v>2241.0</v>
      </c>
      <c r="BI15" s="1">
        <v>2245.0</v>
      </c>
      <c r="BJ15" s="1">
        <v>2250.0</v>
      </c>
      <c r="BK15" s="1">
        <v>2254.0</v>
      </c>
      <c r="BL15" s="1">
        <v>2259.0</v>
      </c>
      <c r="BM15" s="1">
        <v>2263.0</v>
      </c>
      <c r="BN15" s="1">
        <v>2267.0</v>
      </c>
      <c r="BO15" s="1">
        <v>2272.0</v>
      </c>
      <c r="BP15" s="1">
        <v>2276.0</v>
      </c>
      <c r="BQ15" s="1">
        <v>2281.0</v>
      </c>
      <c r="BR15" s="1">
        <v>2285.0</v>
      </c>
      <c r="BS15" s="1">
        <v>2290.0</v>
      </c>
      <c r="BT15" s="1">
        <v>2294.0</v>
      </c>
      <c r="BU15" s="1">
        <v>2299.0</v>
      </c>
      <c r="BV15" s="1">
        <v>142493.0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4725.0</v>
      </c>
      <c r="I16" s="1">
        <v>4734.0</v>
      </c>
      <c r="J16" s="1">
        <v>4743.0</v>
      </c>
      <c r="K16" s="1">
        <v>4753.0</v>
      </c>
      <c r="L16" s="1">
        <v>4762.0</v>
      </c>
      <c r="M16" s="1">
        <v>4771.0</v>
      </c>
      <c r="N16" s="1">
        <v>4781.0</v>
      </c>
      <c r="O16" s="1">
        <v>4790.0</v>
      </c>
      <c r="P16" s="1">
        <v>4799.0</v>
      </c>
      <c r="Q16" s="1">
        <v>4809.0</v>
      </c>
      <c r="R16" s="1">
        <v>4818.0</v>
      </c>
      <c r="S16" s="1">
        <v>4827.0</v>
      </c>
      <c r="T16" s="1">
        <v>4837.0</v>
      </c>
      <c r="U16" s="1">
        <v>4846.0</v>
      </c>
      <c r="V16" s="1">
        <v>4856.0</v>
      </c>
      <c r="W16" s="1">
        <v>4865.0</v>
      </c>
      <c r="X16" s="1">
        <v>4875.0</v>
      </c>
      <c r="Y16" s="1">
        <v>4884.0</v>
      </c>
      <c r="Z16" s="1">
        <v>4894.0</v>
      </c>
      <c r="AA16" s="1">
        <v>4903.0</v>
      </c>
      <c r="AB16" s="1">
        <v>4913.0</v>
      </c>
      <c r="AC16" s="1">
        <v>4923.0</v>
      </c>
      <c r="AD16" s="1">
        <v>4932.0</v>
      </c>
      <c r="AE16" s="1">
        <v>4942.0</v>
      </c>
      <c r="AF16" s="1">
        <v>4951.0</v>
      </c>
      <c r="AG16" s="1">
        <v>4961.0</v>
      </c>
      <c r="AH16" s="1">
        <v>4971.0</v>
      </c>
      <c r="AI16" s="1">
        <v>4980.0</v>
      </c>
      <c r="AJ16" s="1">
        <v>4990.0</v>
      </c>
      <c r="AK16" s="1">
        <v>5000.0</v>
      </c>
      <c r="AL16" s="1">
        <v>5010.0</v>
      </c>
      <c r="AM16" s="1">
        <v>5019.0</v>
      </c>
      <c r="AN16" s="1">
        <v>5029.0</v>
      </c>
      <c r="AO16" s="1">
        <v>5039.0</v>
      </c>
      <c r="AP16" s="1">
        <v>5049.0</v>
      </c>
      <c r="AQ16" s="1">
        <v>5059.0</v>
      </c>
      <c r="AR16" s="1">
        <v>5069.0</v>
      </c>
      <c r="AS16" s="1">
        <v>5079.0</v>
      </c>
      <c r="AT16" s="1">
        <v>5088.0</v>
      </c>
      <c r="AU16" s="1">
        <v>5098.0</v>
      </c>
      <c r="AV16" s="1">
        <v>5108.0</v>
      </c>
      <c r="AW16" s="1">
        <v>5118.0</v>
      </c>
      <c r="AX16" s="1">
        <v>5128.0</v>
      </c>
      <c r="AY16" s="1">
        <v>5138.0</v>
      </c>
      <c r="AZ16" s="1">
        <v>5148.0</v>
      </c>
      <c r="BA16" s="1">
        <v>5158.0</v>
      </c>
      <c r="BB16" s="1">
        <v>5168.0</v>
      </c>
      <c r="BC16" s="1">
        <v>5179.0</v>
      </c>
      <c r="BD16" s="1">
        <v>5189.0</v>
      </c>
      <c r="BE16" s="1">
        <v>5199.0</v>
      </c>
      <c r="BF16" s="1">
        <v>5209.0</v>
      </c>
      <c r="BG16" s="1">
        <v>5219.0</v>
      </c>
      <c r="BH16" s="1">
        <v>5229.0</v>
      </c>
      <c r="BI16" s="1">
        <v>5239.0</v>
      </c>
      <c r="BJ16" s="1">
        <v>5250.0</v>
      </c>
      <c r="BK16" s="1">
        <v>5260.0</v>
      </c>
      <c r="BL16" s="1">
        <v>5270.0</v>
      </c>
      <c r="BM16" s="1">
        <v>5281.0</v>
      </c>
      <c r="BN16" s="1">
        <v>5291.0</v>
      </c>
      <c r="BO16" s="1">
        <v>5301.0</v>
      </c>
      <c r="BP16" s="1">
        <v>5311.0</v>
      </c>
      <c r="BQ16" s="1">
        <v>5322.0</v>
      </c>
      <c r="BR16" s="1">
        <v>5332.0</v>
      </c>
      <c r="BS16" s="1">
        <v>5343.0</v>
      </c>
      <c r="BT16" s="1">
        <v>5353.0</v>
      </c>
      <c r="BU16" s="1">
        <v>5364.0</v>
      </c>
      <c r="BV16" s="1">
        <v>332484.0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185</v>
      </c>
    </row>
    <row r="2">
      <c r="A2" s="1" t="s">
        <v>186</v>
      </c>
    </row>
    <row r="3">
      <c r="A3" s="1" t="s">
        <v>180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20000.0</v>
      </c>
      <c r="K6" s="1">
        <v>20039.0</v>
      </c>
      <c r="L6" s="1">
        <v>20078.0</v>
      </c>
      <c r="M6" s="1">
        <v>20117.0</v>
      </c>
      <c r="N6" s="1">
        <v>20157.0</v>
      </c>
      <c r="O6" s="1">
        <v>20196.0</v>
      </c>
      <c r="P6" s="1">
        <v>20235.0</v>
      </c>
      <c r="Q6" s="1">
        <v>20275.0</v>
      </c>
      <c r="R6" s="1">
        <v>20314.0</v>
      </c>
      <c r="S6" s="1">
        <v>20354.0</v>
      </c>
      <c r="T6" s="1">
        <v>20394.0</v>
      </c>
      <c r="U6" s="1">
        <v>20434.0</v>
      </c>
      <c r="V6" s="1">
        <v>20474.0</v>
      </c>
      <c r="W6" s="1">
        <v>20514.0</v>
      </c>
      <c r="X6" s="1">
        <v>20554.0</v>
      </c>
      <c r="Y6" s="1">
        <v>20594.0</v>
      </c>
      <c r="Z6" s="1">
        <v>20634.0</v>
      </c>
      <c r="AA6" s="1">
        <v>20674.0</v>
      </c>
      <c r="AB6" s="1">
        <v>20715.0</v>
      </c>
      <c r="AC6" s="1">
        <v>20755.0</v>
      </c>
      <c r="AD6" s="1">
        <v>20795.0</v>
      </c>
      <c r="AE6" s="1">
        <v>20836.0</v>
      </c>
      <c r="AF6" s="1">
        <v>20877.0</v>
      </c>
      <c r="AG6" s="1">
        <v>20917.0</v>
      </c>
      <c r="AH6" s="1">
        <v>20958.0</v>
      </c>
      <c r="AI6" s="1">
        <v>20999.0</v>
      </c>
      <c r="AJ6" s="1">
        <v>21040.0</v>
      </c>
      <c r="AK6" s="1">
        <v>21081.0</v>
      </c>
      <c r="AL6" s="1">
        <v>21122.0</v>
      </c>
      <c r="AM6" s="1">
        <v>21164.0</v>
      </c>
      <c r="AN6" s="1">
        <v>21205.0</v>
      </c>
      <c r="AO6" s="1">
        <v>21246.0</v>
      </c>
      <c r="AP6" s="1">
        <v>21288.0</v>
      </c>
      <c r="AQ6" s="1">
        <v>21329.0</v>
      </c>
      <c r="AR6" s="1">
        <v>21371.0</v>
      </c>
      <c r="AS6" s="1">
        <v>21413.0</v>
      </c>
      <c r="AT6" s="1">
        <v>21455.0</v>
      </c>
      <c r="AU6" s="1">
        <v>21496.0</v>
      </c>
      <c r="AV6" s="1">
        <v>21538.0</v>
      </c>
      <c r="AW6" s="1">
        <v>21580.0</v>
      </c>
      <c r="AX6" s="1">
        <v>21623.0</v>
      </c>
      <c r="AY6" s="1">
        <v>21665.0</v>
      </c>
      <c r="AZ6" s="1">
        <v>21707.0</v>
      </c>
      <c r="BA6" s="1">
        <v>21749.0</v>
      </c>
      <c r="BB6" s="1">
        <v>21792.0</v>
      </c>
      <c r="BC6" s="1">
        <v>21834.0</v>
      </c>
      <c r="BD6" s="1">
        <v>21877.0</v>
      </c>
      <c r="BE6" s="1">
        <v>21920.0</v>
      </c>
      <c r="BF6" s="1">
        <v>21963.0</v>
      </c>
      <c r="BG6" s="1">
        <v>22005.0</v>
      </c>
      <c r="BH6" s="1">
        <v>22048.0</v>
      </c>
      <c r="BI6" s="1">
        <v>22091.0</v>
      </c>
      <c r="BJ6" s="1">
        <v>22134.0</v>
      </c>
      <c r="BK6" s="1">
        <v>22178.0</v>
      </c>
      <c r="BL6" s="1">
        <v>22221.0</v>
      </c>
      <c r="BM6" s="1">
        <v>22264.0</v>
      </c>
      <c r="BN6" s="1">
        <v>22308.0</v>
      </c>
      <c r="BO6" s="1">
        <v>22351.0</v>
      </c>
      <c r="BP6" s="1">
        <v>22395.0</v>
      </c>
      <c r="BQ6" s="1">
        <v>22439.0</v>
      </c>
      <c r="BR6" s="1">
        <v>22483.0</v>
      </c>
      <c r="BS6" s="1">
        <v>22526.0</v>
      </c>
      <c r="BT6" s="1">
        <v>22570.0</v>
      </c>
      <c r="BU6" s="1">
        <v>22614.0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120.0</v>
      </c>
      <c r="L7" s="1">
        <v>120.0</v>
      </c>
      <c r="M7" s="1">
        <v>120.0</v>
      </c>
      <c r="N7" s="1">
        <v>121.0</v>
      </c>
      <c r="O7" s="1">
        <v>121.0</v>
      </c>
      <c r="P7" s="1">
        <v>121.0</v>
      </c>
      <c r="Q7" s="1">
        <v>121.0</v>
      </c>
      <c r="R7" s="1">
        <v>122.0</v>
      </c>
      <c r="S7" s="1">
        <v>122.0</v>
      </c>
      <c r="T7" s="1">
        <v>122.0</v>
      </c>
      <c r="U7" s="1">
        <v>122.0</v>
      </c>
      <c r="V7" s="1">
        <v>123.0</v>
      </c>
      <c r="W7" s="1">
        <v>123.0</v>
      </c>
      <c r="X7" s="1">
        <v>123.0</v>
      </c>
      <c r="Y7" s="1">
        <v>123.0</v>
      </c>
      <c r="Z7" s="1">
        <v>124.0</v>
      </c>
      <c r="AA7" s="1">
        <v>124.0</v>
      </c>
      <c r="AB7" s="1">
        <v>124.0</v>
      </c>
      <c r="AC7" s="1">
        <v>124.0</v>
      </c>
      <c r="AD7" s="1">
        <v>125.0</v>
      </c>
      <c r="AE7" s="1">
        <v>125.0</v>
      </c>
      <c r="AF7" s="1">
        <v>125.0</v>
      </c>
      <c r="AG7" s="1">
        <v>125.0</v>
      </c>
      <c r="AH7" s="1">
        <v>126.0</v>
      </c>
      <c r="AI7" s="1">
        <v>126.0</v>
      </c>
      <c r="AJ7" s="1">
        <v>126.0</v>
      </c>
      <c r="AK7" s="1">
        <v>126.0</v>
      </c>
      <c r="AL7" s="1">
        <v>126.0</v>
      </c>
      <c r="AM7" s="1">
        <v>127.0</v>
      </c>
      <c r="AN7" s="1">
        <v>127.0</v>
      </c>
      <c r="AO7" s="1">
        <v>127.0</v>
      </c>
      <c r="AP7" s="1">
        <v>127.0</v>
      </c>
      <c r="AQ7" s="1">
        <v>128.0</v>
      </c>
      <c r="AR7" s="1">
        <v>128.0</v>
      </c>
      <c r="AS7" s="1">
        <v>128.0</v>
      </c>
      <c r="AT7" s="1">
        <v>128.0</v>
      </c>
      <c r="AU7" s="1">
        <v>129.0</v>
      </c>
      <c r="AV7" s="1">
        <v>129.0</v>
      </c>
      <c r="AW7" s="1">
        <v>129.0</v>
      </c>
      <c r="AX7" s="1">
        <v>129.0</v>
      </c>
      <c r="AY7" s="1">
        <v>130.0</v>
      </c>
      <c r="AZ7" s="1">
        <v>130.0</v>
      </c>
      <c r="BA7" s="1">
        <v>130.0</v>
      </c>
      <c r="BB7" s="1">
        <v>130.0</v>
      </c>
      <c r="BC7" s="1">
        <v>131.0</v>
      </c>
      <c r="BD7" s="1">
        <v>131.0</v>
      </c>
      <c r="BE7" s="1">
        <v>131.0</v>
      </c>
      <c r="BF7" s="1">
        <v>132.0</v>
      </c>
      <c r="BG7" s="1">
        <v>132.0</v>
      </c>
      <c r="BH7" s="1">
        <v>132.0</v>
      </c>
      <c r="BI7" s="1">
        <v>132.0</v>
      </c>
      <c r="BJ7" s="1">
        <v>133.0</v>
      </c>
      <c r="BK7" s="1">
        <v>133.0</v>
      </c>
      <c r="BL7" s="1">
        <v>133.0</v>
      </c>
      <c r="BM7" s="1">
        <v>133.0</v>
      </c>
      <c r="BN7" s="1">
        <v>134.0</v>
      </c>
      <c r="BO7" s="1">
        <v>134.0</v>
      </c>
      <c r="BP7" s="1">
        <v>134.0</v>
      </c>
      <c r="BQ7" s="1">
        <v>134.0</v>
      </c>
      <c r="BR7" s="1">
        <v>135.0</v>
      </c>
      <c r="BS7" s="1">
        <v>135.0</v>
      </c>
      <c r="BT7" s="1">
        <v>135.0</v>
      </c>
      <c r="BU7" s="1">
        <v>135.0</v>
      </c>
      <c r="BV7" s="1">
        <v>8036.0</v>
      </c>
    </row>
    <row r="8">
      <c r="A8" s="1" t="s">
        <v>145</v>
      </c>
      <c r="B8" s="1">
        <v>2.0</v>
      </c>
      <c r="C8" s="1">
        <v>2.0</v>
      </c>
      <c r="D8" s="1">
        <v>2.0</v>
      </c>
      <c r="E8" s="1">
        <v>2.0</v>
      </c>
      <c r="F8" s="1">
        <v>2.0</v>
      </c>
      <c r="G8" s="1">
        <v>2.0</v>
      </c>
      <c r="H8" s="1">
        <v>2.0</v>
      </c>
      <c r="I8" s="1">
        <v>2.0</v>
      </c>
      <c r="J8" s="1">
        <v>2.0</v>
      </c>
      <c r="K8" s="1">
        <v>2.0</v>
      </c>
      <c r="L8" s="1">
        <v>2.0</v>
      </c>
      <c r="M8" s="1">
        <v>2.0</v>
      </c>
      <c r="N8" s="1">
        <v>2.0</v>
      </c>
      <c r="O8" s="1">
        <v>2.0</v>
      </c>
      <c r="P8" s="1">
        <v>2.0</v>
      </c>
      <c r="Q8" s="1">
        <v>2.0</v>
      </c>
      <c r="R8" s="1">
        <v>2.0</v>
      </c>
      <c r="S8" s="1">
        <v>2.0</v>
      </c>
      <c r="T8" s="1">
        <v>2.0</v>
      </c>
      <c r="U8" s="1">
        <v>2.0</v>
      </c>
      <c r="V8" s="1">
        <v>2.0</v>
      </c>
      <c r="W8" s="1">
        <v>2.0</v>
      </c>
      <c r="X8" s="1">
        <v>2.0</v>
      </c>
      <c r="Y8" s="1">
        <v>2.0</v>
      </c>
      <c r="Z8" s="1">
        <v>2.0</v>
      </c>
      <c r="AA8" s="1">
        <v>2.0</v>
      </c>
      <c r="AB8" s="1">
        <v>2.0</v>
      </c>
      <c r="AC8" s="1">
        <v>2.0</v>
      </c>
      <c r="AD8" s="1">
        <v>2.0</v>
      </c>
      <c r="AE8" s="1">
        <v>2.0</v>
      </c>
      <c r="AF8" s="1">
        <v>2.0</v>
      </c>
      <c r="AG8" s="1">
        <v>2.0</v>
      </c>
      <c r="AH8" s="1">
        <v>2.0</v>
      </c>
      <c r="AI8" s="1">
        <v>2.0</v>
      </c>
      <c r="AJ8" s="1">
        <v>2.0</v>
      </c>
      <c r="AK8" s="1">
        <v>2.0</v>
      </c>
      <c r="AL8" s="1">
        <v>2.0</v>
      </c>
      <c r="AM8" s="1">
        <v>2.0</v>
      </c>
      <c r="AN8" s="1">
        <v>2.0</v>
      </c>
      <c r="AO8" s="1">
        <v>2.0</v>
      </c>
      <c r="AP8" s="1">
        <v>2.0</v>
      </c>
      <c r="AQ8" s="1">
        <v>2.0</v>
      </c>
      <c r="AR8" s="1">
        <v>2.0</v>
      </c>
      <c r="AS8" s="1">
        <v>2.0</v>
      </c>
      <c r="AT8" s="1">
        <v>2.0</v>
      </c>
      <c r="AU8" s="1">
        <v>2.0</v>
      </c>
      <c r="AV8" s="1">
        <v>2.0</v>
      </c>
      <c r="AW8" s="1">
        <v>2.0</v>
      </c>
      <c r="AX8" s="1">
        <v>2.0</v>
      </c>
      <c r="AY8" s="1">
        <v>2.0</v>
      </c>
      <c r="AZ8" s="1">
        <v>2.0</v>
      </c>
      <c r="BA8" s="1">
        <v>2.0</v>
      </c>
      <c r="BB8" s="1">
        <v>2.0</v>
      </c>
      <c r="BC8" s="1">
        <v>2.0</v>
      </c>
      <c r="BD8" s="1">
        <v>2.0</v>
      </c>
      <c r="BE8" s="1">
        <v>2.0</v>
      </c>
      <c r="BF8" s="1">
        <v>2.0</v>
      </c>
      <c r="BG8" s="1">
        <v>2.0</v>
      </c>
      <c r="BH8" s="1">
        <v>2.0</v>
      </c>
      <c r="BI8" s="1">
        <v>2.0</v>
      </c>
      <c r="BJ8" s="1">
        <v>2.0</v>
      </c>
      <c r="BK8" s="1">
        <v>2.0</v>
      </c>
      <c r="BL8" s="1">
        <v>2.0</v>
      </c>
      <c r="BM8" s="1">
        <v>2.0</v>
      </c>
      <c r="BN8" s="1">
        <v>2.0</v>
      </c>
      <c r="BO8" s="1">
        <v>2.0</v>
      </c>
      <c r="BP8" s="1">
        <v>2.0</v>
      </c>
      <c r="BQ8" s="1">
        <v>2.0</v>
      </c>
      <c r="BR8" s="1">
        <v>2.0</v>
      </c>
      <c r="BS8" s="1">
        <v>2.0</v>
      </c>
      <c r="BT8" s="1">
        <v>2.0</v>
      </c>
      <c r="BU8" s="1">
        <v>2.0</v>
      </c>
    </row>
    <row r="9">
      <c r="A9" s="1" t="s">
        <v>146</v>
      </c>
      <c r="B9" s="1">
        <v>55.0</v>
      </c>
      <c r="C9" s="1">
        <v>55.0</v>
      </c>
      <c r="D9" s="1">
        <v>55.0</v>
      </c>
      <c r="E9" s="1">
        <v>55.0</v>
      </c>
      <c r="F9" s="1">
        <v>55.0</v>
      </c>
      <c r="G9" s="1">
        <v>55.0</v>
      </c>
      <c r="H9" s="1">
        <v>55.0</v>
      </c>
      <c r="I9" s="1">
        <v>55.0</v>
      </c>
      <c r="J9" s="1">
        <v>55.0</v>
      </c>
      <c r="K9" s="1">
        <v>55.0</v>
      </c>
      <c r="L9" s="1">
        <v>55.0</v>
      </c>
      <c r="M9" s="1">
        <v>55.0</v>
      </c>
      <c r="N9" s="1">
        <v>55.0</v>
      </c>
      <c r="O9" s="1">
        <v>55.0</v>
      </c>
      <c r="P9" s="1">
        <v>55.0</v>
      </c>
      <c r="Q9" s="1">
        <v>55.0</v>
      </c>
      <c r="R9" s="1">
        <v>55.0</v>
      </c>
      <c r="S9" s="1">
        <v>55.0</v>
      </c>
      <c r="T9" s="1">
        <v>55.0</v>
      </c>
      <c r="U9" s="1">
        <v>55.0</v>
      </c>
      <c r="V9" s="1">
        <v>55.0</v>
      </c>
      <c r="W9" s="1">
        <v>55.0</v>
      </c>
      <c r="X9" s="1">
        <v>55.0</v>
      </c>
      <c r="Y9" s="1">
        <v>55.0</v>
      </c>
      <c r="Z9" s="1">
        <v>55.0</v>
      </c>
      <c r="AA9" s="1">
        <v>55.0</v>
      </c>
      <c r="AB9" s="1">
        <v>55.0</v>
      </c>
      <c r="AC9" s="1">
        <v>55.0</v>
      </c>
      <c r="AD9" s="1">
        <v>55.0</v>
      </c>
      <c r="AE9" s="1">
        <v>55.0</v>
      </c>
      <c r="AF9" s="1">
        <v>55.0</v>
      </c>
      <c r="AG9" s="1">
        <v>55.0</v>
      </c>
      <c r="AH9" s="1">
        <v>55.0</v>
      </c>
      <c r="AI9" s="1">
        <v>55.0</v>
      </c>
      <c r="AJ9" s="1">
        <v>55.0</v>
      </c>
      <c r="AK9" s="1">
        <v>55.0</v>
      </c>
      <c r="AL9" s="1">
        <v>55.0</v>
      </c>
      <c r="AM9" s="1">
        <v>55.0</v>
      </c>
      <c r="AN9" s="1">
        <v>55.0</v>
      </c>
      <c r="AO9" s="1">
        <v>55.0</v>
      </c>
      <c r="AP9" s="1">
        <v>55.0</v>
      </c>
      <c r="AQ9" s="1">
        <v>55.0</v>
      </c>
      <c r="AR9" s="1">
        <v>55.0</v>
      </c>
      <c r="AS9" s="1">
        <v>55.0</v>
      </c>
      <c r="AT9" s="1">
        <v>55.0</v>
      </c>
      <c r="AU9" s="1">
        <v>55.0</v>
      </c>
      <c r="AV9" s="1">
        <v>55.0</v>
      </c>
      <c r="AW9" s="1">
        <v>55.0</v>
      </c>
      <c r="AX9" s="1">
        <v>55.0</v>
      </c>
      <c r="AY9" s="1">
        <v>55.0</v>
      </c>
      <c r="AZ9" s="1">
        <v>55.0</v>
      </c>
      <c r="BA9" s="1">
        <v>55.0</v>
      </c>
      <c r="BB9" s="1">
        <v>55.0</v>
      </c>
      <c r="BC9" s="1">
        <v>55.0</v>
      </c>
      <c r="BD9" s="1">
        <v>55.0</v>
      </c>
      <c r="BE9" s="1">
        <v>55.0</v>
      </c>
      <c r="BF9" s="1">
        <v>55.0</v>
      </c>
      <c r="BG9" s="1">
        <v>55.0</v>
      </c>
      <c r="BH9" s="1">
        <v>55.0</v>
      </c>
      <c r="BI9" s="1">
        <v>55.0</v>
      </c>
      <c r="BJ9" s="1">
        <v>55.0</v>
      </c>
      <c r="BK9" s="1">
        <v>55.0</v>
      </c>
      <c r="BL9" s="1">
        <v>55.0</v>
      </c>
      <c r="BM9" s="1">
        <v>55.0</v>
      </c>
      <c r="BN9" s="1">
        <v>55.0</v>
      </c>
      <c r="BO9" s="1">
        <v>55.0</v>
      </c>
      <c r="BP9" s="1">
        <v>55.0</v>
      </c>
      <c r="BQ9" s="1">
        <v>55.0</v>
      </c>
      <c r="BR9" s="1">
        <v>55.0</v>
      </c>
      <c r="BS9" s="1">
        <v>55.0</v>
      </c>
      <c r="BT9" s="1">
        <v>55.0</v>
      </c>
      <c r="BU9" s="1">
        <v>55.0</v>
      </c>
      <c r="BV9" s="1" t="s">
        <v>187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400.0</v>
      </c>
      <c r="K11" s="1">
        <v>401.0</v>
      </c>
      <c r="L11" s="1">
        <v>402.0</v>
      </c>
      <c r="M11" s="1">
        <v>402.0</v>
      </c>
      <c r="N11" s="1">
        <v>403.0</v>
      </c>
      <c r="O11" s="1">
        <v>404.0</v>
      </c>
      <c r="P11" s="1">
        <v>405.0</v>
      </c>
      <c r="Q11" s="1">
        <v>405.0</v>
      </c>
      <c r="R11" s="1">
        <v>406.0</v>
      </c>
      <c r="S11" s="1">
        <v>407.0</v>
      </c>
      <c r="T11" s="1">
        <v>408.0</v>
      </c>
      <c r="U11" s="1">
        <v>409.0</v>
      </c>
      <c r="V11" s="1">
        <v>409.0</v>
      </c>
      <c r="W11" s="1">
        <v>410.0</v>
      </c>
      <c r="X11" s="1">
        <v>411.0</v>
      </c>
      <c r="Y11" s="1">
        <v>412.0</v>
      </c>
      <c r="Z11" s="1">
        <v>413.0</v>
      </c>
      <c r="AA11" s="1">
        <v>413.0</v>
      </c>
      <c r="AB11" s="1">
        <v>414.0</v>
      </c>
      <c r="AC11" s="1">
        <v>415.0</v>
      </c>
      <c r="AD11" s="1">
        <v>416.0</v>
      </c>
      <c r="AE11" s="1">
        <v>417.0</v>
      </c>
      <c r="AF11" s="1">
        <v>418.0</v>
      </c>
      <c r="AG11" s="1">
        <v>418.0</v>
      </c>
      <c r="AH11" s="1">
        <v>419.0</v>
      </c>
      <c r="AI11" s="1">
        <v>420.0</v>
      </c>
      <c r="AJ11" s="1">
        <v>421.0</v>
      </c>
      <c r="AK11" s="1">
        <v>422.0</v>
      </c>
      <c r="AL11" s="1">
        <v>422.0</v>
      </c>
      <c r="AM11" s="1">
        <v>423.0</v>
      </c>
      <c r="AN11" s="1">
        <v>424.0</v>
      </c>
      <c r="AO11" s="1">
        <v>425.0</v>
      </c>
      <c r="AP11" s="1">
        <v>426.0</v>
      </c>
      <c r="AQ11" s="1">
        <v>427.0</v>
      </c>
      <c r="AR11" s="1">
        <v>427.0</v>
      </c>
      <c r="AS11" s="1">
        <v>428.0</v>
      </c>
      <c r="AT11" s="1">
        <v>429.0</v>
      </c>
      <c r="AU11" s="1">
        <v>430.0</v>
      </c>
      <c r="AV11" s="1">
        <v>431.0</v>
      </c>
      <c r="AW11" s="1">
        <v>432.0</v>
      </c>
      <c r="AX11" s="1">
        <v>432.0</v>
      </c>
      <c r="AY11" s="1">
        <v>433.0</v>
      </c>
      <c r="AZ11" s="1">
        <v>434.0</v>
      </c>
      <c r="BA11" s="1">
        <v>435.0</v>
      </c>
      <c r="BB11" s="1">
        <v>436.0</v>
      </c>
      <c r="BC11" s="1">
        <v>437.0</v>
      </c>
      <c r="BD11" s="1">
        <v>438.0</v>
      </c>
      <c r="BE11" s="1">
        <v>438.0</v>
      </c>
      <c r="BF11" s="1">
        <v>439.0</v>
      </c>
      <c r="BG11" s="1">
        <v>440.0</v>
      </c>
      <c r="BH11" s="1">
        <v>441.0</v>
      </c>
      <c r="BI11" s="1">
        <v>442.0</v>
      </c>
      <c r="BJ11" s="1">
        <v>443.0</v>
      </c>
      <c r="BK11" s="1">
        <v>444.0</v>
      </c>
      <c r="BL11" s="1">
        <v>444.0</v>
      </c>
      <c r="BM11" s="1">
        <v>445.0</v>
      </c>
      <c r="BN11" s="1">
        <v>446.0</v>
      </c>
      <c r="BO11" s="1">
        <v>447.0</v>
      </c>
      <c r="BP11" s="1">
        <v>448.0</v>
      </c>
      <c r="BQ11" s="1">
        <v>449.0</v>
      </c>
      <c r="BR11" s="1">
        <v>450.0</v>
      </c>
      <c r="BS11" s="1">
        <v>451.0</v>
      </c>
      <c r="BT11" s="1">
        <v>451.0</v>
      </c>
      <c r="BU11" s="1">
        <v>452.0</v>
      </c>
      <c r="BV11" s="1">
        <v>27240.0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22000.0</v>
      </c>
      <c r="K12" s="1">
        <v>22043.0</v>
      </c>
      <c r="L12" s="1">
        <v>22086.0</v>
      </c>
      <c r="M12" s="1">
        <v>22129.0</v>
      </c>
      <c r="N12" s="1">
        <v>22172.0</v>
      </c>
      <c r="O12" s="1">
        <v>22216.0</v>
      </c>
      <c r="P12" s="1">
        <v>22259.0</v>
      </c>
      <c r="Q12" s="1">
        <v>22302.0</v>
      </c>
      <c r="R12" s="1">
        <v>22346.0</v>
      </c>
      <c r="S12" s="1">
        <v>22390.0</v>
      </c>
      <c r="T12" s="1">
        <v>22433.0</v>
      </c>
      <c r="U12" s="1">
        <v>22477.0</v>
      </c>
      <c r="V12" s="1">
        <v>22521.0</v>
      </c>
      <c r="W12" s="1">
        <v>22565.0</v>
      </c>
      <c r="X12" s="1">
        <v>22609.0</v>
      </c>
      <c r="Y12" s="1">
        <v>22653.0</v>
      </c>
      <c r="Z12" s="1">
        <v>22697.0</v>
      </c>
      <c r="AA12" s="1">
        <v>22742.0</v>
      </c>
      <c r="AB12" s="1">
        <v>22786.0</v>
      </c>
      <c r="AC12" s="1">
        <v>22830.0</v>
      </c>
      <c r="AD12" s="1">
        <v>22875.0</v>
      </c>
      <c r="AE12" s="1">
        <v>22920.0</v>
      </c>
      <c r="AF12" s="1">
        <v>22964.0</v>
      </c>
      <c r="AG12" s="1">
        <v>23009.0</v>
      </c>
      <c r="AH12" s="1">
        <v>23054.0</v>
      </c>
      <c r="AI12" s="1">
        <v>23099.0</v>
      </c>
      <c r="AJ12" s="1">
        <v>23144.0</v>
      </c>
      <c r="AK12" s="1">
        <v>23189.0</v>
      </c>
      <c r="AL12" s="1">
        <v>23235.0</v>
      </c>
      <c r="AM12" s="1">
        <v>23280.0</v>
      </c>
      <c r="AN12" s="1">
        <v>23325.0</v>
      </c>
      <c r="AO12" s="1">
        <v>23371.0</v>
      </c>
      <c r="AP12" s="1">
        <v>23417.0</v>
      </c>
      <c r="AQ12" s="1">
        <v>23462.0</v>
      </c>
      <c r="AR12" s="1">
        <v>23508.0</v>
      </c>
      <c r="AS12" s="1">
        <v>23554.0</v>
      </c>
      <c r="AT12" s="1">
        <v>23600.0</v>
      </c>
      <c r="AU12" s="1">
        <v>23646.0</v>
      </c>
      <c r="AV12" s="1">
        <v>23692.0</v>
      </c>
      <c r="AW12" s="1">
        <v>23738.0</v>
      </c>
      <c r="AX12" s="1">
        <v>23785.0</v>
      </c>
      <c r="AY12" s="1">
        <v>23831.0</v>
      </c>
      <c r="AZ12" s="1">
        <v>23878.0</v>
      </c>
      <c r="BA12" s="1">
        <v>23924.0</v>
      </c>
      <c r="BB12" s="1">
        <v>23971.0</v>
      </c>
      <c r="BC12" s="1">
        <v>24018.0</v>
      </c>
      <c r="BD12" s="1">
        <v>24065.0</v>
      </c>
      <c r="BE12" s="1">
        <v>24112.0</v>
      </c>
      <c r="BF12" s="1">
        <v>24159.0</v>
      </c>
      <c r="BG12" s="1">
        <v>24206.0</v>
      </c>
      <c r="BH12" s="1">
        <v>24253.0</v>
      </c>
      <c r="BI12" s="1">
        <v>24301.0</v>
      </c>
      <c r="BJ12" s="1">
        <v>24348.0</v>
      </c>
      <c r="BK12" s="1">
        <v>24395.0</v>
      </c>
      <c r="BL12" s="1">
        <v>24443.0</v>
      </c>
      <c r="BM12" s="1">
        <v>24491.0</v>
      </c>
      <c r="BN12" s="1">
        <v>24539.0</v>
      </c>
      <c r="BO12" s="1">
        <v>24587.0</v>
      </c>
      <c r="BP12" s="1">
        <v>24635.0</v>
      </c>
      <c r="BQ12" s="1">
        <v>24683.0</v>
      </c>
      <c r="BR12" s="1">
        <v>24731.0</v>
      </c>
      <c r="BS12" s="1">
        <v>24779.0</v>
      </c>
      <c r="BT12" s="1">
        <v>24827.0</v>
      </c>
      <c r="BU12" s="1">
        <v>24876.0</v>
      </c>
      <c r="BV12" s="1">
        <v>1498174.0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6600.0</v>
      </c>
      <c r="K13" s="1">
        <v>6613.0</v>
      </c>
      <c r="L13" s="1">
        <v>6626.0</v>
      </c>
      <c r="M13" s="1">
        <v>6639.0</v>
      </c>
      <c r="N13" s="1">
        <v>6652.0</v>
      </c>
      <c r="O13" s="1">
        <v>6665.0</v>
      </c>
      <c r="P13" s="1">
        <v>6678.0</v>
      </c>
      <c r="Q13" s="1">
        <v>6691.0</v>
      </c>
      <c r="R13" s="1">
        <v>6704.0</v>
      </c>
      <c r="S13" s="1">
        <v>6717.0</v>
      </c>
      <c r="T13" s="1">
        <v>6730.0</v>
      </c>
      <c r="U13" s="1">
        <v>6743.0</v>
      </c>
      <c r="V13" s="1">
        <v>6756.0</v>
      </c>
      <c r="W13" s="1">
        <v>6769.0</v>
      </c>
      <c r="X13" s="1">
        <v>6783.0</v>
      </c>
      <c r="Y13" s="1">
        <v>6796.0</v>
      </c>
      <c r="Z13" s="1">
        <v>6809.0</v>
      </c>
      <c r="AA13" s="1">
        <v>6822.0</v>
      </c>
      <c r="AB13" s="1">
        <v>6836.0</v>
      </c>
      <c r="AC13" s="1">
        <v>6849.0</v>
      </c>
      <c r="AD13" s="1">
        <v>6862.0</v>
      </c>
      <c r="AE13" s="1">
        <v>6876.0</v>
      </c>
      <c r="AF13" s="1">
        <v>6889.0</v>
      </c>
      <c r="AG13" s="1">
        <v>6903.0</v>
      </c>
      <c r="AH13" s="1">
        <v>6916.0</v>
      </c>
      <c r="AI13" s="1">
        <v>6930.0</v>
      </c>
      <c r="AJ13" s="1">
        <v>6943.0</v>
      </c>
      <c r="AK13" s="1">
        <v>6957.0</v>
      </c>
      <c r="AL13" s="1">
        <v>6970.0</v>
      </c>
      <c r="AM13" s="1">
        <v>6984.0</v>
      </c>
      <c r="AN13" s="1">
        <v>6998.0</v>
      </c>
      <c r="AO13" s="1">
        <v>7011.0</v>
      </c>
      <c r="AP13" s="1">
        <v>7025.0</v>
      </c>
      <c r="AQ13" s="1">
        <v>7039.0</v>
      </c>
      <c r="AR13" s="1">
        <v>7052.0</v>
      </c>
      <c r="AS13" s="1">
        <v>7066.0</v>
      </c>
      <c r="AT13" s="1">
        <v>7080.0</v>
      </c>
      <c r="AU13" s="1">
        <v>7094.0</v>
      </c>
      <c r="AV13" s="1">
        <v>7108.0</v>
      </c>
      <c r="AW13" s="1">
        <v>7122.0</v>
      </c>
      <c r="AX13" s="1">
        <v>7135.0</v>
      </c>
      <c r="AY13" s="1">
        <v>7149.0</v>
      </c>
      <c r="AZ13" s="1">
        <v>7163.0</v>
      </c>
      <c r="BA13" s="1">
        <v>7177.0</v>
      </c>
      <c r="BB13" s="1">
        <v>7191.0</v>
      </c>
      <c r="BC13" s="1">
        <v>7205.0</v>
      </c>
      <c r="BD13" s="1">
        <v>7219.0</v>
      </c>
      <c r="BE13" s="1">
        <v>7234.0</v>
      </c>
      <c r="BF13" s="1">
        <v>7248.0</v>
      </c>
      <c r="BG13" s="1">
        <v>7262.0</v>
      </c>
      <c r="BH13" s="1">
        <v>7276.0</v>
      </c>
      <c r="BI13" s="1">
        <v>7290.0</v>
      </c>
      <c r="BJ13" s="1">
        <v>7304.0</v>
      </c>
      <c r="BK13" s="1">
        <v>7319.0</v>
      </c>
      <c r="BL13" s="1">
        <v>7333.0</v>
      </c>
      <c r="BM13" s="1">
        <v>7347.0</v>
      </c>
      <c r="BN13" s="1">
        <v>7362.0</v>
      </c>
      <c r="BO13" s="1">
        <v>7376.0</v>
      </c>
      <c r="BP13" s="1">
        <v>7390.0</v>
      </c>
      <c r="BQ13" s="1">
        <v>7405.0</v>
      </c>
      <c r="BR13" s="1">
        <v>7419.0</v>
      </c>
      <c r="BS13" s="1">
        <v>7434.0</v>
      </c>
      <c r="BT13" s="1">
        <v>7448.0</v>
      </c>
      <c r="BU13" s="1">
        <v>7463.0</v>
      </c>
      <c r="BV13" s="1">
        <v>449452.0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6600.0</v>
      </c>
      <c r="K15" s="1">
        <v>6613.0</v>
      </c>
      <c r="L15" s="1">
        <v>6626.0</v>
      </c>
      <c r="M15" s="1">
        <v>6639.0</v>
      </c>
      <c r="N15" s="1">
        <v>6652.0</v>
      </c>
      <c r="O15" s="1">
        <v>6665.0</v>
      </c>
      <c r="P15" s="1">
        <v>6678.0</v>
      </c>
      <c r="Q15" s="1">
        <v>6691.0</v>
      </c>
      <c r="R15" s="1">
        <v>6704.0</v>
      </c>
      <c r="S15" s="1">
        <v>6717.0</v>
      </c>
      <c r="T15" s="1">
        <v>6730.0</v>
      </c>
      <c r="U15" s="1">
        <v>6743.0</v>
      </c>
      <c r="V15" s="1">
        <v>6756.0</v>
      </c>
      <c r="W15" s="1">
        <v>6769.0</v>
      </c>
      <c r="X15" s="1">
        <v>6783.0</v>
      </c>
      <c r="Y15" s="1">
        <v>6796.0</v>
      </c>
      <c r="Z15" s="1">
        <v>6809.0</v>
      </c>
      <c r="AA15" s="1">
        <v>6822.0</v>
      </c>
      <c r="AB15" s="1">
        <v>6836.0</v>
      </c>
      <c r="AC15" s="1">
        <v>6849.0</v>
      </c>
      <c r="AD15" s="1">
        <v>6862.0</v>
      </c>
      <c r="AE15" s="1">
        <v>6876.0</v>
      </c>
      <c r="AF15" s="1">
        <v>6889.0</v>
      </c>
      <c r="AG15" s="1">
        <v>6903.0</v>
      </c>
      <c r="AH15" s="1">
        <v>6916.0</v>
      </c>
      <c r="AI15" s="1">
        <v>6930.0</v>
      </c>
      <c r="AJ15" s="1">
        <v>6943.0</v>
      </c>
      <c r="AK15" s="1">
        <v>6957.0</v>
      </c>
      <c r="AL15" s="1">
        <v>6970.0</v>
      </c>
      <c r="AM15" s="1">
        <v>6984.0</v>
      </c>
      <c r="AN15" s="1">
        <v>6998.0</v>
      </c>
      <c r="AO15" s="1">
        <v>7011.0</v>
      </c>
      <c r="AP15" s="1">
        <v>7025.0</v>
      </c>
      <c r="AQ15" s="1">
        <v>7039.0</v>
      </c>
      <c r="AR15" s="1">
        <v>7052.0</v>
      </c>
      <c r="AS15" s="1">
        <v>7066.0</v>
      </c>
      <c r="AT15" s="1">
        <v>7080.0</v>
      </c>
      <c r="AU15" s="1">
        <v>7094.0</v>
      </c>
      <c r="AV15" s="1">
        <v>7108.0</v>
      </c>
      <c r="AW15" s="1">
        <v>7122.0</v>
      </c>
      <c r="AX15" s="1">
        <v>7135.0</v>
      </c>
      <c r="AY15" s="1">
        <v>7149.0</v>
      </c>
      <c r="AZ15" s="1">
        <v>7163.0</v>
      </c>
      <c r="BA15" s="1">
        <v>7177.0</v>
      </c>
      <c r="BB15" s="1">
        <v>7191.0</v>
      </c>
      <c r="BC15" s="1">
        <v>7205.0</v>
      </c>
      <c r="BD15" s="1">
        <v>7219.0</v>
      </c>
      <c r="BE15" s="1">
        <v>7234.0</v>
      </c>
      <c r="BF15" s="1">
        <v>7248.0</v>
      </c>
      <c r="BG15" s="1">
        <v>7262.0</v>
      </c>
      <c r="BH15" s="1">
        <v>7276.0</v>
      </c>
      <c r="BI15" s="1">
        <v>7290.0</v>
      </c>
      <c r="BJ15" s="1">
        <v>7304.0</v>
      </c>
      <c r="BK15" s="1">
        <v>7319.0</v>
      </c>
      <c r="BL15" s="1">
        <v>7333.0</v>
      </c>
      <c r="BM15" s="1">
        <v>7347.0</v>
      </c>
      <c r="BN15" s="1">
        <v>7362.0</v>
      </c>
      <c r="BO15" s="1">
        <v>7376.0</v>
      </c>
      <c r="BP15" s="1">
        <v>7390.0</v>
      </c>
      <c r="BQ15" s="1">
        <v>7405.0</v>
      </c>
      <c r="BR15" s="1">
        <v>7419.0</v>
      </c>
      <c r="BS15" s="1">
        <v>7434.0</v>
      </c>
      <c r="BT15" s="1">
        <v>7448.0</v>
      </c>
      <c r="BU15" s="1">
        <v>7463.0</v>
      </c>
      <c r="BV15" s="1">
        <v>449452.0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15400.0</v>
      </c>
      <c r="K16" s="1">
        <v>15430.0</v>
      </c>
      <c r="L16" s="1">
        <v>15460.0</v>
      </c>
      <c r="M16" s="1">
        <v>15490.0</v>
      </c>
      <c r="N16" s="1">
        <v>15521.0</v>
      </c>
      <c r="O16" s="1">
        <v>15551.0</v>
      </c>
      <c r="P16" s="1">
        <v>15581.0</v>
      </c>
      <c r="Q16" s="1">
        <v>15612.0</v>
      </c>
      <c r="R16" s="1">
        <v>15642.0</v>
      </c>
      <c r="S16" s="1">
        <v>15673.0</v>
      </c>
      <c r="T16" s="1">
        <v>15703.0</v>
      </c>
      <c r="U16" s="1">
        <v>15734.0</v>
      </c>
      <c r="V16" s="1">
        <v>15765.0</v>
      </c>
      <c r="W16" s="1">
        <v>15795.0</v>
      </c>
      <c r="X16" s="1">
        <v>15826.0</v>
      </c>
      <c r="Y16" s="1">
        <v>15857.0</v>
      </c>
      <c r="Z16" s="1">
        <v>15888.0</v>
      </c>
      <c r="AA16" s="1">
        <v>15919.0</v>
      </c>
      <c r="AB16" s="1">
        <v>15950.0</v>
      </c>
      <c r="AC16" s="1">
        <v>15981.0</v>
      </c>
      <c r="AD16" s="1">
        <v>16012.0</v>
      </c>
      <c r="AE16" s="1">
        <v>16044.0</v>
      </c>
      <c r="AF16" s="1">
        <v>16075.0</v>
      </c>
      <c r="AG16" s="1">
        <v>16106.0</v>
      </c>
      <c r="AH16" s="1">
        <v>16138.0</v>
      </c>
      <c r="AI16" s="1">
        <v>16169.0</v>
      </c>
      <c r="AJ16" s="1">
        <v>16201.0</v>
      </c>
      <c r="AK16" s="1">
        <v>16233.0</v>
      </c>
      <c r="AL16" s="1">
        <v>16264.0</v>
      </c>
      <c r="AM16" s="1">
        <v>16296.0</v>
      </c>
      <c r="AN16" s="1">
        <v>16328.0</v>
      </c>
      <c r="AO16" s="1">
        <v>16360.0</v>
      </c>
      <c r="AP16" s="1">
        <v>16392.0</v>
      </c>
      <c r="AQ16" s="1">
        <v>16424.0</v>
      </c>
      <c r="AR16" s="1">
        <v>16456.0</v>
      </c>
      <c r="AS16" s="1">
        <v>16488.0</v>
      </c>
      <c r="AT16" s="1">
        <v>16520.0</v>
      </c>
      <c r="AU16" s="1">
        <v>16552.0</v>
      </c>
      <c r="AV16" s="1">
        <v>16585.0</v>
      </c>
      <c r="AW16" s="1">
        <v>16617.0</v>
      </c>
      <c r="AX16" s="1">
        <v>16649.0</v>
      </c>
      <c r="AY16" s="1">
        <v>16682.0</v>
      </c>
      <c r="AZ16" s="1">
        <v>16714.0</v>
      </c>
      <c r="BA16" s="1">
        <v>16747.0</v>
      </c>
      <c r="BB16" s="1">
        <v>16780.0</v>
      </c>
      <c r="BC16" s="1">
        <v>16812.0</v>
      </c>
      <c r="BD16" s="1">
        <v>16845.0</v>
      </c>
      <c r="BE16" s="1">
        <v>16878.0</v>
      </c>
      <c r="BF16" s="1">
        <v>16911.0</v>
      </c>
      <c r="BG16" s="1">
        <v>16944.0</v>
      </c>
      <c r="BH16" s="1">
        <v>16977.0</v>
      </c>
      <c r="BI16" s="1">
        <v>17010.0</v>
      </c>
      <c r="BJ16" s="1">
        <v>17044.0</v>
      </c>
      <c r="BK16" s="1">
        <v>17077.0</v>
      </c>
      <c r="BL16" s="1">
        <v>17110.0</v>
      </c>
      <c r="BM16" s="1">
        <v>17144.0</v>
      </c>
      <c r="BN16" s="1">
        <v>17177.0</v>
      </c>
      <c r="BO16" s="1">
        <v>17211.0</v>
      </c>
      <c r="BP16" s="1">
        <v>17244.0</v>
      </c>
      <c r="BQ16" s="1">
        <v>17278.0</v>
      </c>
      <c r="BR16" s="1">
        <v>17312.0</v>
      </c>
      <c r="BS16" s="1">
        <v>17345.0</v>
      </c>
      <c r="BT16" s="1">
        <v>17379.0</v>
      </c>
      <c r="BU16" s="1">
        <v>17413.0</v>
      </c>
      <c r="BV16" s="1">
        <v>1048722.0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188</v>
      </c>
    </row>
    <row r="2">
      <c r="A2" s="1" t="s">
        <v>189</v>
      </c>
    </row>
    <row r="3">
      <c r="A3" s="1" t="s">
        <v>180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12000.0</v>
      </c>
      <c r="N6" s="1">
        <v>12023.0</v>
      </c>
      <c r="O6" s="1">
        <v>12047.0</v>
      </c>
      <c r="P6" s="1">
        <v>12070.0</v>
      </c>
      <c r="Q6" s="1">
        <v>12094.0</v>
      </c>
      <c r="R6" s="1">
        <v>12118.0</v>
      </c>
      <c r="S6" s="1">
        <v>12141.0</v>
      </c>
      <c r="T6" s="1">
        <v>12165.0</v>
      </c>
      <c r="U6" s="1">
        <v>12189.0</v>
      </c>
      <c r="V6" s="1">
        <v>12212.0</v>
      </c>
      <c r="W6" s="1">
        <v>12236.0</v>
      </c>
      <c r="X6" s="1">
        <v>12260.0</v>
      </c>
      <c r="Y6" s="1">
        <v>12284.0</v>
      </c>
      <c r="Z6" s="1">
        <v>12308.0</v>
      </c>
      <c r="AA6" s="1">
        <v>12332.0</v>
      </c>
      <c r="AB6" s="1">
        <v>12356.0</v>
      </c>
      <c r="AC6" s="1">
        <v>12380.0</v>
      </c>
      <c r="AD6" s="1">
        <v>12404.0</v>
      </c>
      <c r="AE6" s="1">
        <v>12429.0</v>
      </c>
      <c r="AF6" s="1">
        <v>12453.0</v>
      </c>
      <c r="AG6" s="1">
        <v>12477.0</v>
      </c>
      <c r="AH6" s="1">
        <v>12502.0</v>
      </c>
      <c r="AI6" s="1">
        <v>12526.0</v>
      </c>
      <c r="AJ6" s="1">
        <v>12550.0</v>
      </c>
      <c r="AK6" s="1">
        <v>12575.0</v>
      </c>
      <c r="AL6" s="1">
        <v>12600.0</v>
      </c>
      <c r="AM6" s="1">
        <v>12624.0</v>
      </c>
      <c r="AN6" s="1">
        <v>12649.0</v>
      </c>
      <c r="AO6" s="1">
        <v>12673.0</v>
      </c>
      <c r="AP6" s="1">
        <v>12698.0</v>
      </c>
      <c r="AQ6" s="1">
        <v>12723.0</v>
      </c>
      <c r="AR6" s="1">
        <v>12748.0</v>
      </c>
      <c r="AS6" s="1">
        <v>12773.0</v>
      </c>
      <c r="AT6" s="1">
        <v>12798.0</v>
      </c>
      <c r="AU6" s="1">
        <v>12823.0</v>
      </c>
      <c r="AV6" s="1">
        <v>12848.0</v>
      </c>
      <c r="AW6" s="1">
        <v>12873.0</v>
      </c>
      <c r="AX6" s="1">
        <v>12898.0</v>
      </c>
      <c r="AY6" s="1">
        <v>12923.0</v>
      </c>
      <c r="AZ6" s="1">
        <v>12948.0</v>
      </c>
      <c r="BA6" s="1">
        <v>12974.0</v>
      </c>
      <c r="BB6" s="1">
        <v>12999.0</v>
      </c>
      <c r="BC6" s="1">
        <v>13024.0</v>
      </c>
      <c r="BD6" s="1">
        <v>13050.0</v>
      </c>
      <c r="BE6" s="1">
        <v>13075.0</v>
      </c>
      <c r="BF6" s="1">
        <v>13101.0</v>
      </c>
      <c r="BG6" s="1">
        <v>13126.0</v>
      </c>
      <c r="BH6" s="1">
        <v>13152.0</v>
      </c>
      <c r="BI6" s="1">
        <v>13178.0</v>
      </c>
      <c r="BJ6" s="1">
        <v>13203.0</v>
      </c>
      <c r="BK6" s="1">
        <v>13229.0</v>
      </c>
      <c r="BL6" s="1">
        <v>13255.0</v>
      </c>
      <c r="BM6" s="1">
        <v>13281.0</v>
      </c>
      <c r="BN6" s="1">
        <v>13307.0</v>
      </c>
      <c r="BO6" s="1">
        <v>13333.0</v>
      </c>
      <c r="BP6" s="1">
        <v>13359.0</v>
      </c>
      <c r="BQ6" s="1">
        <v>13385.0</v>
      </c>
      <c r="BR6" s="1">
        <v>13411.0</v>
      </c>
      <c r="BS6" s="1">
        <v>13437.0</v>
      </c>
      <c r="BT6" s="1">
        <v>13463.0</v>
      </c>
      <c r="BU6" s="1">
        <v>13490.0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72.0</v>
      </c>
      <c r="O7" s="1">
        <v>72.0</v>
      </c>
      <c r="P7" s="1">
        <v>72.0</v>
      </c>
      <c r="Q7" s="1">
        <v>72.0</v>
      </c>
      <c r="R7" s="1">
        <v>73.0</v>
      </c>
      <c r="S7" s="1">
        <v>73.0</v>
      </c>
      <c r="T7" s="1">
        <v>73.0</v>
      </c>
      <c r="U7" s="1">
        <v>73.0</v>
      </c>
      <c r="V7" s="1">
        <v>73.0</v>
      </c>
      <c r="W7" s="1">
        <v>73.0</v>
      </c>
      <c r="X7" s="1">
        <v>73.0</v>
      </c>
      <c r="Y7" s="1">
        <v>74.0</v>
      </c>
      <c r="Z7" s="1">
        <v>74.0</v>
      </c>
      <c r="AA7" s="1">
        <v>74.0</v>
      </c>
      <c r="AB7" s="1">
        <v>74.0</v>
      </c>
      <c r="AC7" s="1">
        <v>74.0</v>
      </c>
      <c r="AD7" s="1">
        <v>74.0</v>
      </c>
      <c r="AE7" s="1">
        <v>74.0</v>
      </c>
      <c r="AF7" s="1">
        <v>75.0</v>
      </c>
      <c r="AG7" s="1">
        <v>75.0</v>
      </c>
      <c r="AH7" s="1">
        <v>75.0</v>
      </c>
      <c r="AI7" s="1">
        <v>75.0</v>
      </c>
      <c r="AJ7" s="1">
        <v>75.0</v>
      </c>
      <c r="AK7" s="1">
        <v>75.0</v>
      </c>
      <c r="AL7" s="1">
        <v>75.0</v>
      </c>
      <c r="AM7" s="1">
        <v>76.0</v>
      </c>
      <c r="AN7" s="1">
        <v>76.0</v>
      </c>
      <c r="AO7" s="1">
        <v>76.0</v>
      </c>
      <c r="AP7" s="1">
        <v>76.0</v>
      </c>
      <c r="AQ7" s="1">
        <v>76.0</v>
      </c>
      <c r="AR7" s="1">
        <v>76.0</v>
      </c>
      <c r="AS7" s="1">
        <v>76.0</v>
      </c>
      <c r="AT7" s="1">
        <v>77.0</v>
      </c>
      <c r="AU7" s="1">
        <v>77.0</v>
      </c>
      <c r="AV7" s="1">
        <v>77.0</v>
      </c>
      <c r="AW7" s="1">
        <v>77.0</v>
      </c>
      <c r="AX7" s="1">
        <v>77.0</v>
      </c>
      <c r="AY7" s="1">
        <v>77.0</v>
      </c>
      <c r="AZ7" s="1">
        <v>78.0</v>
      </c>
      <c r="BA7" s="1">
        <v>78.0</v>
      </c>
      <c r="BB7" s="1">
        <v>78.0</v>
      </c>
      <c r="BC7" s="1">
        <v>78.0</v>
      </c>
      <c r="BD7" s="1">
        <v>78.0</v>
      </c>
      <c r="BE7" s="1">
        <v>78.0</v>
      </c>
      <c r="BF7" s="1">
        <v>78.0</v>
      </c>
      <c r="BG7" s="1">
        <v>79.0</v>
      </c>
      <c r="BH7" s="1">
        <v>79.0</v>
      </c>
      <c r="BI7" s="1">
        <v>79.0</v>
      </c>
      <c r="BJ7" s="1">
        <v>79.0</v>
      </c>
      <c r="BK7" s="1">
        <v>79.0</v>
      </c>
      <c r="BL7" s="1">
        <v>79.0</v>
      </c>
      <c r="BM7" s="1">
        <v>80.0</v>
      </c>
      <c r="BN7" s="1">
        <v>80.0</v>
      </c>
      <c r="BO7" s="1">
        <v>80.0</v>
      </c>
      <c r="BP7" s="1">
        <v>80.0</v>
      </c>
      <c r="BQ7" s="1">
        <v>80.0</v>
      </c>
      <c r="BR7" s="1">
        <v>80.0</v>
      </c>
      <c r="BS7" s="1">
        <v>80.0</v>
      </c>
      <c r="BT7" s="1">
        <v>81.0</v>
      </c>
      <c r="BU7" s="1">
        <v>81.0</v>
      </c>
      <c r="BV7" s="1">
        <v>4578.0</v>
      </c>
    </row>
    <row r="8">
      <c r="A8" s="1" t="s">
        <v>145</v>
      </c>
      <c r="B8" s="1">
        <v>0.8</v>
      </c>
      <c r="C8" s="1">
        <v>0.8</v>
      </c>
      <c r="D8" s="1">
        <v>0.8</v>
      </c>
      <c r="E8" s="1">
        <v>0.8</v>
      </c>
      <c r="F8" s="1">
        <v>0.8</v>
      </c>
      <c r="G8" s="1">
        <v>0.8</v>
      </c>
      <c r="H8" s="1">
        <v>0.8</v>
      </c>
      <c r="I8" s="1">
        <v>0.8</v>
      </c>
      <c r="J8" s="1">
        <v>0.8</v>
      </c>
      <c r="K8" s="1">
        <v>0.8</v>
      </c>
      <c r="L8" s="1">
        <v>0.8</v>
      </c>
      <c r="M8" s="1">
        <v>0.8</v>
      </c>
      <c r="N8" s="1">
        <v>0.8</v>
      </c>
      <c r="O8" s="1">
        <v>0.8</v>
      </c>
      <c r="P8" s="1">
        <v>0.8</v>
      </c>
      <c r="Q8" s="1">
        <v>0.8</v>
      </c>
      <c r="R8" s="1">
        <v>0.8</v>
      </c>
      <c r="S8" s="1">
        <v>0.8</v>
      </c>
      <c r="T8" s="1">
        <v>0.8</v>
      </c>
      <c r="U8" s="1">
        <v>0.8</v>
      </c>
      <c r="V8" s="1">
        <v>0.8</v>
      </c>
      <c r="W8" s="1">
        <v>0.8</v>
      </c>
      <c r="X8" s="1">
        <v>0.8</v>
      </c>
      <c r="Y8" s="1">
        <v>0.8</v>
      </c>
      <c r="Z8" s="1">
        <v>0.8</v>
      </c>
      <c r="AA8" s="1">
        <v>0.8</v>
      </c>
      <c r="AB8" s="1">
        <v>0.8</v>
      </c>
      <c r="AC8" s="1">
        <v>0.8</v>
      </c>
      <c r="AD8" s="1">
        <v>0.8</v>
      </c>
      <c r="AE8" s="1">
        <v>0.8</v>
      </c>
      <c r="AF8" s="1">
        <v>0.8</v>
      </c>
      <c r="AG8" s="1">
        <v>0.8</v>
      </c>
      <c r="AH8" s="1">
        <v>0.8</v>
      </c>
      <c r="AI8" s="1">
        <v>0.8</v>
      </c>
      <c r="AJ8" s="1">
        <v>0.8</v>
      </c>
      <c r="AK8" s="1">
        <v>0.8</v>
      </c>
      <c r="AL8" s="1">
        <v>0.8</v>
      </c>
      <c r="AM8" s="1">
        <v>0.8</v>
      </c>
      <c r="AN8" s="1">
        <v>0.8</v>
      </c>
      <c r="AO8" s="1">
        <v>0.8</v>
      </c>
      <c r="AP8" s="1">
        <v>0.8</v>
      </c>
      <c r="AQ8" s="1">
        <v>0.8</v>
      </c>
      <c r="AR8" s="1">
        <v>0.8</v>
      </c>
      <c r="AS8" s="1">
        <v>0.8</v>
      </c>
      <c r="AT8" s="1">
        <v>0.8</v>
      </c>
      <c r="AU8" s="1">
        <v>0.8</v>
      </c>
      <c r="AV8" s="1">
        <v>0.8</v>
      </c>
      <c r="AW8" s="1">
        <v>0.8</v>
      </c>
      <c r="AX8" s="1">
        <v>0.8</v>
      </c>
      <c r="AY8" s="1">
        <v>0.8</v>
      </c>
      <c r="AZ8" s="1">
        <v>0.8</v>
      </c>
      <c r="BA8" s="1">
        <v>0.8</v>
      </c>
      <c r="BB8" s="1">
        <v>0.8</v>
      </c>
      <c r="BC8" s="1">
        <v>0.8</v>
      </c>
      <c r="BD8" s="1">
        <v>0.8</v>
      </c>
      <c r="BE8" s="1">
        <v>0.8</v>
      </c>
      <c r="BF8" s="1">
        <v>0.8</v>
      </c>
      <c r="BG8" s="1">
        <v>0.8</v>
      </c>
      <c r="BH8" s="1">
        <v>0.8</v>
      </c>
      <c r="BI8" s="1">
        <v>0.8</v>
      </c>
      <c r="BJ8" s="1">
        <v>0.8</v>
      </c>
      <c r="BK8" s="1">
        <v>0.8</v>
      </c>
      <c r="BL8" s="1">
        <v>0.8</v>
      </c>
      <c r="BM8" s="1">
        <v>0.8</v>
      </c>
      <c r="BN8" s="1">
        <v>0.8</v>
      </c>
      <c r="BO8" s="1">
        <v>0.8</v>
      </c>
      <c r="BP8" s="1">
        <v>0.8</v>
      </c>
      <c r="BQ8" s="1">
        <v>0.8</v>
      </c>
      <c r="BR8" s="1">
        <v>0.8</v>
      </c>
      <c r="BS8" s="1">
        <v>0.8</v>
      </c>
      <c r="BT8" s="1">
        <v>0.8</v>
      </c>
      <c r="BU8" s="1">
        <v>0.8</v>
      </c>
    </row>
    <row r="9">
      <c r="A9" s="1" t="s">
        <v>146</v>
      </c>
      <c r="B9" s="1">
        <v>80.0</v>
      </c>
      <c r="C9" s="1">
        <v>80.0</v>
      </c>
      <c r="D9" s="1">
        <v>80.0</v>
      </c>
      <c r="E9" s="1">
        <v>80.0</v>
      </c>
      <c r="F9" s="1">
        <v>80.0</v>
      </c>
      <c r="G9" s="1">
        <v>80.0</v>
      </c>
      <c r="H9" s="1">
        <v>80.0</v>
      </c>
      <c r="I9" s="1">
        <v>80.0</v>
      </c>
      <c r="J9" s="1">
        <v>80.0</v>
      </c>
      <c r="K9" s="1">
        <v>80.0</v>
      </c>
      <c r="L9" s="1">
        <v>80.0</v>
      </c>
      <c r="M9" s="1">
        <v>80.0</v>
      </c>
      <c r="N9" s="1">
        <v>80.0</v>
      </c>
      <c r="O9" s="1">
        <v>80.0</v>
      </c>
      <c r="P9" s="1">
        <v>80.0</v>
      </c>
      <c r="Q9" s="1">
        <v>80.0</v>
      </c>
      <c r="R9" s="1">
        <v>80.0</v>
      </c>
      <c r="S9" s="1">
        <v>80.0</v>
      </c>
      <c r="T9" s="1">
        <v>80.0</v>
      </c>
      <c r="U9" s="1">
        <v>80.0</v>
      </c>
      <c r="V9" s="1">
        <v>80.0</v>
      </c>
      <c r="W9" s="1">
        <v>80.0</v>
      </c>
      <c r="X9" s="1">
        <v>80.0</v>
      </c>
      <c r="Y9" s="1">
        <v>80.0</v>
      </c>
      <c r="Z9" s="1">
        <v>80.0</v>
      </c>
      <c r="AA9" s="1">
        <v>80.0</v>
      </c>
      <c r="AB9" s="1">
        <v>80.0</v>
      </c>
      <c r="AC9" s="1">
        <v>80.0</v>
      </c>
      <c r="AD9" s="1">
        <v>80.0</v>
      </c>
      <c r="AE9" s="1">
        <v>80.0</v>
      </c>
      <c r="AF9" s="1">
        <v>80.0</v>
      </c>
      <c r="AG9" s="1">
        <v>80.0</v>
      </c>
      <c r="AH9" s="1">
        <v>80.0</v>
      </c>
      <c r="AI9" s="1">
        <v>80.0</v>
      </c>
      <c r="AJ9" s="1">
        <v>80.0</v>
      </c>
      <c r="AK9" s="1">
        <v>80.0</v>
      </c>
      <c r="AL9" s="1">
        <v>80.0</v>
      </c>
      <c r="AM9" s="1">
        <v>80.0</v>
      </c>
      <c r="AN9" s="1">
        <v>80.0</v>
      </c>
      <c r="AO9" s="1">
        <v>80.0</v>
      </c>
      <c r="AP9" s="1">
        <v>80.0</v>
      </c>
      <c r="AQ9" s="1">
        <v>80.0</v>
      </c>
      <c r="AR9" s="1">
        <v>80.0</v>
      </c>
      <c r="AS9" s="1">
        <v>80.0</v>
      </c>
      <c r="AT9" s="1">
        <v>80.0</v>
      </c>
      <c r="AU9" s="1">
        <v>80.0</v>
      </c>
      <c r="AV9" s="1">
        <v>80.0</v>
      </c>
      <c r="AW9" s="1">
        <v>80.0</v>
      </c>
      <c r="AX9" s="1">
        <v>80.0</v>
      </c>
      <c r="AY9" s="1">
        <v>80.0</v>
      </c>
      <c r="AZ9" s="1">
        <v>80.0</v>
      </c>
      <c r="BA9" s="1">
        <v>80.0</v>
      </c>
      <c r="BB9" s="1">
        <v>80.0</v>
      </c>
      <c r="BC9" s="1">
        <v>80.0</v>
      </c>
      <c r="BD9" s="1">
        <v>80.0</v>
      </c>
      <c r="BE9" s="1">
        <v>80.0</v>
      </c>
      <c r="BF9" s="1">
        <v>80.0</v>
      </c>
      <c r="BG9" s="1">
        <v>80.0</v>
      </c>
      <c r="BH9" s="1">
        <v>80.0</v>
      </c>
      <c r="BI9" s="1">
        <v>80.0</v>
      </c>
      <c r="BJ9" s="1">
        <v>80.0</v>
      </c>
      <c r="BK9" s="1">
        <v>80.0</v>
      </c>
      <c r="BL9" s="1">
        <v>80.0</v>
      </c>
      <c r="BM9" s="1">
        <v>80.0</v>
      </c>
      <c r="BN9" s="1">
        <v>80.0</v>
      </c>
      <c r="BO9" s="1">
        <v>80.0</v>
      </c>
      <c r="BP9" s="1">
        <v>80.0</v>
      </c>
      <c r="BQ9" s="1">
        <v>80.0</v>
      </c>
      <c r="BR9" s="1">
        <v>80.0</v>
      </c>
      <c r="BS9" s="1">
        <v>80.0</v>
      </c>
      <c r="BT9" s="1">
        <v>80.0</v>
      </c>
      <c r="BU9" s="1">
        <v>80.0</v>
      </c>
      <c r="BV9" s="1" t="s">
        <v>190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96.0</v>
      </c>
      <c r="N11" s="1">
        <v>96.0</v>
      </c>
      <c r="O11" s="1">
        <v>96.0</v>
      </c>
      <c r="P11" s="1">
        <v>97.0</v>
      </c>
      <c r="Q11" s="1">
        <v>97.0</v>
      </c>
      <c r="R11" s="1">
        <v>97.0</v>
      </c>
      <c r="S11" s="1">
        <v>97.0</v>
      </c>
      <c r="T11" s="1">
        <v>97.0</v>
      </c>
      <c r="U11" s="1">
        <v>98.0</v>
      </c>
      <c r="V11" s="1">
        <v>98.0</v>
      </c>
      <c r="W11" s="1">
        <v>98.0</v>
      </c>
      <c r="X11" s="1">
        <v>98.0</v>
      </c>
      <c r="Y11" s="1">
        <v>98.0</v>
      </c>
      <c r="Z11" s="1">
        <v>98.0</v>
      </c>
      <c r="AA11" s="1">
        <v>99.0</v>
      </c>
      <c r="AB11" s="1">
        <v>99.0</v>
      </c>
      <c r="AC11" s="1">
        <v>99.0</v>
      </c>
      <c r="AD11" s="1">
        <v>99.0</v>
      </c>
      <c r="AE11" s="1">
        <v>99.0</v>
      </c>
      <c r="AF11" s="1">
        <v>100.0</v>
      </c>
      <c r="AG11" s="1">
        <v>100.0</v>
      </c>
      <c r="AH11" s="1">
        <v>100.0</v>
      </c>
      <c r="AI11" s="1">
        <v>100.0</v>
      </c>
      <c r="AJ11" s="1">
        <v>100.0</v>
      </c>
      <c r="AK11" s="1">
        <v>101.0</v>
      </c>
      <c r="AL11" s="1">
        <v>101.0</v>
      </c>
      <c r="AM11" s="1">
        <v>101.0</v>
      </c>
      <c r="AN11" s="1">
        <v>101.0</v>
      </c>
      <c r="AO11" s="1">
        <v>101.0</v>
      </c>
      <c r="AP11" s="1">
        <v>102.0</v>
      </c>
      <c r="AQ11" s="1">
        <v>102.0</v>
      </c>
      <c r="AR11" s="1">
        <v>102.0</v>
      </c>
      <c r="AS11" s="1">
        <v>102.0</v>
      </c>
      <c r="AT11" s="1">
        <v>102.0</v>
      </c>
      <c r="AU11" s="1">
        <v>103.0</v>
      </c>
      <c r="AV11" s="1">
        <v>103.0</v>
      </c>
      <c r="AW11" s="1">
        <v>103.0</v>
      </c>
      <c r="AX11" s="1">
        <v>103.0</v>
      </c>
      <c r="AY11" s="1">
        <v>103.0</v>
      </c>
      <c r="AZ11" s="1">
        <v>104.0</v>
      </c>
      <c r="BA11" s="1">
        <v>104.0</v>
      </c>
      <c r="BB11" s="1">
        <v>104.0</v>
      </c>
      <c r="BC11" s="1">
        <v>104.0</v>
      </c>
      <c r="BD11" s="1">
        <v>104.0</v>
      </c>
      <c r="BE11" s="1">
        <v>105.0</v>
      </c>
      <c r="BF11" s="1">
        <v>105.0</v>
      </c>
      <c r="BG11" s="1">
        <v>105.0</v>
      </c>
      <c r="BH11" s="1">
        <v>105.0</v>
      </c>
      <c r="BI11" s="1">
        <v>105.0</v>
      </c>
      <c r="BJ11" s="1">
        <v>106.0</v>
      </c>
      <c r="BK11" s="1">
        <v>106.0</v>
      </c>
      <c r="BL11" s="1">
        <v>106.0</v>
      </c>
      <c r="BM11" s="1">
        <v>106.0</v>
      </c>
      <c r="BN11" s="1">
        <v>106.0</v>
      </c>
      <c r="BO11" s="1">
        <v>107.0</v>
      </c>
      <c r="BP11" s="1">
        <v>107.0</v>
      </c>
      <c r="BQ11" s="1">
        <v>107.0</v>
      </c>
      <c r="BR11" s="1">
        <v>107.0</v>
      </c>
      <c r="BS11" s="1">
        <v>107.0</v>
      </c>
      <c r="BT11" s="1">
        <v>108.0</v>
      </c>
      <c r="BU11" s="1">
        <v>108.0</v>
      </c>
      <c r="BV11" s="1">
        <v>6212.0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7680.0</v>
      </c>
      <c r="N12" s="1">
        <v>7695.0</v>
      </c>
      <c r="O12" s="1">
        <v>7710.0</v>
      </c>
      <c r="P12" s="1">
        <v>7725.0</v>
      </c>
      <c r="Q12" s="1">
        <v>7740.0</v>
      </c>
      <c r="R12" s="1">
        <v>7755.0</v>
      </c>
      <c r="S12" s="1">
        <v>7770.0</v>
      </c>
      <c r="T12" s="1">
        <v>7786.0</v>
      </c>
      <c r="U12" s="1">
        <v>7801.0</v>
      </c>
      <c r="V12" s="1">
        <v>7816.0</v>
      </c>
      <c r="W12" s="1">
        <v>7831.0</v>
      </c>
      <c r="X12" s="1">
        <v>7847.0</v>
      </c>
      <c r="Y12" s="1">
        <v>7862.0</v>
      </c>
      <c r="Z12" s="1">
        <v>7877.0</v>
      </c>
      <c r="AA12" s="1">
        <v>7893.0</v>
      </c>
      <c r="AB12" s="1">
        <v>7908.0</v>
      </c>
      <c r="AC12" s="1">
        <v>7923.0</v>
      </c>
      <c r="AD12" s="1">
        <v>7939.0</v>
      </c>
      <c r="AE12" s="1">
        <v>7954.0</v>
      </c>
      <c r="AF12" s="1">
        <v>7970.0</v>
      </c>
      <c r="AG12" s="1">
        <v>7985.0</v>
      </c>
      <c r="AH12" s="1">
        <v>8001.0</v>
      </c>
      <c r="AI12" s="1">
        <v>8017.0</v>
      </c>
      <c r="AJ12" s="1">
        <v>8032.0</v>
      </c>
      <c r="AK12" s="1">
        <v>8048.0</v>
      </c>
      <c r="AL12" s="1">
        <v>8064.0</v>
      </c>
      <c r="AM12" s="1">
        <v>8079.0</v>
      </c>
      <c r="AN12" s="1">
        <v>8095.0</v>
      </c>
      <c r="AO12" s="1">
        <v>8111.0</v>
      </c>
      <c r="AP12" s="1">
        <v>8127.0</v>
      </c>
      <c r="AQ12" s="1">
        <v>8143.0</v>
      </c>
      <c r="AR12" s="1">
        <v>8159.0</v>
      </c>
      <c r="AS12" s="1">
        <v>8175.0</v>
      </c>
      <c r="AT12" s="1">
        <v>8190.0</v>
      </c>
      <c r="AU12" s="1">
        <v>8206.0</v>
      </c>
      <c r="AV12" s="1">
        <v>8222.0</v>
      </c>
      <c r="AW12" s="1">
        <v>8239.0</v>
      </c>
      <c r="AX12" s="1">
        <v>8255.0</v>
      </c>
      <c r="AY12" s="1">
        <v>8271.0</v>
      </c>
      <c r="AZ12" s="1">
        <v>8287.0</v>
      </c>
      <c r="BA12" s="1">
        <v>8303.0</v>
      </c>
      <c r="BB12" s="1">
        <v>8319.0</v>
      </c>
      <c r="BC12" s="1">
        <v>8336.0</v>
      </c>
      <c r="BD12" s="1">
        <v>8352.0</v>
      </c>
      <c r="BE12" s="1">
        <v>8368.0</v>
      </c>
      <c r="BF12" s="1">
        <v>8384.0</v>
      </c>
      <c r="BG12" s="1">
        <v>8401.0</v>
      </c>
      <c r="BH12" s="1">
        <v>8417.0</v>
      </c>
      <c r="BI12" s="1">
        <v>8434.0</v>
      </c>
      <c r="BJ12" s="1">
        <v>8450.0</v>
      </c>
      <c r="BK12" s="1">
        <v>8467.0</v>
      </c>
      <c r="BL12" s="1">
        <v>8483.0</v>
      </c>
      <c r="BM12" s="1">
        <v>8500.0</v>
      </c>
      <c r="BN12" s="1">
        <v>8516.0</v>
      </c>
      <c r="BO12" s="1">
        <v>8533.0</v>
      </c>
      <c r="BP12" s="1">
        <v>8550.0</v>
      </c>
      <c r="BQ12" s="1">
        <v>8566.0</v>
      </c>
      <c r="BR12" s="1">
        <v>8583.0</v>
      </c>
      <c r="BS12" s="1">
        <v>8600.0</v>
      </c>
      <c r="BT12" s="1">
        <v>8616.0</v>
      </c>
      <c r="BU12" s="1">
        <v>8633.0</v>
      </c>
      <c r="BV12" s="1">
        <v>496998.0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2304.0</v>
      </c>
      <c r="N13" s="1">
        <v>2308.0</v>
      </c>
      <c r="O13" s="1">
        <v>2313.0</v>
      </c>
      <c r="P13" s="1">
        <v>2318.0</v>
      </c>
      <c r="Q13" s="1">
        <v>2322.0</v>
      </c>
      <c r="R13" s="1">
        <v>2327.0</v>
      </c>
      <c r="S13" s="1">
        <v>2331.0</v>
      </c>
      <c r="T13" s="1">
        <v>2336.0</v>
      </c>
      <c r="U13" s="1">
        <v>2340.0</v>
      </c>
      <c r="V13" s="1">
        <v>2345.0</v>
      </c>
      <c r="W13" s="1">
        <v>2349.0</v>
      </c>
      <c r="X13" s="1">
        <v>2354.0</v>
      </c>
      <c r="Y13" s="1">
        <v>2359.0</v>
      </c>
      <c r="Z13" s="1">
        <v>2363.0</v>
      </c>
      <c r="AA13" s="1">
        <v>2368.0</v>
      </c>
      <c r="AB13" s="1">
        <v>2372.0</v>
      </c>
      <c r="AC13" s="1">
        <v>2377.0</v>
      </c>
      <c r="AD13" s="1">
        <v>2382.0</v>
      </c>
      <c r="AE13" s="1">
        <v>2386.0</v>
      </c>
      <c r="AF13" s="1">
        <v>2391.0</v>
      </c>
      <c r="AG13" s="1">
        <v>2396.0</v>
      </c>
      <c r="AH13" s="1">
        <v>2400.0</v>
      </c>
      <c r="AI13" s="1">
        <v>2405.0</v>
      </c>
      <c r="AJ13" s="1">
        <v>2410.0</v>
      </c>
      <c r="AK13" s="1">
        <v>2414.0</v>
      </c>
      <c r="AL13" s="1">
        <v>2419.0</v>
      </c>
      <c r="AM13" s="1">
        <v>2424.0</v>
      </c>
      <c r="AN13" s="1">
        <v>2429.0</v>
      </c>
      <c r="AO13" s="1">
        <v>2433.0</v>
      </c>
      <c r="AP13" s="1">
        <v>2438.0</v>
      </c>
      <c r="AQ13" s="1">
        <v>2443.0</v>
      </c>
      <c r="AR13" s="1">
        <v>2448.0</v>
      </c>
      <c r="AS13" s="1">
        <v>2452.0</v>
      </c>
      <c r="AT13" s="1">
        <v>2457.0</v>
      </c>
      <c r="AU13" s="1">
        <v>2462.0</v>
      </c>
      <c r="AV13" s="1">
        <v>2467.0</v>
      </c>
      <c r="AW13" s="1">
        <v>2472.0</v>
      </c>
      <c r="AX13" s="1">
        <v>2476.0</v>
      </c>
      <c r="AY13" s="1">
        <v>2481.0</v>
      </c>
      <c r="AZ13" s="1">
        <v>2486.0</v>
      </c>
      <c r="BA13" s="1">
        <v>2491.0</v>
      </c>
      <c r="BB13" s="1">
        <v>2496.0</v>
      </c>
      <c r="BC13" s="1">
        <v>2501.0</v>
      </c>
      <c r="BD13" s="1">
        <v>2506.0</v>
      </c>
      <c r="BE13" s="1">
        <v>2510.0</v>
      </c>
      <c r="BF13" s="1">
        <v>2515.0</v>
      </c>
      <c r="BG13" s="1">
        <v>2520.0</v>
      </c>
      <c r="BH13" s="1">
        <v>2525.0</v>
      </c>
      <c r="BI13" s="1">
        <v>2530.0</v>
      </c>
      <c r="BJ13" s="1">
        <v>2535.0</v>
      </c>
      <c r="BK13" s="1">
        <v>2540.0</v>
      </c>
      <c r="BL13" s="1">
        <v>2545.0</v>
      </c>
      <c r="BM13" s="1">
        <v>2550.0</v>
      </c>
      <c r="BN13" s="1">
        <v>2555.0</v>
      </c>
      <c r="BO13" s="1">
        <v>2560.0</v>
      </c>
      <c r="BP13" s="1">
        <v>2565.0</v>
      </c>
      <c r="BQ13" s="1">
        <v>2570.0</v>
      </c>
      <c r="BR13" s="1">
        <v>2575.0</v>
      </c>
      <c r="BS13" s="1">
        <v>2580.0</v>
      </c>
      <c r="BT13" s="1">
        <v>2585.0</v>
      </c>
      <c r="BU13" s="1">
        <v>2590.0</v>
      </c>
      <c r="BV13" s="1">
        <v>149099.0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2304.0</v>
      </c>
      <c r="N15" s="1">
        <v>2308.0</v>
      </c>
      <c r="O15" s="1">
        <v>2313.0</v>
      </c>
      <c r="P15" s="1">
        <v>2318.0</v>
      </c>
      <c r="Q15" s="1">
        <v>2322.0</v>
      </c>
      <c r="R15" s="1">
        <v>2327.0</v>
      </c>
      <c r="S15" s="1">
        <v>2331.0</v>
      </c>
      <c r="T15" s="1">
        <v>2336.0</v>
      </c>
      <c r="U15" s="1">
        <v>2340.0</v>
      </c>
      <c r="V15" s="1">
        <v>2345.0</v>
      </c>
      <c r="W15" s="1">
        <v>2349.0</v>
      </c>
      <c r="X15" s="1">
        <v>2354.0</v>
      </c>
      <c r="Y15" s="1">
        <v>2359.0</v>
      </c>
      <c r="Z15" s="1">
        <v>2363.0</v>
      </c>
      <c r="AA15" s="1">
        <v>2368.0</v>
      </c>
      <c r="AB15" s="1">
        <v>2372.0</v>
      </c>
      <c r="AC15" s="1">
        <v>2377.0</v>
      </c>
      <c r="AD15" s="1">
        <v>2382.0</v>
      </c>
      <c r="AE15" s="1">
        <v>2386.0</v>
      </c>
      <c r="AF15" s="1">
        <v>2391.0</v>
      </c>
      <c r="AG15" s="1">
        <v>2396.0</v>
      </c>
      <c r="AH15" s="1">
        <v>2400.0</v>
      </c>
      <c r="AI15" s="1">
        <v>2405.0</v>
      </c>
      <c r="AJ15" s="1">
        <v>2410.0</v>
      </c>
      <c r="AK15" s="1">
        <v>2414.0</v>
      </c>
      <c r="AL15" s="1">
        <v>2419.0</v>
      </c>
      <c r="AM15" s="1">
        <v>2424.0</v>
      </c>
      <c r="AN15" s="1">
        <v>2429.0</v>
      </c>
      <c r="AO15" s="1">
        <v>2433.0</v>
      </c>
      <c r="AP15" s="1">
        <v>2438.0</v>
      </c>
      <c r="AQ15" s="1">
        <v>2443.0</v>
      </c>
      <c r="AR15" s="1">
        <v>2448.0</v>
      </c>
      <c r="AS15" s="1">
        <v>2452.0</v>
      </c>
      <c r="AT15" s="1">
        <v>2457.0</v>
      </c>
      <c r="AU15" s="1">
        <v>2462.0</v>
      </c>
      <c r="AV15" s="1">
        <v>2467.0</v>
      </c>
      <c r="AW15" s="1">
        <v>2472.0</v>
      </c>
      <c r="AX15" s="1">
        <v>2476.0</v>
      </c>
      <c r="AY15" s="1">
        <v>2481.0</v>
      </c>
      <c r="AZ15" s="1">
        <v>2486.0</v>
      </c>
      <c r="BA15" s="1">
        <v>2491.0</v>
      </c>
      <c r="BB15" s="1">
        <v>2496.0</v>
      </c>
      <c r="BC15" s="1">
        <v>2501.0</v>
      </c>
      <c r="BD15" s="1">
        <v>2506.0</v>
      </c>
      <c r="BE15" s="1">
        <v>2510.0</v>
      </c>
      <c r="BF15" s="1">
        <v>2515.0</v>
      </c>
      <c r="BG15" s="1">
        <v>2520.0</v>
      </c>
      <c r="BH15" s="1">
        <v>2525.0</v>
      </c>
      <c r="BI15" s="1">
        <v>2530.0</v>
      </c>
      <c r="BJ15" s="1">
        <v>2535.0</v>
      </c>
      <c r="BK15" s="1">
        <v>2540.0</v>
      </c>
      <c r="BL15" s="1">
        <v>2545.0</v>
      </c>
      <c r="BM15" s="1">
        <v>2550.0</v>
      </c>
      <c r="BN15" s="1">
        <v>2555.0</v>
      </c>
      <c r="BO15" s="1">
        <v>2560.0</v>
      </c>
      <c r="BP15" s="1">
        <v>2565.0</v>
      </c>
      <c r="BQ15" s="1">
        <v>2570.0</v>
      </c>
      <c r="BR15" s="1">
        <v>2575.0</v>
      </c>
      <c r="BS15" s="1">
        <v>2580.0</v>
      </c>
      <c r="BT15" s="1">
        <v>2585.0</v>
      </c>
      <c r="BU15" s="1">
        <v>2590.0</v>
      </c>
      <c r="BV15" s="1">
        <v>149099.0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5376.0</v>
      </c>
      <c r="N16" s="1">
        <v>5386.0</v>
      </c>
      <c r="O16" s="1">
        <v>5397.0</v>
      </c>
      <c r="P16" s="1">
        <v>5408.0</v>
      </c>
      <c r="Q16" s="1">
        <v>5418.0</v>
      </c>
      <c r="R16" s="1">
        <v>5429.0</v>
      </c>
      <c r="S16" s="1">
        <v>5439.0</v>
      </c>
      <c r="T16" s="1">
        <v>5450.0</v>
      </c>
      <c r="U16" s="1">
        <v>5461.0</v>
      </c>
      <c r="V16" s="1">
        <v>5471.0</v>
      </c>
      <c r="W16" s="1">
        <v>5482.0</v>
      </c>
      <c r="X16" s="1">
        <v>5493.0</v>
      </c>
      <c r="Y16" s="1">
        <v>5503.0</v>
      </c>
      <c r="Z16" s="1">
        <v>5514.0</v>
      </c>
      <c r="AA16" s="1">
        <v>5525.0</v>
      </c>
      <c r="AB16" s="1">
        <v>5536.0</v>
      </c>
      <c r="AC16" s="1">
        <v>5546.0</v>
      </c>
      <c r="AD16" s="1">
        <v>5557.0</v>
      </c>
      <c r="AE16" s="1">
        <v>5568.0</v>
      </c>
      <c r="AF16" s="1">
        <v>5579.0</v>
      </c>
      <c r="AG16" s="1">
        <v>5590.0</v>
      </c>
      <c r="AH16" s="1">
        <v>5601.0</v>
      </c>
      <c r="AI16" s="1">
        <v>5612.0</v>
      </c>
      <c r="AJ16" s="1">
        <v>5623.0</v>
      </c>
      <c r="AK16" s="1">
        <v>5634.0</v>
      </c>
      <c r="AL16" s="1">
        <v>5645.0</v>
      </c>
      <c r="AM16" s="1">
        <v>5656.0</v>
      </c>
      <c r="AN16" s="1">
        <v>5667.0</v>
      </c>
      <c r="AO16" s="1">
        <v>5678.0</v>
      </c>
      <c r="AP16" s="1">
        <v>5689.0</v>
      </c>
      <c r="AQ16" s="1">
        <v>5700.0</v>
      </c>
      <c r="AR16" s="1">
        <v>5711.0</v>
      </c>
      <c r="AS16" s="1">
        <v>5722.0</v>
      </c>
      <c r="AT16" s="1">
        <v>5733.0</v>
      </c>
      <c r="AU16" s="1">
        <v>5745.0</v>
      </c>
      <c r="AV16" s="1">
        <v>5756.0</v>
      </c>
      <c r="AW16" s="1">
        <v>5767.0</v>
      </c>
      <c r="AX16" s="1">
        <v>5778.0</v>
      </c>
      <c r="AY16" s="1">
        <v>5790.0</v>
      </c>
      <c r="AZ16" s="1">
        <v>5801.0</v>
      </c>
      <c r="BA16" s="1">
        <v>5812.0</v>
      </c>
      <c r="BB16" s="1">
        <v>5823.0</v>
      </c>
      <c r="BC16" s="1">
        <v>5835.0</v>
      </c>
      <c r="BD16" s="1">
        <v>5846.0</v>
      </c>
      <c r="BE16" s="1">
        <v>5858.0</v>
      </c>
      <c r="BF16" s="1">
        <v>5869.0</v>
      </c>
      <c r="BG16" s="1">
        <v>5881.0</v>
      </c>
      <c r="BH16" s="1">
        <v>5892.0</v>
      </c>
      <c r="BI16" s="1">
        <v>5904.0</v>
      </c>
      <c r="BJ16" s="1">
        <v>5915.0</v>
      </c>
      <c r="BK16" s="1">
        <v>5927.0</v>
      </c>
      <c r="BL16" s="1">
        <v>5938.0</v>
      </c>
      <c r="BM16" s="1">
        <v>5950.0</v>
      </c>
      <c r="BN16" s="1">
        <v>5961.0</v>
      </c>
      <c r="BO16" s="1">
        <v>5973.0</v>
      </c>
      <c r="BP16" s="1">
        <v>5985.0</v>
      </c>
      <c r="BQ16" s="1">
        <v>5996.0</v>
      </c>
      <c r="BR16" s="1">
        <v>6008.0</v>
      </c>
      <c r="BS16" s="1">
        <v>6020.0</v>
      </c>
      <c r="BT16" s="1">
        <v>6032.0</v>
      </c>
      <c r="BU16" s="1">
        <v>6043.0</v>
      </c>
      <c r="BV16" s="1">
        <v>347898.0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191</v>
      </c>
    </row>
    <row r="2">
      <c r="A2" s="1" t="s">
        <v>175</v>
      </c>
    </row>
    <row r="3">
      <c r="A3" s="1" t="s">
        <v>192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10000.0</v>
      </c>
      <c r="J6" s="1">
        <v>10127.0</v>
      </c>
      <c r="K6" s="1">
        <v>10256.0</v>
      </c>
      <c r="L6" s="1">
        <v>10386.0</v>
      </c>
      <c r="M6" s="1">
        <v>10518.0</v>
      </c>
      <c r="N6" s="1">
        <v>10651.0</v>
      </c>
      <c r="O6" s="1">
        <v>10787.0</v>
      </c>
      <c r="P6" s="1">
        <v>10924.0</v>
      </c>
      <c r="Q6" s="1">
        <v>11062.0</v>
      </c>
      <c r="R6" s="1">
        <v>11203.0</v>
      </c>
      <c r="S6" s="1">
        <v>11345.0</v>
      </c>
      <c r="T6" s="1">
        <v>11489.0</v>
      </c>
      <c r="U6" s="1">
        <v>11635.0</v>
      </c>
      <c r="V6" s="1">
        <v>11783.0</v>
      </c>
      <c r="W6" s="1">
        <v>11932.0</v>
      </c>
      <c r="X6" s="1">
        <v>12084.0</v>
      </c>
      <c r="Y6" s="1">
        <v>12238.0</v>
      </c>
      <c r="Z6" s="1">
        <v>12393.0</v>
      </c>
      <c r="AA6" s="1">
        <v>12550.0</v>
      </c>
      <c r="AB6" s="1">
        <v>12710.0</v>
      </c>
      <c r="AC6" s="1">
        <v>12871.0</v>
      </c>
      <c r="AD6" s="1">
        <v>13035.0</v>
      </c>
      <c r="AE6" s="1">
        <v>13200.0</v>
      </c>
      <c r="AF6" s="1">
        <v>13368.0</v>
      </c>
      <c r="AG6" s="1">
        <v>13538.0</v>
      </c>
      <c r="AH6" s="1">
        <v>13709.0</v>
      </c>
      <c r="AI6" s="1">
        <v>13884.0</v>
      </c>
      <c r="AJ6" s="1">
        <v>14060.0</v>
      </c>
      <c r="AK6" s="1">
        <v>14238.0</v>
      </c>
      <c r="AL6" s="1">
        <v>14419.0</v>
      </c>
      <c r="AM6" s="1">
        <v>14602.0</v>
      </c>
      <c r="AN6" s="1">
        <v>14788.0</v>
      </c>
      <c r="AO6" s="1">
        <v>14976.0</v>
      </c>
      <c r="AP6" s="1">
        <v>15166.0</v>
      </c>
      <c r="AQ6" s="1">
        <v>15358.0</v>
      </c>
      <c r="AR6" s="1">
        <v>15554.0</v>
      </c>
      <c r="AS6" s="1">
        <v>15751.0</v>
      </c>
      <c r="AT6" s="1">
        <v>15951.0</v>
      </c>
      <c r="AU6" s="1">
        <v>16154.0</v>
      </c>
      <c r="AV6" s="1">
        <v>16359.0</v>
      </c>
      <c r="AW6" s="1">
        <v>16567.0</v>
      </c>
      <c r="AX6" s="1">
        <v>16777.0</v>
      </c>
      <c r="AY6" s="1">
        <v>16990.0</v>
      </c>
      <c r="AZ6" s="1">
        <v>17206.0</v>
      </c>
      <c r="BA6" s="1">
        <v>17424.0</v>
      </c>
      <c r="BB6" s="1">
        <v>17646.0</v>
      </c>
      <c r="BC6" s="1">
        <v>17870.0</v>
      </c>
      <c r="BD6" s="1">
        <v>18097.0</v>
      </c>
      <c r="BE6" s="1">
        <v>18326.0</v>
      </c>
      <c r="BF6" s="1">
        <v>18559.0</v>
      </c>
      <c r="BG6" s="1">
        <v>18795.0</v>
      </c>
      <c r="BH6" s="1">
        <v>19034.0</v>
      </c>
      <c r="BI6" s="1">
        <v>19275.0</v>
      </c>
      <c r="BJ6" s="1">
        <v>19520.0</v>
      </c>
      <c r="BK6" s="1">
        <v>19768.0</v>
      </c>
      <c r="BL6" s="1">
        <v>20019.0</v>
      </c>
      <c r="BM6" s="1">
        <v>20273.0</v>
      </c>
      <c r="BN6" s="1">
        <v>20531.0</v>
      </c>
      <c r="BO6" s="1">
        <v>20792.0</v>
      </c>
      <c r="BP6" s="1">
        <v>21056.0</v>
      </c>
      <c r="BQ6" s="1">
        <v>21323.0</v>
      </c>
      <c r="BR6" s="1">
        <v>21594.0</v>
      </c>
      <c r="BS6" s="1">
        <v>21868.0</v>
      </c>
      <c r="BT6" s="1">
        <v>22146.0</v>
      </c>
      <c r="BU6" s="1">
        <v>22427.0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120.0</v>
      </c>
      <c r="K7" s="1">
        <v>122.0</v>
      </c>
      <c r="L7" s="1">
        <v>123.0</v>
      </c>
      <c r="M7" s="1">
        <v>125.0</v>
      </c>
      <c r="N7" s="1">
        <v>126.0</v>
      </c>
      <c r="O7" s="1">
        <v>128.0</v>
      </c>
      <c r="P7" s="1">
        <v>129.0</v>
      </c>
      <c r="Q7" s="1">
        <v>131.0</v>
      </c>
      <c r="R7" s="1">
        <v>133.0</v>
      </c>
      <c r="S7" s="1">
        <v>134.0</v>
      </c>
      <c r="T7" s="1">
        <v>136.0</v>
      </c>
      <c r="U7" s="1">
        <v>138.0</v>
      </c>
      <c r="V7" s="1">
        <v>140.0</v>
      </c>
      <c r="W7" s="1">
        <v>141.0</v>
      </c>
      <c r="X7" s="1">
        <v>143.0</v>
      </c>
      <c r="Y7" s="1">
        <v>145.0</v>
      </c>
      <c r="Z7" s="1">
        <v>147.0</v>
      </c>
      <c r="AA7" s="1">
        <v>149.0</v>
      </c>
      <c r="AB7" s="1">
        <v>151.0</v>
      </c>
      <c r="AC7" s="1">
        <v>153.0</v>
      </c>
      <c r="AD7" s="1">
        <v>154.0</v>
      </c>
      <c r="AE7" s="1">
        <v>156.0</v>
      </c>
      <c r="AF7" s="1">
        <v>158.0</v>
      </c>
      <c r="AG7" s="1">
        <v>160.0</v>
      </c>
      <c r="AH7" s="1">
        <v>162.0</v>
      </c>
      <c r="AI7" s="1">
        <v>165.0</v>
      </c>
      <c r="AJ7" s="1">
        <v>167.0</v>
      </c>
      <c r="AK7" s="1">
        <v>169.0</v>
      </c>
      <c r="AL7" s="1">
        <v>171.0</v>
      </c>
      <c r="AM7" s="1">
        <v>173.0</v>
      </c>
      <c r="AN7" s="1">
        <v>175.0</v>
      </c>
      <c r="AO7" s="1">
        <v>177.0</v>
      </c>
      <c r="AP7" s="1">
        <v>180.0</v>
      </c>
      <c r="AQ7" s="1">
        <v>182.0</v>
      </c>
      <c r="AR7" s="1">
        <v>184.0</v>
      </c>
      <c r="AS7" s="1">
        <v>187.0</v>
      </c>
      <c r="AT7" s="1">
        <v>189.0</v>
      </c>
      <c r="AU7" s="1">
        <v>191.0</v>
      </c>
      <c r="AV7" s="1">
        <v>194.0</v>
      </c>
      <c r="AW7" s="1">
        <v>196.0</v>
      </c>
      <c r="AX7" s="1">
        <v>199.0</v>
      </c>
      <c r="AY7" s="1">
        <v>201.0</v>
      </c>
      <c r="AZ7" s="1">
        <v>204.0</v>
      </c>
      <c r="BA7" s="1">
        <v>206.0</v>
      </c>
      <c r="BB7" s="1">
        <v>209.0</v>
      </c>
      <c r="BC7" s="1">
        <v>212.0</v>
      </c>
      <c r="BD7" s="1">
        <v>214.0</v>
      </c>
      <c r="BE7" s="1">
        <v>217.0</v>
      </c>
      <c r="BF7" s="1">
        <v>220.0</v>
      </c>
      <c r="BG7" s="1">
        <v>223.0</v>
      </c>
      <c r="BH7" s="1">
        <v>226.0</v>
      </c>
      <c r="BI7" s="1">
        <v>228.0</v>
      </c>
      <c r="BJ7" s="1">
        <v>231.0</v>
      </c>
      <c r="BK7" s="1">
        <v>234.0</v>
      </c>
      <c r="BL7" s="1">
        <v>237.0</v>
      </c>
      <c r="BM7" s="1">
        <v>240.0</v>
      </c>
      <c r="BN7" s="1">
        <v>243.0</v>
      </c>
      <c r="BO7" s="1">
        <v>246.0</v>
      </c>
      <c r="BP7" s="1">
        <v>249.0</v>
      </c>
      <c r="BQ7" s="1">
        <v>253.0</v>
      </c>
      <c r="BR7" s="1">
        <v>256.0</v>
      </c>
      <c r="BS7" s="1">
        <v>259.0</v>
      </c>
      <c r="BT7" s="1">
        <v>262.0</v>
      </c>
      <c r="BU7" s="1">
        <v>266.0</v>
      </c>
      <c r="BV7" s="1">
        <v>11742.0</v>
      </c>
    </row>
    <row r="8">
      <c r="A8" s="1" t="s">
        <v>145</v>
      </c>
      <c r="B8" s="1">
        <v>2.0</v>
      </c>
      <c r="C8" s="1">
        <v>2.0</v>
      </c>
      <c r="D8" s="1">
        <v>2.0</v>
      </c>
      <c r="E8" s="1">
        <v>2.0</v>
      </c>
      <c r="F8" s="1">
        <v>2.0</v>
      </c>
      <c r="G8" s="1">
        <v>2.0</v>
      </c>
      <c r="H8" s="1">
        <v>2.0</v>
      </c>
      <c r="I8" s="1">
        <v>2.0</v>
      </c>
      <c r="J8" s="1">
        <v>2.0</v>
      </c>
      <c r="K8" s="1">
        <v>2.0</v>
      </c>
      <c r="L8" s="1">
        <v>2.0</v>
      </c>
      <c r="M8" s="1">
        <v>2.0</v>
      </c>
      <c r="N8" s="1">
        <v>2.0</v>
      </c>
      <c r="O8" s="1">
        <v>2.0</v>
      </c>
      <c r="P8" s="1">
        <v>2.0</v>
      </c>
      <c r="Q8" s="1">
        <v>2.0</v>
      </c>
      <c r="R8" s="1">
        <v>2.0</v>
      </c>
      <c r="S8" s="1">
        <v>2.0</v>
      </c>
      <c r="T8" s="1">
        <v>2.0</v>
      </c>
      <c r="U8" s="1">
        <v>2.0</v>
      </c>
      <c r="V8" s="1">
        <v>2.0</v>
      </c>
      <c r="W8" s="1">
        <v>2.0</v>
      </c>
      <c r="X8" s="1">
        <v>2.0</v>
      </c>
      <c r="Y8" s="1">
        <v>2.0</v>
      </c>
      <c r="Z8" s="1">
        <v>2.0</v>
      </c>
      <c r="AA8" s="1">
        <v>2.0</v>
      </c>
      <c r="AB8" s="1">
        <v>2.0</v>
      </c>
      <c r="AC8" s="1">
        <v>2.0</v>
      </c>
      <c r="AD8" s="1">
        <v>2.0</v>
      </c>
      <c r="AE8" s="1">
        <v>2.0</v>
      </c>
      <c r="AF8" s="1">
        <v>2.0</v>
      </c>
      <c r="AG8" s="1">
        <v>2.0</v>
      </c>
      <c r="AH8" s="1">
        <v>2.0</v>
      </c>
      <c r="AI8" s="1">
        <v>2.0</v>
      </c>
      <c r="AJ8" s="1">
        <v>2.0</v>
      </c>
      <c r="AK8" s="1">
        <v>2.0</v>
      </c>
      <c r="AL8" s="1">
        <v>2.0</v>
      </c>
      <c r="AM8" s="1">
        <v>2.0</v>
      </c>
      <c r="AN8" s="1">
        <v>2.0</v>
      </c>
      <c r="AO8" s="1">
        <v>2.0</v>
      </c>
      <c r="AP8" s="1">
        <v>2.0</v>
      </c>
      <c r="AQ8" s="1">
        <v>2.0</v>
      </c>
      <c r="AR8" s="1">
        <v>2.0</v>
      </c>
      <c r="AS8" s="1">
        <v>2.0</v>
      </c>
      <c r="AT8" s="1">
        <v>2.0</v>
      </c>
      <c r="AU8" s="1">
        <v>2.0</v>
      </c>
      <c r="AV8" s="1">
        <v>2.0</v>
      </c>
      <c r="AW8" s="1">
        <v>2.0</v>
      </c>
      <c r="AX8" s="1">
        <v>2.0</v>
      </c>
      <c r="AY8" s="1">
        <v>2.0</v>
      </c>
      <c r="AZ8" s="1">
        <v>2.0</v>
      </c>
      <c r="BA8" s="1">
        <v>2.0</v>
      </c>
      <c r="BB8" s="1">
        <v>2.0</v>
      </c>
      <c r="BC8" s="1">
        <v>2.0</v>
      </c>
      <c r="BD8" s="1">
        <v>2.0</v>
      </c>
      <c r="BE8" s="1">
        <v>2.0</v>
      </c>
      <c r="BF8" s="1">
        <v>2.0</v>
      </c>
      <c r="BG8" s="1">
        <v>2.0</v>
      </c>
      <c r="BH8" s="1">
        <v>2.0</v>
      </c>
      <c r="BI8" s="1">
        <v>2.0</v>
      </c>
      <c r="BJ8" s="1">
        <v>2.0</v>
      </c>
      <c r="BK8" s="1">
        <v>2.0</v>
      </c>
      <c r="BL8" s="1">
        <v>2.0</v>
      </c>
      <c r="BM8" s="1">
        <v>2.0</v>
      </c>
      <c r="BN8" s="1">
        <v>2.0</v>
      </c>
      <c r="BO8" s="1">
        <v>2.0</v>
      </c>
      <c r="BP8" s="1">
        <v>2.0</v>
      </c>
      <c r="BQ8" s="1">
        <v>2.0</v>
      </c>
      <c r="BR8" s="1">
        <v>2.0</v>
      </c>
      <c r="BS8" s="1">
        <v>2.0</v>
      </c>
      <c r="BT8" s="1">
        <v>2.0</v>
      </c>
      <c r="BU8" s="1">
        <v>2.0</v>
      </c>
    </row>
    <row r="9">
      <c r="A9" s="1" t="s">
        <v>146</v>
      </c>
      <c r="B9" s="1">
        <v>110.0</v>
      </c>
      <c r="C9" s="1">
        <v>110.0</v>
      </c>
      <c r="D9" s="1">
        <v>110.0</v>
      </c>
      <c r="E9" s="1">
        <v>110.0</v>
      </c>
      <c r="F9" s="1">
        <v>110.0</v>
      </c>
      <c r="G9" s="1">
        <v>110.0</v>
      </c>
      <c r="H9" s="1">
        <v>110.0</v>
      </c>
      <c r="I9" s="1">
        <v>110.0</v>
      </c>
      <c r="J9" s="1">
        <v>110.0</v>
      </c>
      <c r="K9" s="1">
        <v>110.0</v>
      </c>
      <c r="L9" s="1">
        <v>110.0</v>
      </c>
      <c r="M9" s="1">
        <v>110.0</v>
      </c>
      <c r="N9" s="1">
        <v>110.0</v>
      </c>
      <c r="O9" s="1">
        <v>110.0</v>
      </c>
      <c r="P9" s="1">
        <v>110.0</v>
      </c>
      <c r="Q9" s="1">
        <v>110.0</v>
      </c>
      <c r="R9" s="1">
        <v>110.0</v>
      </c>
      <c r="S9" s="1">
        <v>110.0</v>
      </c>
      <c r="T9" s="1">
        <v>110.0</v>
      </c>
      <c r="U9" s="1">
        <v>110.0</v>
      </c>
      <c r="V9" s="1">
        <v>110.0</v>
      </c>
      <c r="W9" s="1">
        <v>110.0</v>
      </c>
      <c r="X9" s="1">
        <v>110.0</v>
      </c>
      <c r="Y9" s="1">
        <v>110.0</v>
      </c>
      <c r="Z9" s="1">
        <v>110.0</v>
      </c>
      <c r="AA9" s="1">
        <v>110.0</v>
      </c>
      <c r="AB9" s="1">
        <v>110.0</v>
      </c>
      <c r="AC9" s="1">
        <v>110.0</v>
      </c>
      <c r="AD9" s="1">
        <v>110.0</v>
      </c>
      <c r="AE9" s="1">
        <v>110.0</v>
      </c>
      <c r="AF9" s="1">
        <v>110.0</v>
      </c>
      <c r="AG9" s="1">
        <v>110.0</v>
      </c>
      <c r="AH9" s="1">
        <v>110.0</v>
      </c>
      <c r="AI9" s="1">
        <v>110.0</v>
      </c>
      <c r="AJ9" s="1">
        <v>110.0</v>
      </c>
      <c r="AK9" s="1">
        <v>110.0</v>
      </c>
      <c r="AL9" s="1">
        <v>110.0</v>
      </c>
      <c r="AM9" s="1">
        <v>110.0</v>
      </c>
      <c r="AN9" s="1">
        <v>110.0</v>
      </c>
      <c r="AO9" s="1">
        <v>110.0</v>
      </c>
      <c r="AP9" s="1">
        <v>110.0</v>
      </c>
      <c r="AQ9" s="1">
        <v>110.0</v>
      </c>
      <c r="AR9" s="1">
        <v>110.0</v>
      </c>
      <c r="AS9" s="1">
        <v>110.0</v>
      </c>
      <c r="AT9" s="1">
        <v>110.0</v>
      </c>
      <c r="AU9" s="1">
        <v>110.0</v>
      </c>
      <c r="AV9" s="1">
        <v>110.0</v>
      </c>
      <c r="AW9" s="1">
        <v>110.0</v>
      </c>
      <c r="AX9" s="1">
        <v>110.0</v>
      </c>
      <c r="AY9" s="1">
        <v>110.0</v>
      </c>
      <c r="AZ9" s="1">
        <v>110.0</v>
      </c>
      <c r="BA9" s="1">
        <v>110.0</v>
      </c>
      <c r="BB9" s="1">
        <v>110.0</v>
      </c>
      <c r="BC9" s="1">
        <v>110.0</v>
      </c>
      <c r="BD9" s="1">
        <v>110.0</v>
      </c>
      <c r="BE9" s="1">
        <v>110.0</v>
      </c>
      <c r="BF9" s="1">
        <v>110.0</v>
      </c>
      <c r="BG9" s="1">
        <v>110.0</v>
      </c>
      <c r="BH9" s="1">
        <v>110.0</v>
      </c>
      <c r="BI9" s="1">
        <v>110.0</v>
      </c>
      <c r="BJ9" s="1">
        <v>110.0</v>
      </c>
      <c r="BK9" s="1">
        <v>110.0</v>
      </c>
      <c r="BL9" s="1">
        <v>110.0</v>
      </c>
      <c r="BM9" s="1">
        <v>110.0</v>
      </c>
      <c r="BN9" s="1">
        <v>110.0</v>
      </c>
      <c r="BO9" s="1">
        <v>110.0</v>
      </c>
      <c r="BP9" s="1">
        <v>110.0</v>
      </c>
      <c r="BQ9" s="1">
        <v>110.0</v>
      </c>
      <c r="BR9" s="1">
        <v>110.0</v>
      </c>
      <c r="BS9" s="1">
        <v>110.0</v>
      </c>
      <c r="BT9" s="1">
        <v>110.0</v>
      </c>
      <c r="BU9" s="1">
        <v>110.0</v>
      </c>
      <c r="BV9" s="1" t="s">
        <v>177</v>
      </c>
    </row>
    <row r="10">
      <c r="A10" s="1" t="s">
        <v>149</v>
      </c>
      <c r="B10" s="1">
        <v>20.0</v>
      </c>
      <c r="C10" s="1">
        <v>20.0</v>
      </c>
      <c r="D10" s="1">
        <v>20.0</v>
      </c>
      <c r="E10" s="1">
        <v>20.0</v>
      </c>
      <c r="F10" s="1">
        <v>20.0</v>
      </c>
      <c r="G10" s="1">
        <v>20.0</v>
      </c>
      <c r="H10" s="1">
        <v>20.0</v>
      </c>
      <c r="I10" s="1">
        <v>20.0</v>
      </c>
      <c r="J10" s="1">
        <v>20.0</v>
      </c>
      <c r="K10" s="1">
        <v>20.0</v>
      </c>
      <c r="L10" s="1">
        <v>20.0</v>
      </c>
      <c r="M10" s="1">
        <v>20.0</v>
      </c>
      <c r="N10" s="1">
        <v>20.0</v>
      </c>
      <c r="O10" s="1">
        <v>20.0</v>
      </c>
      <c r="P10" s="1">
        <v>20.0</v>
      </c>
      <c r="Q10" s="1">
        <v>20.0</v>
      </c>
      <c r="R10" s="1">
        <v>20.0</v>
      </c>
      <c r="S10" s="1">
        <v>20.0</v>
      </c>
      <c r="T10" s="1">
        <v>20.0</v>
      </c>
      <c r="U10" s="1">
        <v>20.0</v>
      </c>
      <c r="V10" s="1">
        <v>20.0</v>
      </c>
      <c r="W10" s="1">
        <v>20.0</v>
      </c>
      <c r="X10" s="1">
        <v>20.0</v>
      </c>
      <c r="Y10" s="1">
        <v>20.0</v>
      </c>
      <c r="Z10" s="1">
        <v>20.0</v>
      </c>
      <c r="AA10" s="1">
        <v>20.0</v>
      </c>
      <c r="AB10" s="1">
        <v>20.0</v>
      </c>
      <c r="AC10" s="1">
        <v>20.0</v>
      </c>
      <c r="AD10" s="1">
        <v>20.0</v>
      </c>
      <c r="AE10" s="1">
        <v>20.0</v>
      </c>
      <c r="AF10" s="1">
        <v>20.0</v>
      </c>
      <c r="AG10" s="1">
        <v>20.0</v>
      </c>
      <c r="AH10" s="1">
        <v>20.0</v>
      </c>
      <c r="AI10" s="1">
        <v>20.0</v>
      </c>
      <c r="AJ10" s="1">
        <v>20.0</v>
      </c>
      <c r="AK10" s="1">
        <v>20.0</v>
      </c>
      <c r="AL10" s="1">
        <v>20.0</v>
      </c>
      <c r="AM10" s="1">
        <v>20.0</v>
      </c>
      <c r="AN10" s="1">
        <v>20.0</v>
      </c>
      <c r="AO10" s="1">
        <v>20.0</v>
      </c>
      <c r="AP10" s="1">
        <v>20.0</v>
      </c>
      <c r="AQ10" s="1">
        <v>20.0</v>
      </c>
      <c r="AR10" s="1">
        <v>20.0</v>
      </c>
      <c r="AS10" s="1">
        <v>20.0</v>
      </c>
      <c r="AT10" s="1">
        <v>20.0</v>
      </c>
      <c r="AU10" s="1">
        <v>20.0</v>
      </c>
      <c r="AV10" s="1">
        <v>20.0</v>
      </c>
      <c r="AW10" s="1">
        <v>20.0</v>
      </c>
      <c r="AX10" s="1">
        <v>20.0</v>
      </c>
      <c r="AY10" s="1">
        <v>20.0</v>
      </c>
      <c r="AZ10" s="1">
        <v>20.0</v>
      </c>
      <c r="BA10" s="1">
        <v>20.0</v>
      </c>
      <c r="BB10" s="1">
        <v>20.0</v>
      </c>
      <c r="BC10" s="1">
        <v>20.0</v>
      </c>
      <c r="BD10" s="1">
        <v>20.0</v>
      </c>
      <c r="BE10" s="1">
        <v>20.0</v>
      </c>
      <c r="BF10" s="1">
        <v>20.0</v>
      </c>
      <c r="BG10" s="1">
        <v>20.0</v>
      </c>
      <c r="BH10" s="1">
        <v>20.0</v>
      </c>
      <c r="BI10" s="1">
        <v>20.0</v>
      </c>
      <c r="BJ10" s="1">
        <v>20.0</v>
      </c>
      <c r="BK10" s="1">
        <v>20.0</v>
      </c>
      <c r="BL10" s="1">
        <v>20.0</v>
      </c>
      <c r="BM10" s="1">
        <v>20.0</v>
      </c>
      <c r="BN10" s="1">
        <v>20.0</v>
      </c>
      <c r="BO10" s="1">
        <v>20.0</v>
      </c>
      <c r="BP10" s="1">
        <v>20.0</v>
      </c>
      <c r="BQ10" s="1">
        <v>20.0</v>
      </c>
      <c r="BR10" s="1">
        <v>20.0</v>
      </c>
      <c r="BS10" s="1">
        <v>20.0</v>
      </c>
      <c r="BT10" s="1">
        <v>20.0</v>
      </c>
      <c r="BU10" s="1">
        <v>20.0</v>
      </c>
      <c r="BV10" s="1" t="s">
        <v>178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200.0</v>
      </c>
      <c r="J11" s="1">
        <v>203.0</v>
      </c>
      <c r="K11" s="1">
        <v>205.0</v>
      </c>
      <c r="L11" s="1">
        <v>208.0</v>
      </c>
      <c r="M11" s="1">
        <v>210.0</v>
      </c>
      <c r="N11" s="1">
        <v>213.0</v>
      </c>
      <c r="O11" s="1">
        <v>216.0</v>
      </c>
      <c r="P11" s="1">
        <v>218.0</v>
      </c>
      <c r="Q11" s="1">
        <v>221.0</v>
      </c>
      <c r="R11" s="1">
        <v>224.0</v>
      </c>
      <c r="S11" s="1">
        <v>227.0</v>
      </c>
      <c r="T11" s="1">
        <v>230.0</v>
      </c>
      <c r="U11" s="1">
        <v>233.0</v>
      </c>
      <c r="V11" s="1">
        <v>236.0</v>
      </c>
      <c r="W11" s="1">
        <v>239.0</v>
      </c>
      <c r="X11" s="1">
        <v>242.0</v>
      </c>
      <c r="Y11" s="1">
        <v>245.0</v>
      </c>
      <c r="Z11" s="1">
        <v>248.0</v>
      </c>
      <c r="AA11" s="1">
        <v>251.0</v>
      </c>
      <c r="AB11" s="1">
        <v>254.0</v>
      </c>
      <c r="AC11" s="1">
        <v>257.0</v>
      </c>
      <c r="AD11" s="1">
        <v>261.0</v>
      </c>
      <c r="AE11" s="1">
        <v>264.0</v>
      </c>
      <c r="AF11" s="1">
        <v>267.0</v>
      </c>
      <c r="AG11" s="1">
        <v>271.0</v>
      </c>
      <c r="AH11" s="1">
        <v>274.0</v>
      </c>
      <c r="AI11" s="1">
        <v>278.0</v>
      </c>
      <c r="AJ11" s="1">
        <v>281.0</v>
      </c>
      <c r="AK11" s="1">
        <v>285.0</v>
      </c>
      <c r="AL11" s="1">
        <v>288.0</v>
      </c>
      <c r="AM11" s="1">
        <v>292.0</v>
      </c>
      <c r="AN11" s="1">
        <v>296.0</v>
      </c>
      <c r="AO11" s="1">
        <v>300.0</v>
      </c>
      <c r="AP11" s="1">
        <v>303.0</v>
      </c>
      <c r="AQ11" s="1">
        <v>307.0</v>
      </c>
      <c r="AR11" s="1">
        <v>311.0</v>
      </c>
      <c r="AS11" s="1">
        <v>315.0</v>
      </c>
      <c r="AT11" s="1">
        <v>319.0</v>
      </c>
      <c r="AU11" s="1">
        <v>323.0</v>
      </c>
      <c r="AV11" s="1">
        <v>327.0</v>
      </c>
      <c r="AW11" s="1">
        <v>331.0</v>
      </c>
      <c r="AX11" s="1">
        <v>336.0</v>
      </c>
      <c r="AY11" s="1">
        <v>340.0</v>
      </c>
      <c r="AZ11" s="1">
        <v>344.0</v>
      </c>
      <c r="BA11" s="1">
        <v>348.0</v>
      </c>
      <c r="BB11" s="1">
        <v>353.0</v>
      </c>
      <c r="BC11" s="1">
        <v>357.0</v>
      </c>
      <c r="BD11" s="1">
        <v>362.0</v>
      </c>
      <c r="BE11" s="1">
        <v>367.0</v>
      </c>
      <c r="BF11" s="1">
        <v>371.0</v>
      </c>
      <c r="BG11" s="1">
        <v>376.0</v>
      </c>
      <c r="BH11" s="1">
        <v>381.0</v>
      </c>
      <c r="BI11" s="1">
        <v>386.0</v>
      </c>
      <c r="BJ11" s="1">
        <v>390.0</v>
      </c>
      <c r="BK11" s="1">
        <v>395.0</v>
      </c>
      <c r="BL11" s="1">
        <v>400.0</v>
      </c>
      <c r="BM11" s="1">
        <v>405.0</v>
      </c>
      <c r="BN11" s="1">
        <v>411.0</v>
      </c>
      <c r="BO11" s="1">
        <v>416.0</v>
      </c>
      <c r="BP11" s="1">
        <v>421.0</v>
      </c>
      <c r="BQ11" s="1">
        <v>426.0</v>
      </c>
      <c r="BR11" s="1">
        <v>432.0</v>
      </c>
      <c r="BS11" s="1">
        <v>437.0</v>
      </c>
      <c r="BT11" s="1">
        <v>443.0</v>
      </c>
      <c r="BU11" s="1">
        <v>449.0</v>
      </c>
      <c r="BV11" s="1">
        <v>20019.0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22000.0</v>
      </c>
      <c r="J12" s="1">
        <v>22279.0</v>
      </c>
      <c r="K12" s="1">
        <v>22562.0</v>
      </c>
      <c r="L12" s="1">
        <v>22849.0</v>
      </c>
      <c r="M12" s="1">
        <v>23139.0</v>
      </c>
      <c r="N12" s="1">
        <v>23433.0</v>
      </c>
      <c r="O12" s="1">
        <v>23731.0</v>
      </c>
      <c r="P12" s="1">
        <v>24032.0</v>
      </c>
      <c r="Q12" s="1">
        <v>24337.0</v>
      </c>
      <c r="R12" s="1">
        <v>24646.0</v>
      </c>
      <c r="S12" s="1">
        <v>24959.0</v>
      </c>
      <c r="T12" s="1">
        <v>25276.0</v>
      </c>
      <c r="U12" s="1">
        <v>25597.0</v>
      </c>
      <c r="V12" s="1">
        <v>25922.0</v>
      </c>
      <c r="W12" s="1">
        <v>26251.0</v>
      </c>
      <c r="X12" s="1">
        <v>26585.0</v>
      </c>
      <c r="Y12" s="1">
        <v>26923.0</v>
      </c>
      <c r="Z12" s="1">
        <v>27264.0</v>
      </c>
      <c r="AA12" s="1">
        <v>27611.0</v>
      </c>
      <c r="AB12" s="1">
        <v>27961.0</v>
      </c>
      <c r="AC12" s="1">
        <v>28316.0</v>
      </c>
      <c r="AD12" s="1">
        <v>28676.0</v>
      </c>
      <c r="AE12" s="1">
        <v>29040.0</v>
      </c>
      <c r="AF12" s="1">
        <v>29409.0</v>
      </c>
      <c r="AG12" s="1">
        <v>29783.0</v>
      </c>
      <c r="AH12" s="1">
        <v>30161.0</v>
      </c>
      <c r="AI12" s="1">
        <v>30544.0</v>
      </c>
      <c r="AJ12" s="1">
        <v>30932.0</v>
      </c>
      <c r="AK12" s="1">
        <v>31325.0</v>
      </c>
      <c r="AL12" s="1">
        <v>31722.0</v>
      </c>
      <c r="AM12" s="1">
        <v>32125.0</v>
      </c>
      <c r="AN12" s="1">
        <v>32533.0</v>
      </c>
      <c r="AO12" s="1">
        <v>32946.0</v>
      </c>
      <c r="AP12" s="1">
        <v>33365.0</v>
      </c>
      <c r="AQ12" s="1">
        <v>33789.0</v>
      </c>
      <c r="AR12" s="1">
        <v>34218.0</v>
      </c>
      <c r="AS12" s="1">
        <v>34652.0</v>
      </c>
      <c r="AT12" s="1">
        <v>35092.0</v>
      </c>
      <c r="AU12" s="1">
        <v>35538.0</v>
      </c>
      <c r="AV12" s="1">
        <v>35989.0</v>
      </c>
      <c r="AW12" s="1">
        <v>36446.0</v>
      </c>
      <c r="AX12" s="1">
        <v>36909.0</v>
      </c>
      <c r="AY12" s="1">
        <v>37378.0</v>
      </c>
      <c r="AZ12" s="1">
        <v>37853.0</v>
      </c>
      <c r="BA12" s="1">
        <v>38333.0</v>
      </c>
      <c r="BB12" s="1">
        <v>38820.0</v>
      </c>
      <c r="BC12" s="1">
        <v>39313.0</v>
      </c>
      <c r="BD12" s="1">
        <v>39813.0</v>
      </c>
      <c r="BE12" s="1">
        <v>40318.0</v>
      </c>
      <c r="BF12" s="1">
        <v>40830.0</v>
      </c>
      <c r="BG12" s="1">
        <v>41349.0</v>
      </c>
      <c r="BH12" s="1">
        <v>41874.0</v>
      </c>
      <c r="BI12" s="1">
        <v>42406.0</v>
      </c>
      <c r="BJ12" s="1">
        <v>42944.0</v>
      </c>
      <c r="BK12" s="1">
        <v>43490.0</v>
      </c>
      <c r="BL12" s="1">
        <v>44042.0</v>
      </c>
      <c r="BM12" s="1">
        <v>44601.0</v>
      </c>
      <c r="BN12" s="1">
        <v>45168.0</v>
      </c>
      <c r="BO12" s="1">
        <v>45741.0</v>
      </c>
      <c r="BP12" s="1">
        <v>46322.0</v>
      </c>
      <c r="BQ12" s="1">
        <v>46911.0</v>
      </c>
      <c r="BR12" s="1">
        <v>47506.0</v>
      </c>
      <c r="BS12" s="1">
        <v>48110.0</v>
      </c>
      <c r="BT12" s="1">
        <v>48721.0</v>
      </c>
      <c r="BU12" s="1">
        <v>49339.0</v>
      </c>
      <c r="BV12" s="1">
        <v>2202054.0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4400.0</v>
      </c>
      <c r="J13" s="1">
        <v>4456.0</v>
      </c>
      <c r="K13" s="1">
        <v>4512.0</v>
      </c>
      <c r="L13" s="1">
        <v>4570.0</v>
      </c>
      <c r="M13" s="1">
        <v>4628.0</v>
      </c>
      <c r="N13" s="1">
        <v>4687.0</v>
      </c>
      <c r="O13" s="1">
        <v>4746.0</v>
      </c>
      <c r="P13" s="1">
        <v>4806.0</v>
      </c>
      <c r="Q13" s="1">
        <v>4867.0</v>
      </c>
      <c r="R13" s="1">
        <v>4929.0</v>
      </c>
      <c r="S13" s="1">
        <v>4992.0</v>
      </c>
      <c r="T13" s="1">
        <v>5055.0</v>
      </c>
      <c r="U13" s="1">
        <v>5119.0</v>
      </c>
      <c r="V13" s="1">
        <v>5184.0</v>
      </c>
      <c r="W13" s="1">
        <v>5250.0</v>
      </c>
      <c r="X13" s="1">
        <v>5317.0</v>
      </c>
      <c r="Y13" s="1">
        <v>5385.0</v>
      </c>
      <c r="Z13" s="1">
        <v>5453.0</v>
      </c>
      <c r="AA13" s="1">
        <v>5522.0</v>
      </c>
      <c r="AB13" s="1">
        <v>5592.0</v>
      </c>
      <c r="AC13" s="1">
        <v>5663.0</v>
      </c>
      <c r="AD13" s="1">
        <v>5735.0</v>
      </c>
      <c r="AE13" s="1">
        <v>5808.0</v>
      </c>
      <c r="AF13" s="1">
        <v>5882.0</v>
      </c>
      <c r="AG13" s="1">
        <v>5957.0</v>
      </c>
      <c r="AH13" s="1">
        <v>6032.0</v>
      </c>
      <c r="AI13" s="1">
        <v>6109.0</v>
      </c>
      <c r="AJ13" s="1">
        <v>6186.0</v>
      </c>
      <c r="AK13" s="1">
        <v>6265.0</v>
      </c>
      <c r="AL13" s="1">
        <v>6344.0</v>
      </c>
      <c r="AM13" s="1">
        <v>6425.0</v>
      </c>
      <c r="AN13" s="1">
        <v>6507.0</v>
      </c>
      <c r="AO13" s="1">
        <v>6589.0</v>
      </c>
      <c r="AP13" s="1">
        <v>6673.0</v>
      </c>
      <c r="AQ13" s="1">
        <v>6758.0</v>
      </c>
      <c r="AR13" s="1">
        <v>6844.0</v>
      </c>
      <c r="AS13" s="1">
        <v>6930.0</v>
      </c>
      <c r="AT13" s="1">
        <v>7018.0</v>
      </c>
      <c r="AU13" s="1">
        <v>7108.0</v>
      </c>
      <c r="AV13" s="1">
        <v>7198.0</v>
      </c>
      <c r="AW13" s="1">
        <v>7289.0</v>
      </c>
      <c r="AX13" s="1">
        <v>7382.0</v>
      </c>
      <c r="AY13" s="1">
        <v>7476.0</v>
      </c>
      <c r="AZ13" s="1">
        <v>7571.0</v>
      </c>
      <c r="BA13" s="1">
        <v>7667.0</v>
      </c>
      <c r="BB13" s="1">
        <v>7764.0</v>
      </c>
      <c r="BC13" s="1">
        <v>7863.0</v>
      </c>
      <c r="BD13" s="1">
        <v>7963.0</v>
      </c>
      <c r="BE13" s="1">
        <v>8064.0</v>
      </c>
      <c r="BF13" s="1">
        <v>8166.0</v>
      </c>
      <c r="BG13" s="1">
        <v>8270.0</v>
      </c>
      <c r="BH13" s="1">
        <v>8375.0</v>
      </c>
      <c r="BI13" s="1">
        <v>8481.0</v>
      </c>
      <c r="BJ13" s="1">
        <v>8589.0</v>
      </c>
      <c r="BK13" s="1">
        <v>8698.0</v>
      </c>
      <c r="BL13" s="1">
        <v>8808.0</v>
      </c>
      <c r="BM13" s="1">
        <v>8920.0</v>
      </c>
      <c r="BN13" s="1">
        <v>9034.0</v>
      </c>
      <c r="BO13" s="1">
        <v>9148.0</v>
      </c>
      <c r="BP13" s="1">
        <v>9264.0</v>
      </c>
      <c r="BQ13" s="1">
        <v>9382.0</v>
      </c>
      <c r="BR13" s="1">
        <v>9501.0</v>
      </c>
      <c r="BS13" s="1">
        <v>9622.0</v>
      </c>
      <c r="BT13" s="1">
        <v>9744.0</v>
      </c>
      <c r="BU13" s="1">
        <v>9868.0</v>
      </c>
      <c r="BV13" s="1">
        <v>440411.0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2000.0</v>
      </c>
      <c r="J14" s="1">
        <v>2000.0</v>
      </c>
      <c r="K14" s="1">
        <v>2000.0</v>
      </c>
      <c r="L14" s="1">
        <v>2000.0</v>
      </c>
      <c r="M14" s="1">
        <v>2000.0</v>
      </c>
      <c r="N14" s="1">
        <v>2000.0</v>
      </c>
      <c r="O14" s="1">
        <v>2000.0</v>
      </c>
      <c r="P14" s="1">
        <v>2000.0</v>
      </c>
      <c r="Q14" s="1">
        <v>2000.0</v>
      </c>
      <c r="R14" s="1">
        <v>2000.0</v>
      </c>
      <c r="S14" s="1">
        <v>2000.0</v>
      </c>
      <c r="T14" s="1">
        <v>2000.0</v>
      </c>
      <c r="U14" s="1">
        <v>2000.0</v>
      </c>
      <c r="V14" s="1">
        <v>2000.0</v>
      </c>
      <c r="W14" s="1">
        <v>2000.0</v>
      </c>
      <c r="X14" s="1">
        <v>2000.0</v>
      </c>
      <c r="Y14" s="1">
        <v>2000.0</v>
      </c>
      <c r="Z14" s="1">
        <v>2000.0</v>
      </c>
      <c r="AA14" s="1">
        <v>2000.0</v>
      </c>
      <c r="AB14" s="1">
        <v>2000.0</v>
      </c>
      <c r="AC14" s="1">
        <v>2000.0</v>
      </c>
      <c r="AD14" s="1">
        <v>2000.0</v>
      </c>
      <c r="AE14" s="1">
        <v>2000.0</v>
      </c>
      <c r="AF14" s="1">
        <v>2000.0</v>
      </c>
      <c r="AG14" s="1">
        <v>2000.0</v>
      </c>
      <c r="AH14" s="1">
        <v>2000.0</v>
      </c>
      <c r="AI14" s="1">
        <v>2000.0</v>
      </c>
      <c r="AJ14" s="1">
        <v>2000.0</v>
      </c>
      <c r="AK14" s="1">
        <v>2000.0</v>
      </c>
      <c r="AL14" s="1">
        <v>2000.0</v>
      </c>
      <c r="AM14" s="1">
        <v>2000.0</v>
      </c>
      <c r="AN14" s="1">
        <v>2000.0</v>
      </c>
      <c r="AO14" s="1">
        <v>2000.0</v>
      </c>
      <c r="AP14" s="1">
        <v>2000.0</v>
      </c>
      <c r="AQ14" s="1">
        <v>2000.0</v>
      </c>
      <c r="AR14" s="1">
        <v>2000.0</v>
      </c>
      <c r="AS14" s="1">
        <v>2000.0</v>
      </c>
      <c r="AT14" s="1">
        <v>2000.0</v>
      </c>
      <c r="AU14" s="1">
        <v>2000.0</v>
      </c>
      <c r="AV14" s="1">
        <v>2000.0</v>
      </c>
      <c r="AW14" s="1">
        <v>2000.0</v>
      </c>
      <c r="AX14" s="1">
        <v>2000.0</v>
      </c>
      <c r="AY14" s="1">
        <v>2000.0</v>
      </c>
      <c r="AZ14" s="1">
        <v>2000.0</v>
      </c>
      <c r="BA14" s="1">
        <v>2000.0</v>
      </c>
      <c r="BB14" s="1">
        <v>2000.0</v>
      </c>
      <c r="BC14" s="1">
        <v>2000.0</v>
      </c>
      <c r="BD14" s="1">
        <v>2000.0</v>
      </c>
      <c r="BE14" s="1">
        <v>2000.0</v>
      </c>
      <c r="BF14" s="1">
        <v>2000.0</v>
      </c>
      <c r="BG14" s="1">
        <v>2000.0</v>
      </c>
      <c r="BH14" s="1">
        <v>2000.0</v>
      </c>
      <c r="BI14" s="1">
        <v>2000.0</v>
      </c>
      <c r="BJ14" s="1">
        <v>2000.0</v>
      </c>
      <c r="BK14" s="1">
        <v>2000.0</v>
      </c>
      <c r="BL14" s="1">
        <v>2000.0</v>
      </c>
      <c r="BM14" s="1">
        <v>2000.0</v>
      </c>
      <c r="BN14" s="1">
        <v>2000.0</v>
      </c>
      <c r="BO14" s="1">
        <v>2000.0</v>
      </c>
      <c r="BP14" s="1">
        <v>2000.0</v>
      </c>
      <c r="BQ14" s="1">
        <v>2000.0</v>
      </c>
      <c r="BR14" s="1">
        <v>2000.0</v>
      </c>
      <c r="BS14" s="1">
        <v>2000.0</v>
      </c>
      <c r="BT14" s="1">
        <v>2000.0</v>
      </c>
      <c r="BU14" s="1">
        <v>2000.0</v>
      </c>
      <c r="BV14" s="1">
        <v>130000.0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6400.0</v>
      </c>
      <c r="J15" s="1">
        <v>6456.0</v>
      </c>
      <c r="K15" s="1">
        <v>6512.0</v>
      </c>
      <c r="L15" s="1">
        <v>6570.0</v>
      </c>
      <c r="M15" s="1">
        <v>6628.0</v>
      </c>
      <c r="N15" s="1">
        <v>6687.0</v>
      </c>
      <c r="O15" s="1">
        <v>6746.0</v>
      </c>
      <c r="P15" s="1">
        <v>6806.0</v>
      </c>
      <c r="Q15" s="1">
        <v>6867.0</v>
      </c>
      <c r="R15" s="1">
        <v>6929.0</v>
      </c>
      <c r="S15" s="1">
        <v>6992.0</v>
      </c>
      <c r="T15" s="1">
        <v>7055.0</v>
      </c>
      <c r="U15" s="1">
        <v>7119.0</v>
      </c>
      <c r="V15" s="1">
        <v>7184.0</v>
      </c>
      <c r="W15" s="1">
        <v>7250.0</v>
      </c>
      <c r="X15" s="1">
        <v>7317.0</v>
      </c>
      <c r="Y15" s="1">
        <v>7385.0</v>
      </c>
      <c r="Z15" s="1">
        <v>7453.0</v>
      </c>
      <c r="AA15" s="1">
        <v>7522.0</v>
      </c>
      <c r="AB15" s="1">
        <v>7592.0</v>
      </c>
      <c r="AC15" s="1">
        <v>7663.0</v>
      </c>
      <c r="AD15" s="1">
        <v>7735.0</v>
      </c>
      <c r="AE15" s="1">
        <v>7808.0</v>
      </c>
      <c r="AF15" s="1">
        <v>7882.0</v>
      </c>
      <c r="AG15" s="1">
        <v>7957.0</v>
      </c>
      <c r="AH15" s="1">
        <v>8032.0</v>
      </c>
      <c r="AI15" s="1">
        <v>8109.0</v>
      </c>
      <c r="AJ15" s="1">
        <v>8186.0</v>
      </c>
      <c r="AK15" s="1">
        <v>8265.0</v>
      </c>
      <c r="AL15" s="1">
        <v>8344.0</v>
      </c>
      <c r="AM15" s="1">
        <v>8425.0</v>
      </c>
      <c r="AN15" s="1">
        <v>8507.0</v>
      </c>
      <c r="AO15" s="1">
        <v>8589.0</v>
      </c>
      <c r="AP15" s="1">
        <v>8673.0</v>
      </c>
      <c r="AQ15" s="1">
        <v>8758.0</v>
      </c>
      <c r="AR15" s="1">
        <v>8844.0</v>
      </c>
      <c r="AS15" s="1">
        <v>8930.0</v>
      </c>
      <c r="AT15" s="1">
        <v>9018.0</v>
      </c>
      <c r="AU15" s="1">
        <v>9108.0</v>
      </c>
      <c r="AV15" s="1">
        <v>9198.0</v>
      </c>
      <c r="AW15" s="1">
        <v>9289.0</v>
      </c>
      <c r="AX15" s="1">
        <v>9382.0</v>
      </c>
      <c r="AY15" s="1">
        <v>9476.0</v>
      </c>
      <c r="AZ15" s="1">
        <v>9571.0</v>
      </c>
      <c r="BA15" s="1">
        <v>9667.0</v>
      </c>
      <c r="BB15" s="1">
        <v>9764.0</v>
      </c>
      <c r="BC15" s="1">
        <v>9863.0</v>
      </c>
      <c r="BD15" s="1">
        <v>9963.0</v>
      </c>
      <c r="BE15" s="1">
        <v>10064.0</v>
      </c>
      <c r="BF15" s="1">
        <v>10166.0</v>
      </c>
      <c r="BG15" s="1">
        <v>10270.0</v>
      </c>
      <c r="BH15" s="1">
        <v>10375.0</v>
      </c>
      <c r="BI15" s="1">
        <v>10481.0</v>
      </c>
      <c r="BJ15" s="1">
        <v>10589.0</v>
      </c>
      <c r="BK15" s="1">
        <v>10698.0</v>
      </c>
      <c r="BL15" s="1">
        <v>10808.0</v>
      </c>
      <c r="BM15" s="1">
        <v>10920.0</v>
      </c>
      <c r="BN15" s="1">
        <v>11034.0</v>
      </c>
      <c r="BO15" s="1">
        <v>11148.0</v>
      </c>
      <c r="BP15" s="1">
        <v>11264.0</v>
      </c>
      <c r="BQ15" s="1">
        <v>11382.0</v>
      </c>
      <c r="BR15" s="1">
        <v>11501.0</v>
      </c>
      <c r="BS15" s="1">
        <v>11622.0</v>
      </c>
      <c r="BT15" s="1">
        <v>11744.0</v>
      </c>
      <c r="BU15" s="1">
        <v>11868.0</v>
      </c>
      <c r="BV15" s="1">
        <v>570411.0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17600.0</v>
      </c>
      <c r="J16" s="1">
        <v>17824.0</v>
      </c>
      <c r="K16" s="1">
        <v>18050.0</v>
      </c>
      <c r="L16" s="1">
        <v>18279.0</v>
      </c>
      <c r="M16" s="1">
        <v>18511.0</v>
      </c>
      <c r="N16" s="1">
        <v>18746.0</v>
      </c>
      <c r="O16" s="1">
        <v>18984.0</v>
      </c>
      <c r="P16" s="1">
        <v>19226.0</v>
      </c>
      <c r="Q16" s="1">
        <v>19470.0</v>
      </c>
      <c r="R16" s="1">
        <v>19717.0</v>
      </c>
      <c r="S16" s="1">
        <v>19967.0</v>
      </c>
      <c r="T16" s="1">
        <v>20221.0</v>
      </c>
      <c r="U16" s="1">
        <v>20478.0</v>
      </c>
      <c r="V16" s="1">
        <v>20738.0</v>
      </c>
      <c r="W16" s="1">
        <v>21001.0</v>
      </c>
      <c r="X16" s="1">
        <v>21268.0</v>
      </c>
      <c r="Y16" s="1">
        <v>21538.0</v>
      </c>
      <c r="Z16" s="1">
        <v>21812.0</v>
      </c>
      <c r="AA16" s="1">
        <v>22089.0</v>
      </c>
      <c r="AB16" s="1">
        <v>22369.0</v>
      </c>
      <c r="AC16" s="1">
        <v>22653.0</v>
      </c>
      <c r="AD16" s="1">
        <v>22941.0</v>
      </c>
      <c r="AE16" s="1">
        <v>23232.0</v>
      </c>
      <c r="AF16" s="1">
        <v>23527.0</v>
      </c>
      <c r="AG16" s="1">
        <v>23826.0</v>
      </c>
      <c r="AH16" s="1">
        <v>24129.0</v>
      </c>
      <c r="AI16" s="1">
        <v>24435.0</v>
      </c>
      <c r="AJ16" s="1">
        <v>24745.0</v>
      </c>
      <c r="AK16" s="1">
        <v>25060.0</v>
      </c>
      <c r="AL16" s="1">
        <v>25378.0</v>
      </c>
      <c r="AM16" s="1">
        <v>25700.0</v>
      </c>
      <c r="AN16" s="1">
        <v>26027.0</v>
      </c>
      <c r="AO16" s="1">
        <v>26357.0</v>
      </c>
      <c r="AP16" s="1">
        <v>26692.0</v>
      </c>
      <c r="AQ16" s="1">
        <v>27031.0</v>
      </c>
      <c r="AR16" s="1">
        <v>27374.0</v>
      </c>
      <c r="AS16" s="1">
        <v>27722.0</v>
      </c>
      <c r="AT16" s="1">
        <v>28074.0</v>
      </c>
      <c r="AU16" s="1">
        <v>28430.0</v>
      </c>
      <c r="AV16" s="1">
        <v>28791.0</v>
      </c>
      <c r="AW16" s="1">
        <v>29157.0</v>
      </c>
      <c r="AX16" s="1">
        <v>29527.0</v>
      </c>
      <c r="AY16" s="1">
        <v>29902.0</v>
      </c>
      <c r="AZ16" s="1">
        <v>30282.0</v>
      </c>
      <c r="BA16" s="1">
        <v>30667.0</v>
      </c>
      <c r="BB16" s="1">
        <v>31056.0</v>
      </c>
      <c r="BC16" s="1">
        <v>31451.0</v>
      </c>
      <c r="BD16" s="1">
        <v>31850.0</v>
      </c>
      <c r="BE16" s="1">
        <v>32255.0</v>
      </c>
      <c r="BF16" s="1">
        <v>32664.0</v>
      </c>
      <c r="BG16" s="1">
        <v>33079.0</v>
      </c>
      <c r="BH16" s="1">
        <v>33499.0</v>
      </c>
      <c r="BI16" s="1">
        <v>33925.0</v>
      </c>
      <c r="BJ16" s="1">
        <v>34355.0</v>
      </c>
      <c r="BK16" s="1">
        <v>34792.0</v>
      </c>
      <c r="BL16" s="1">
        <v>35234.0</v>
      </c>
      <c r="BM16" s="1">
        <v>35681.0</v>
      </c>
      <c r="BN16" s="1">
        <v>36134.0</v>
      </c>
      <c r="BO16" s="1">
        <v>36593.0</v>
      </c>
      <c r="BP16" s="1">
        <v>37058.0</v>
      </c>
      <c r="BQ16" s="1">
        <v>37529.0</v>
      </c>
      <c r="BR16" s="1">
        <v>38005.0</v>
      </c>
      <c r="BS16" s="1">
        <v>38488.0</v>
      </c>
      <c r="BT16" s="1">
        <v>38977.0</v>
      </c>
      <c r="BU16" s="1">
        <v>39472.0</v>
      </c>
      <c r="BV16" s="1">
        <v>1761643.0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193</v>
      </c>
    </row>
    <row r="2">
      <c r="A2" s="1" t="s">
        <v>194</v>
      </c>
    </row>
    <row r="3">
      <c r="A3" s="1" t="s">
        <v>192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5000.0</v>
      </c>
      <c r="L6" s="1">
        <v>5064.0</v>
      </c>
      <c r="M6" s="1">
        <v>5128.0</v>
      </c>
      <c r="N6" s="1">
        <v>5193.0</v>
      </c>
      <c r="O6" s="1">
        <v>5259.0</v>
      </c>
      <c r="P6" s="1">
        <v>5326.0</v>
      </c>
      <c r="Q6" s="1">
        <v>5393.0</v>
      </c>
      <c r="R6" s="1">
        <v>5462.0</v>
      </c>
      <c r="S6" s="1">
        <v>5531.0</v>
      </c>
      <c r="T6" s="1">
        <v>5601.0</v>
      </c>
      <c r="U6" s="1">
        <v>5673.0</v>
      </c>
      <c r="V6" s="1">
        <v>5745.0</v>
      </c>
      <c r="W6" s="1">
        <v>5818.0</v>
      </c>
      <c r="X6" s="1">
        <v>5891.0</v>
      </c>
      <c r="Y6" s="1">
        <v>5966.0</v>
      </c>
      <c r="Z6" s="1">
        <v>6042.0</v>
      </c>
      <c r="AA6" s="1">
        <v>6119.0</v>
      </c>
      <c r="AB6" s="1">
        <v>6196.0</v>
      </c>
      <c r="AC6" s="1">
        <v>6275.0</v>
      </c>
      <c r="AD6" s="1">
        <v>6355.0</v>
      </c>
      <c r="AE6" s="1">
        <v>6436.0</v>
      </c>
      <c r="AF6" s="1">
        <v>6517.0</v>
      </c>
      <c r="AG6" s="1">
        <v>6600.0</v>
      </c>
      <c r="AH6" s="1">
        <v>6684.0</v>
      </c>
      <c r="AI6" s="1">
        <v>6769.0</v>
      </c>
      <c r="AJ6" s="1">
        <v>6855.0</v>
      </c>
      <c r="AK6" s="1">
        <v>6942.0</v>
      </c>
      <c r="AL6" s="1">
        <v>7030.0</v>
      </c>
      <c r="AM6" s="1">
        <v>7119.0</v>
      </c>
      <c r="AN6" s="1">
        <v>7210.0</v>
      </c>
      <c r="AO6" s="1">
        <v>7301.0</v>
      </c>
      <c r="AP6" s="1">
        <v>7394.0</v>
      </c>
      <c r="AQ6" s="1">
        <v>7488.0</v>
      </c>
      <c r="AR6" s="1">
        <v>7583.0</v>
      </c>
      <c r="AS6" s="1">
        <v>7679.0</v>
      </c>
      <c r="AT6" s="1">
        <v>7777.0</v>
      </c>
      <c r="AU6" s="1">
        <v>7876.0</v>
      </c>
      <c r="AV6" s="1">
        <v>7976.0</v>
      </c>
      <c r="AW6" s="1">
        <v>8077.0</v>
      </c>
      <c r="AX6" s="1">
        <v>8179.0</v>
      </c>
      <c r="AY6" s="1">
        <v>8283.0</v>
      </c>
      <c r="AZ6" s="1">
        <v>8388.0</v>
      </c>
      <c r="BA6" s="1">
        <v>8495.0</v>
      </c>
      <c r="BB6" s="1">
        <v>8603.0</v>
      </c>
      <c r="BC6" s="1">
        <v>8712.0</v>
      </c>
      <c r="BD6" s="1">
        <v>8823.0</v>
      </c>
      <c r="BE6" s="1">
        <v>8935.0</v>
      </c>
      <c r="BF6" s="1">
        <v>9048.0</v>
      </c>
      <c r="BG6" s="1">
        <v>9163.0</v>
      </c>
      <c r="BH6" s="1">
        <v>9280.0</v>
      </c>
      <c r="BI6" s="1">
        <v>9397.0</v>
      </c>
      <c r="BJ6" s="1">
        <v>9517.0</v>
      </c>
      <c r="BK6" s="1">
        <v>9638.0</v>
      </c>
      <c r="BL6" s="1">
        <v>9760.0</v>
      </c>
      <c r="BM6" s="1">
        <v>9884.0</v>
      </c>
      <c r="BN6" s="1">
        <v>10010.0</v>
      </c>
      <c r="BO6" s="1">
        <v>10137.0</v>
      </c>
      <c r="BP6" s="1">
        <v>10265.0</v>
      </c>
      <c r="BQ6" s="1">
        <v>10396.0</v>
      </c>
      <c r="BR6" s="1">
        <v>10528.0</v>
      </c>
      <c r="BS6" s="1">
        <v>10662.0</v>
      </c>
      <c r="BT6" s="1">
        <v>10797.0</v>
      </c>
      <c r="BU6" s="1">
        <v>10934.0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60.0</v>
      </c>
      <c r="M7" s="1">
        <v>61.0</v>
      </c>
      <c r="N7" s="1">
        <v>62.0</v>
      </c>
      <c r="O7" s="1">
        <v>62.0</v>
      </c>
      <c r="P7" s="1">
        <v>63.0</v>
      </c>
      <c r="Q7" s="1">
        <v>64.0</v>
      </c>
      <c r="R7" s="1">
        <v>65.0</v>
      </c>
      <c r="S7" s="1">
        <v>66.0</v>
      </c>
      <c r="T7" s="1">
        <v>66.0</v>
      </c>
      <c r="U7" s="1">
        <v>67.0</v>
      </c>
      <c r="V7" s="1">
        <v>68.0</v>
      </c>
      <c r="W7" s="1">
        <v>69.0</v>
      </c>
      <c r="X7" s="1">
        <v>70.0</v>
      </c>
      <c r="Y7" s="1">
        <v>71.0</v>
      </c>
      <c r="Z7" s="1">
        <v>72.0</v>
      </c>
      <c r="AA7" s="1">
        <v>73.0</v>
      </c>
      <c r="AB7" s="1">
        <v>73.0</v>
      </c>
      <c r="AC7" s="1">
        <v>74.0</v>
      </c>
      <c r="AD7" s="1">
        <v>75.0</v>
      </c>
      <c r="AE7" s="1">
        <v>76.0</v>
      </c>
      <c r="AF7" s="1">
        <v>77.0</v>
      </c>
      <c r="AG7" s="1">
        <v>78.0</v>
      </c>
      <c r="AH7" s="1">
        <v>79.0</v>
      </c>
      <c r="AI7" s="1">
        <v>80.0</v>
      </c>
      <c r="AJ7" s="1">
        <v>81.0</v>
      </c>
      <c r="AK7" s="1">
        <v>82.0</v>
      </c>
      <c r="AL7" s="1">
        <v>83.0</v>
      </c>
      <c r="AM7" s="1">
        <v>84.0</v>
      </c>
      <c r="AN7" s="1">
        <v>85.0</v>
      </c>
      <c r="AO7" s="1">
        <v>87.0</v>
      </c>
      <c r="AP7" s="1">
        <v>88.0</v>
      </c>
      <c r="AQ7" s="1">
        <v>89.0</v>
      </c>
      <c r="AR7" s="1">
        <v>90.0</v>
      </c>
      <c r="AS7" s="1">
        <v>91.0</v>
      </c>
      <c r="AT7" s="1">
        <v>92.0</v>
      </c>
      <c r="AU7" s="1">
        <v>93.0</v>
      </c>
      <c r="AV7" s="1">
        <v>95.0</v>
      </c>
      <c r="AW7" s="1">
        <v>96.0</v>
      </c>
      <c r="AX7" s="1">
        <v>97.0</v>
      </c>
      <c r="AY7" s="1">
        <v>98.0</v>
      </c>
      <c r="AZ7" s="1">
        <v>99.0</v>
      </c>
      <c r="BA7" s="1">
        <v>101.0</v>
      </c>
      <c r="BB7" s="1">
        <v>102.0</v>
      </c>
      <c r="BC7" s="1">
        <v>103.0</v>
      </c>
      <c r="BD7" s="1">
        <v>105.0</v>
      </c>
      <c r="BE7" s="1">
        <v>106.0</v>
      </c>
      <c r="BF7" s="1">
        <v>107.0</v>
      </c>
      <c r="BG7" s="1">
        <v>109.0</v>
      </c>
      <c r="BH7" s="1">
        <v>110.0</v>
      </c>
      <c r="BI7" s="1">
        <v>111.0</v>
      </c>
      <c r="BJ7" s="1">
        <v>113.0</v>
      </c>
      <c r="BK7" s="1">
        <v>114.0</v>
      </c>
      <c r="BL7" s="1">
        <v>116.0</v>
      </c>
      <c r="BM7" s="1">
        <v>117.0</v>
      </c>
      <c r="BN7" s="1">
        <v>119.0</v>
      </c>
      <c r="BO7" s="1">
        <v>120.0</v>
      </c>
      <c r="BP7" s="1">
        <v>122.0</v>
      </c>
      <c r="BQ7" s="1">
        <v>123.0</v>
      </c>
      <c r="BR7" s="1">
        <v>125.0</v>
      </c>
      <c r="BS7" s="1">
        <v>126.0</v>
      </c>
      <c r="BT7" s="1">
        <v>128.0</v>
      </c>
      <c r="BU7" s="1">
        <v>130.0</v>
      </c>
      <c r="BV7" s="1">
        <v>5607.0</v>
      </c>
    </row>
    <row r="8">
      <c r="A8" s="1" t="s">
        <v>145</v>
      </c>
      <c r="B8" s="1">
        <v>1.4</v>
      </c>
      <c r="C8" s="1">
        <v>1.4</v>
      </c>
      <c r="D8" s="1">
        <v>1.4</v>
      </c>
      <c r="E8" s="1">
        <v>1.4</v>
      </c>
      <c r="F8" s="1">
        <v>1.4</v>
      </c>
      <c r="G8" s="1">
        <v>1.4</v>
      </c>
      <c r="H8" s="1">
        <v>1.4</v>
      </c>
      <c r="I8" s="1">
        <v>1.4</v>
      </c>
      <c r="J8" s="1">
        <v>1.4</v>
      </c>
      <c r="K8" s="1">
        <v>1.4</v>
      </c>
      <c r="L8" s="1">
        <v>1.4</v>
      </c>
      <c r="M8" s="1">
        <v>1.4</v>
      </c>
      <c r="N8" s="1">
        <v>1.4</v>
      </c>
      <c r="O8" s="1">
        <v>1.4</v>
      </c>
      <c r="P8" s="1">
        <v>1.4</v>
      </c>
      <c r="Q8" s="1">
        <v>1.4</v>
      </c>
      <c r="R8" s="1">
        <v>1.4</v>
      </c>
      <c r="S8" s="1">
        <v>1.4</v>
      </c>
      <c r="T8" s="1">
        <v>1.4</v>
      </c>
      <c r="U8" s="1">
        <v>1.4</v>
      </c>
      <c r="V8" s="1">
        <v>1.4</v>
      </c>
      <c r="W8" s="1">
        <v>1.4</v>
      </c>
      <c r="X8" s="1">
        <v>1.4</v>
      </c>
      <c r="Y8" s="1">
        <v>1.4</v>
      </c>
      <c r="Z8" s="1">
        <v>1.4</v>
      </c>
      <c r="AA8" s="1">
        <v>1.4</v>
      </c>
      <c r="AB8" s="1">
        <v>1.4</v>
      </c>
      <c r="AC8" s="1">
        <v>1.4</v>
      </c>
      <c r="AD8" s="1">
        <v>1.4</v>
      </c>
      <c r="AE8" s="1">
        <v>1.4</v>
      </c>
      <c r="AF8" s="1">
        <v>1.4</v>
      </c>
      <c r="AG8" s="1">
        <v>1.4</v>
      </c>
      <c r="AH8" s="1">
        <v>1.4</v>
      </c>
      <c r="AI8" s="1">
        <v>1.4</v>
      </c>
      <c r="AJ8" s="1">
        <v>1.4</v>
      </c>
      <c r="AK8" s="1">
        <v>1.4</v>
      </c>
      <c r="AL8" s="1">
        <v>1.4</v>
      </c>
      <c r="AM8" s="1">
        <v>1.4</v>
      </c>
      <c r="AN8" s="1">
        <v>1.4</v>
      </c>
      <c r="AO8" s="1">
        <v>1.4</v>
      </c>
      <c r="AP8" s="1">
        <v>1.4</v>
      </c>
      <c r="AQ8" s="1">
        <v>1.4</v>
      </c>
      <c r="AR8" s="1">
        <v>1.4</v>
      </c>
      <c r="AS8" s="1">
        <v>1.4</v>
      </c>
      <c r="AT8" s="1">
        <v>1.4</v>
      </c>
      <c r="AU8" s="1">
        <v>1.4</v>
      </c>
      <c r="AV8" s="1">
        <v>1.4</v>
      </c>
      <c r="AW8" s="1">
        <v>1.4</v>
      </c>
      <c r="AX8" s="1">
        <v>1.4</v>
      </c>
      <c r="AY8" s="1">
        <v>1.4</v>
      </c>
      <c r="AZ8" s="1">
        <v>1.4</v>
      </c>
      <c r="BA8" s="1">
        <v>1.4</v>
      </c>
      <c r="BB8" s="1">
        <v>1.4</v>
      </c>
      <c r="BC8" s="1">
        <v>1.4</v>
      </c>
      <c r="BD8" s="1">
        <v>1.4</v>
      </c>
      <c r="BE8" s="1">
        <v>1.4</v>
      </c>
      <c r="BF8" s="1">
        <v>1.4</v>
      </c>
      <c r="BG8" s="1">
        <v>1.4</v>
      </c>
      <c r="BH8" s="1">
        <v>1.4</v>
      </c>
      <c r="BI8" s="1">
        <v>1.4</v>
      </c>
      <c r="BJ8" s="1">
        <v>1.4</v>
      </c>
      <c r="BK8" s="1">
        <v>1.4</v>
      </c>
      <c r="BL8" s="1">
        <v>1.4</v>
      </c>
      <c r="BM8" s="1">
        <v>1.4</v>
      </c>
      <c r="BN8" s="1">
        <v>1.4</v>
      </c>
      <c r="BO8" s="1">
        <v>1.4</v>
      </c>
      <c r="BP8" s="1">
        <v>1.4</v>
      </c>
      <c r="BQ8" s="1">
        <v>1.4</v>
      </c>
      <c r="BR8" s="1">
        <v>1.4</v>
      </c>
      <c r="BS8" s="1">
        <v>1.4</v>
      </c>
      <c r="BT8" s="1">
        <v>1.4</v>
      </c>
      <c r="BU8" s="1">
        <v>1.4</v>
      </c>
    </row>
    <row r="9">
      <c r="A9" s="1" t="s">
        <v>146</v>
      </c>
      <c r="B9" s="1">
        <v>150.0</v>
      </c>
      <c r="C9" s="1">
        <v>150.0</v>
      </c>
      <c r="D9" s="1">
        <v>150.0</v>
      </c>
      <c r="E9" s="1">
        <v>150.0</v>
      </c>
      <c r="F9" s="1">
        <v>150.0</v>
      </c>
      <c r="G9" s="1">
        <v>150.0</v>
      </c>
      <c r="H9" s="1">
        <v>150.0</v>
      </c>
      <c r="I9" s="1">
        <v>150.0</v>
      </c>
      <c r="J9" s="1">
        <v>150.0</v>
      </c>
      <c r="K9" s="1">
        <v>150.0</v>
      </c>
      <c r="L9" s="1">
        <v>150.0</v>
      </c>
      <c r="M9" s="1">
        <v>150.0</v>
      </c>
      <c r="N9" s="1">
        <v>150.0</v>
      </c>
      <c r="O9" s="1">
        <v>150.0</v>
      </c>
      <c r="P9" s="1">
        <v>150.0</v>
      </c>
      <c r="Q9" s="1">
        <v>150.0</v>
      </c>
      <c r="R9" s="1">
        <v>150.0</v>
      </c>
      <c r="S9" s="1">
        <v>150.0</v>
      </c>
      <c r="T9" s="1">
        <v>150.0</v>
      </c>
      <c r="U9" s="1">
        <v>150.0</v>
      </c>
      <c r="V9" s="1">
        <v>150.0</v>
      </c>
      <c r="W9" s="1">
        <v>150.0</v>
      </c>
      <c r="X9" s="1">
        <v>150.0</v>
      </c>
      <c r="Y9" s="1">
        <v>150.0</v>
      </c>
      <c r="Z9" s="1">
        <v>150.0</v>
      </c>
      <c r="AA9" s="1">
        <v>150.0</v>
      </c>
      <c r="AB9" s="1">
        <v>150.0</v>
      </c>
      <c r="AC9" s="1">
        <v>150.0</v>
      </c>
      <c r="AD9" s="1">
        <v>150.0</v>
      </c>
      <c r="AE9" s="1">
        <v>150.0</v>
      </c>
      <c r="AF9" s="1">
        <v>150.0</v>
      </c>
      <c r="AG9" s="1">
        <v>150.0</v>
      </c>
      <c r="AH9" s="1">
        <v>150.0</v>
      </c>
      <c r="AI9" s="1">
        <v>150.0</v>
      </c>
      <c r="AJ9" s="1">
        <v>150.0</v>
      </c>
      <c r="AK9" s="1">
        <v>150.0</v>
      </c>
      <c r="AL9" s="1">
        <v>150.0</v>
      </c>
      <c r="AM9" s="1">
        <v>150.0</v>
      </c>
      <c r="AN9" s="1">
        <v>150.0</v>
      </c>
      <c r="AO9" s="1">
        <v>150.0</v>
      </c>
      <c r="AP9" s="1">
        <v>150.0</v>
      </c>
      <c r="AQ9" s="1">
        <v>150.0</v>
      </c>
      <c r="AR9" s="1">
        <v>150.0</v>
      </c>
      <c r="AS9" s="1">
        <v>150.0</v>
      </c>
      <c r="AT9" s="1">
        <v>150.0</v>
      </c>
      <c r="AU9" s="1">
        <v>150.0</v>
      </c>
      <c r="AV9" s="1">
        <v>150.0</v>
      </c>
      <c r="AW9" s="1">
        <v>150.0</v>
      </c>
      <c r="AX9" s="1">
        <v>150.0</v>
      </c>
      <c r="AY9" s="1">
        <v>150.0</v>
      </c>
      <c r="AZ9" s="1">
        <v>150.0</v>
      </c>
      <c r="BA9" s="1">
        <v>150.0</v>
      </c>
      <c r="BB9" s="1">
        <v>150.0</v>
      </c>
      <c r="BC9" s="1">
        <v>150.0</v>
      </c>
      <c r="BD9" s="1">
        <v>150.0</v>
      </c>
      <c r="BE9" s="1">
        <v>150.0</v>
      </c>
      <c r="BF9" s="1">
        <v>150.0</v>
      </c>
      <c r="BG9" s="1">
        <v>150.0</v>
      </c>
      <c r="BH9" s="1">
        <v>150.0</v>
      </c>
      <c r="BI9" s="1">
        <v>150.0</v>
      </c>
      <c r="BJ9" s="1">
        <v>150.0</v>
      </c>
      <c r="BK9" s="1">
        <v>150.0</v>
      </c>
      <c r="BL9" s="1">
        <v>150.0</v>
      </c>
      <c r="BM9" s="1">
        <v>150.0</v>
      </c>
      <c r="BN9" s="1">
        <v>150.0</v>
      </c>
      <c r="BO9" s="1">
        <v>150.0</v>
      </c>
      <c r="BP9" s="1">
        <v>150.0</v>
      </c>
      <c r="BQ9" s="1">
        <v>150.0</v>
      </c>
      <c r="BR9" s="1">
        <v>150.0</v>
      </c>
      <c r="BS9" s="1">
        <v>150.0</v>
      </c>
      <c r="BT9" s="1">
        <v>150.0</v>
      </c>
      <c r="BU9" s="1">
        <v>150.0</v>
      </c>
      <c r="BV9" s="1" t="s">
        <v>195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70.0</v>
      </c>
      <c r="L11" s="1">
        <v>71.0</v>
      </c>
      <c r="M11" s="1">
        <v>72.0</v>
      </c>
      <c r="N11" s="1">
        <v>73.0</v>
      </c>
      <c r="O11" s="1">
        <v>74.0</v>
      </c>
      <c r="P11" s="1">
        <v>75.0</v>
      </c>
      <c r="Q11" s="1">
        <v>76.0</v>
      </c>
      <c r="R11" s="1">
        <v>76.0</v>
      </c>
      <c r="S11" s="1">
        <v>77.0</v>
      </c>
      <c r="T11" s="1">
        <v>78.0</v>
      </c>
      <c r="U11" s="1">
        <v>79.0</v>
      </c>
      <c r="V11" s="1">
        <v>80.0</v>
      </c>
      <c r="W11" s="1">
        <v>81.0</v>
      </c>
      <c r="X11" s="1">
        <v>82.0</v>
      </c>
      <c r="Y11" s="1">
        <v>84.0</v>
      </c>
      <c r="Z11" s="1">
        <v>85.0</v>
      </c>
      <c r="AA11" s="1">
        <v>86.0</v>
      </c>
      <c r="AB11" s="1">
        <v>87.0</v>
      </c>
      <c r="AC11" s="1">
        <v>88.0</v>
      </c>
      <c r="AD11" s="1">
        <v>89.0</v>
      </c>
      <c r="AE11" s="1">
        <v>90.0</v>
      </c>
      <c r="AF11" s="1">
        <v>91.0</v>
      </c>
      <c r="AG11" s="1">
        <v>92.0</v>
      </c>
      <c r="AH11" s="1">
        <v>94.0</v>
      </c>
      <c r="AI11" s="1">
        <v>95.0</v>
      </c>
      <c r="AJ11" s="1">
        <v>96.0</v>
      </c>
      <c r="AK11" s="1">
        <v>97.0</v>
      </c>
      <c r="AL11" s="1">
        <v>98.0</v>
      </c>
      <c r="AM11" s="1">
        <v>100.0</v>
      </c>
      <c r="AN11" s="1">
        <v>101.0</v>
      </c>
      <c r="AO11" s="1">
        <v>102.0</v>
      </c>
      <c r="AP11" s="1">
        <v>104.0</v>
      </c>
      <c r="AQ11" s="1">
        <v>105.0</v>
      </c>
      <c r="AR11" s="1">
        <v>106.0</v>
      </c>
      <c r="AS11" s="1">
        <v>108.0</v>
      </c>
      <c r="AT11" s="1">
        <v>109.0</v>
      </c>
      <c r="AU11" s="1">
        <v>110.0</v>
      </c>
      <c r="AV11" s="1">
        <v>112.0</v>
      </c>
      <c r="AW11" s="1">
        <v>113.0</v>
      </c>
      <c r="AX11" s="1">
        <v>115.0</v>
      </c>
      <c r="AY11" s="1">
        <v>116.0</v>
      </c>
      <c r="AZ11" s="1">
        <v>117.0</v>
      </c>
      <c r="BA11" s="1">
        <v>119.0</v>
      </c>
      <c r="BB11" s="1">
        <v>120.0</v>
      </c>
      <c r="BC11" s="1">
        <v>122.0</v>
      </c>
      <c r="BD11" s="1">
        <v>124.0</v>
      </c>
      <c r="BE11" s="1">
        <v>125.0</v>
      </c>
      <c r="BF11" s="1">
        <v>127.0</v>
      </c>
      <c r="BG11" s="1">
        <v>128.0</v>
      </c>
      <c r="BH11" s="1">
        <v>130.0</v>
      </c>
      <c r="BI11" s="1">
        <v>132.0</v>
      </c>
      <c r="BJ11" s="1">
        <v>133.0</v>
      </c>
      <c r="BK11" s="1">
        <v>135.0</v>
      </c>
      <c r="BL11" s="1">
        <v>137.0</v>
      </c>
      <c r="BM11" s="1">
        <v>138.0</v>
      </c>
      <c r="BN11" s="1">
        <v>140.0</v>
      </c>
      <c r="BO11" s="1">
        <v>142.0</v>
      </c>
      <c r="BP11" s="1">
        <v>144.0</v>
      </c>
      <c r="BQ11" s="1">
        <v>146.0</v>
      </c>
      <c r="BR11" s="1">
        <v>147.0</v>
      </c>
      <c r="BS11" s="1">
        <v>149.0</v>
      </c>
      <c r="BT11" s="1">
        <v>151.0</v>
      </c>
      <c r="BU11" s="1">
        <v>153.0</v>
      </c>
      <c r="BV11" s="1">
        <v>6695.0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10500.0</v>
      </c>
      <c r="L12" s="1">
        <v>10633.0</v>
      </c>
      <c r="M12" s="1">
        <v>10768.0</v>
      </c>
      <c r="N12" s="1">
        <v>10905.0</v>
      </c>
      <c r="O12" s="1">
        <v>11044.0</v>
      </c>
      <c r="P12" s="1">
        <v>11184.0</v>
      </c>
      <c r="Q12" s="1">
        <v>11326.0</v>
      </c>
      <c r="R12" s="1">
        <v>11470.0</v>
      </c>
      <c r="S12" s="1">
        <v>11615.0</v>
      </c>
      <c r="T12" s="1">
        <v>11763.0</v>
      </c>
      <c r="U12" s="1">
        <v>11912.0</v>
      </c>
      <c r="V12" s="1">
        <v>12064.0</v>
      </c>
      <c r="W12" s="1">
        <v>12217.0</v>
      </c>
      <c r="X12" s="1">
        <v>12372.0</v>
      </c>
      <c r="Y12" s="1">
        <v>12529.0</v>
      </c>
      <c r="Z12" s="1">
        <v>12688.0</v>
      </c>
      <c r="AA12" s="1">
        <v>12849.0</v>
      </c>
      <c r="AB12" s="1">
        <v>13013.0</v>
      </c>
      <c r="AC12" s="1">
        <v>13178.0</v>
      </c>
      <c r="AD12" s="1">
        <v>13345.0</v>
      </c>
      <c r="AE12" s="1">
        <v>13515.0</v>
      </c>
      <c r="AF12" s="1">
        <v>13686.0</v>
      </c>
      <c r="AG12" s="1">
        <v>13860.0</v>
      </c>
      <c r="AH12" s="1">
        <v>14036.0</v>
      </c>
      <c r="AI12" s="1">
        <v>14214.0</v>
      </c>
      <c r="AJ12" s="1">
        <v>14395.0</v>
      </c>
      <c r="AK12" s="1">
        <v>14578.0</v>
      </c>
      <c r="AL12" s="1">
        <v>14763.0</v>
      </c>
      <c r="AM12" s="1">
        <v>14950.0</v>
      </c>
      <c r="AN12" s="1">
        <v>15140.0</v>
      </c>
      <c r="AO12" s="1">
        <v>15333.0</v>
      </c>
      <c r="AP12" s="1">
        <v>15527.0</v>
      </c>
      <c r="AQ12" s="1">
        <v>15724.0</v>
      </c>
      <c r="AR12" s="1">
        <v>15924.0</v>
      </c>
      <c r="AS12" s="1">
        <v>16126.0</v>
      </c>
      <c r="AT12" s="1">
        <v>16331.0</v>
      </c>
      <c r="AU12" s="1">
        <v>16539.0</v>
      </c>
      <c r="AV12" s="1">
        <v>16749.0</v>
      </c>
      <c r="AW12" s="1">
        <v>16961.0</v>
      </c>
      <c r="AX12" s="1">
        <v>17177.0</v>
      </c>
      <c r="AY12" s="1">
        <v>17395.0</v>
      </c>
      <c r="AZ12" s="1">
        <v>17616.0</v>
      </c>
      <c r="BA12" s="1">
        <v>17840.0</v>
      </c>
      <c r="BB12" s="1">
        <v>18066.0</v>
      </c>
      <c r="BC12" s="1">
        <v>18296.0</v>
      </c>
      <c r="BD12" s="1">
        <v>18528.0</v>
      </c>
      <c r="BE12" s="1">
        <v>18763.0</v>
      </c>
      <c r="BF12" s="1">
        <v>19001.0</v>
      </c>
      <c r="BG12" s="1">
        <v>19243.0</v>
      </c>
      <c r="BH12" s="1">
        <v>19487.0</v>
      </c>
      <c r="BI12" s="1">
        <v>19735.0</v>
      </c>
      <c r="BJ12" s="1">
        <v>19985.0</v>
      </c>
      <c r="BK12" s="1">
        <v>20239.0</v>
      </c>
      <c r="BL12" s="1">
        <v>20496.0</v>
      </c>
      <c r="BM12" s="1">
        <v>20756.0</v>
      </c>
      <c r="BN12" s="1">
        <v>21020.0</v>
      </c>
      <c r="BO12" s="1">
        <v>21287.0</v>
      </c>
      <c r="BP12" s="1">
        <v>21557.0</v>
      </c>
      <c r="BQ12" s="1">
        <v>21831.0</v>
      </c>
      <c r="BR12" s="1">
        <v>22108.0</v>
      </c>
      <c r="BS12" s="1">
        <v>22389.0</v>
      </c>
      <c r="BT12" s="1">
        <v>22674.0</v>
      </c>
      <c r="BU12" s="1">
        <v>22961.0</v>
      </c>
      <c r="BV12" s="1">
        <v>1004179.0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3150.0</v>
      </c>
      <c r="L13" s="1">
        <v>3190.0</v>
      </c>
      <c r="M13" s="1">
        <v>3231.0</v>
      </c>
      <c r="N13" s="1">
        <v>3272.0</v>
      </c>
      <c r="O13" s="1">
        <v>3313.0</v>
      </c>
      <c r="P13" s="1">
        <v>3355.0</v>
      </c>
      <c r="Q13" s="1">
        <v>3398.0</v>
      </c>
      <c r="R13" s="1">
        <v>3441.0</v>
      </c>
      <c r="S13" s="1">
        <v>3485.0</v>
      </c>
      <c r="T13" s="1">
        <v>3529.0</v>
      </c>
      <c r="U13" s="1">
        <v>3574.0</v>
      </c>
      <c r="V13" s="1">
        <v>3619.0</v>
      </c>
      <c r="W13" s="1">
        <v>3665.0</v>
      </c>
      <c r="X13" s="1">
        <v>3712.0</v>
      </c>
      <c r="Y13" s="1">
        <v>3759.0</v>
      </c>
      <c r="Z13" s="1">
        <v>3806.0</v>
      </c>
      <c r="AA13" s="1">
        <v>3855.0</v>
      </c>
      <c r="AB13" s="1">
        <v>3904.0</v>
      </c>
      <c r="AC13" s="1">
        <v>3953.0</v>
      </c>
      <c r="AD13" s="1">
        <v>4004.0</v>
      </c>
      <c r="AE13" s="1">
        <v>4054.0</v>
      </c>
      <c r="AF13" s="1">
        <v>4106.0</v>
      </c>
      <c r="AG13" s="1">
        <v>4158.0</v>
      </c>
      <c r="AH13" s="1">
        <v>4211.0</v>
      </c>
      <c r="AI13" s="1">
        <v>4264.0</v>
      </c>
      <c r="AJ13" s="1">
        <v>4318.0</v>
      </c>
      <c r="AK13" s="1">
        <v>4373.0</v>
      </c>
      <c r="AL13" s="1">
        <v>4429.0</v>
      </c>
      <c r="AM13" s="1">
        <v>4485.0</v>
      </c>
      <c r="AN13" s="1">
        <v>4542.0</v>
      </c>
      <c r="AO13" s="1">
        <v>4600.0</v>
      </c>
      <c r="AP13" s="1">
        <v>4658.0</v>
      </c>
      <c r="AQ13" s="1">
        <v>4717.0</v>
      </c>
      <c r="AR13" s="1">
        <v>4777.0</v>
      </c>
      <c r="AS13" s="1">
        <v>4838.0</v>
      </c>
      <c r="AT13" s="1">
        <v>4899.0</v>
      </c>
      <c r="AU13" s="1">
        <v>4962.0</v>
      </c>
      <c r="AV13" s="1">
        <v>5025.0</v>
      </c>
      <c r="AW13" s="1">
        <v>5088.0</v>
      </c>
      <c r="AX13" s="1">
        <v>5153.0</v>
      </c>
      <c r="AY13" s="1">
        <v>5218.0</v>
      </c>
      <c r="AZ13" s="1">
        <v>5285.0</v>
      </c>
      <c r="BA13" s="1">
        <v>5352.0</v>
      </c>
      <c r="BB13" s="1">
        <v>5420.0</v>
      </c>
      <c r="BC13" s="1">
        <v>5489.0</v>
      </c>
      <c r="BD13" s="1">
        <v>5558.0</v>
      </c>
      <c r="BE13" s="1">
        <v>5629.0</v>
      </c>
      <c r="BF13" s="1">
        <v>5700.0</v>
      </c>
      <c r="BG13" s="1">
        <v>5773.0</v>
      </c>
      <c r="BH13" s="1">
        <v>5846.0</v>
      </c>
      <c r="BI13" s="1">
        <v>5920.0</v>
      </c>
      <c r="BJ13" s="1">
        <v>5996.0</v>
      </c>
      <c r="BK13" s="1">
        <v>6072.0</v>
      </c>
      <c r="BL13" s="1">
        <v>6149.0</v>
      </c>
      <c r="BM13" s="1">
        <v>6227.0</v>
      </c>
      <c r="BN13" s="1">
        <v>6306.0</v>
      </c>
      <c r="BO13" s="1">
        <v>6386.0</v>
      </c>
      <c r="BP13" s="1">
        <v>6467.0</v>
      </c>
      <c r="BQ13" s="1">
        <v>6549.0</v>
      </c>
      <c r="BR13" s="1">
        <v>6633.0</v>
      </c>
      <c r="BS13" s="1">
        <v>6717.0</v>
      </c>
      <c r="BT13" s="1">
        <v>6802.0</v>
      </c>
      <c r="BU13" s="1">
        <v>6888.0</v>
      </c>
      <c r="BV13" s="1">
        <v>301254.0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3150.0</v>
      </c>
      <c r="L15" s="1">
        <v>3190.0</v>
      </c>
      <c r="M15" s="1">
        <v>3231.0</v>
      </c>
      <c r="N15" s="1">
        <v>3272.0</v>
      </c>
      <c r="O15" s="1">
        <v>3313.0</v>
      </c>
      <c r="P15" s="1">
        <v>3355.0</v>
      </c>
      <c r="Q15" s="1">
        <v>3398.0</v>
      </c>
      <c r="R15" s="1">
        <v>3441.0</v>
      </c>
      <c r="S15" s="1">
        <v>3485.0</v>
      </c>
      <c r="T15" s="1">
        <v>3529.0</v>
      </c>
      <c r="U15" s="1">
        <v>3574.0</v>
      </c>
      <c r="V15" s="1">
        <v>3619.0</v>
      </c>
      <c r="W15" s="1">
        <v>3665.0</v>
      </c>
      <c r="X15" s="1">
        <v>3712.0</v>
      </c>
      <c r="Y15" s="1">
        <v>3759.0</v>
      </c>
      <c r="Z15" s="1">
        <v>3806.0</v>
      </c>
      <c r="AA15" s="1">
        <v>3855.0</v>
      </c>
      <c r="AB15" s="1">
        <v>3904.0</v>
      </c>
      <c r="AC15" s="1">
        <v>3953.0</v>
      </c>
      <c r="AD15" s="1">
        <v>4004.0</v>
      </c>
      <c r="AE15" s="1">
        <v>4054.0</v>
      </c>
      <c r="AF15" s="1">
        <v>4106.0</v>
      </c>
      <c r="AG15" s="1">
        <v>4158.0</v>
      </c>
      <c r="AH15" s="1">
        <v>4211.0</v>
      </c>
      <c r="AI15" s="1">
        <v>4264.0</v>
      </c>
      <c r="AJ15" s="1">
        <v>4318.0</v>
      </c>
      <c r="AK15" s="1">
        <v>4373.0</v>
      </c>
      <c r="AL15" s="1">
        <v>4429.0</v>
      </c>
      <c r="AM15" s="1">
        <v>4485.0</v>
      </c>
      <c r="AN15" s="1">
        <v>4542.0</v>
      </c>
      <c r="AO15" s="1">
        <v>4600.0</v>
      </c>
      <c r="AP15" s="1">
        <v>4658.0</v>
      </c>
      <c r="AQ15" s="1">
        <v>4717.0</v>
      </c>
      <c r="AR15" s="1">
        <v>4777.0</v>
      </c>
      <c r="AS15" s="1">
        <v>4838.0</v>
      </c>
      <c r="AT15" s="1">
        <v>4899.0</v>
      </c>
      <c r="AU15" s="1">
        <v>4962.0</v>
      </c>
      <c r="AV15" s="1">
        <v>5025.0</v>
      </c>
      <c r="AW15" s="1">
        <v>5088.0</v>
      </c>
      <c r="AX15" s="1">
        <v>5153.0</v>
      </c>
      <c r="AY15" s="1">
        <v>5218.0</v>
      </c>
      <c r="AZ15" s="1">
        <v>5285.0</v>
      </c>
      <c r="BA15" s="1">
        <v>5352.0</v>
      </c>
      <c r="BB15" s="1">
        <v>5420.0</v>
      </c>
      <c r="BC15" s="1">
        <v>5489.0</v>
      </c>
      <c r="BD15" s="1">
        <v>5558.0</v>
      </c>
      <c r="BE15" s="1">
        <v>5629.0</v>
      </c>
      <c r="BF15" s="1">
        <v>5700.0</v>
      </c>
      <c r="BG15" s="1">
        <v>5773.0</v>
      </c>
      <c r="BH15" s="1">
        <v>5846.0</v>
      </c>
      <c r="BI15" s="1">
        <v>5920.0</v>
      </c>
      <c r="BJ15" s="1">
        <v>5996.0</v>
      </c>
      <c r="BK15" s="1">
        <v>6072.0</v>
      </c>
      <c r="BL15" s="1">
        <v>6149.0</v>
      </c>
      <c r="BM15" s="1">
        <v>6227.0</v>
      </c>
      <c r="BN15" s="1">
        <v>6306.0</v>
      </c>
      <c r="BO15" s="1">
        <v>6386.0</v>
      </c>
      <c r="BP15" s="1">
        <v>6467.0</v>
      </c>
      <c r="BQ15" s="1">
        <v>6549.0</v>
      </c>
      <c r="BR15" s="1">
        <v>6633.0</v>
      </c>
      <c r="BS15" s="1">
        <v>6717.0</v>
      </c>
      <c r="BT15" s="1">
        <v>6802.0</v>
      </c>
      <c r="BU15" s="1">
        <v>6888.0</v>
      </c>
      <c r="BV15" s="1">
        <v>301254.0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7350.0</v>
      </c>
      <c r="L16" s="1">
        <v>7443.0</v>
      </c>
      <c r="M16" s="1">
        <v>7538.0</v>
      </c>
      <c r="N16" s="1">
        <v>7634.0</v>
      </c>
      <c r="O16" s="1">
        <v>7731.0</v>
      </c>
      <c r="P16" s="1">
        <v>7829.0</v>
      </c>
      <c r="Q16" s="1">
        <v>7928.0</v>
      </c>
      <c r="R16" s="1">
        <v>8029.0</v>
      </c>
      <c r="S16" s="1">
        <v>8131.0</v>
      </c>
      <c r="T16" s="1">
        <v>8234.0</v>
      </c>
      <c r="U16" s="1">
        <v>8339.0</v>
      </c>
      <c r="V16" s="1">
        <v>8445.0</v>
      </c>
      <c r="W16" s="1">
        <v>8552.0</v>
      </c>
      <c r="X16" s="1">
        <v>8660.0</v>
      </c>
      <c r="Y16" s="1">
        <v>8770.0</v>
      </c>
      <c r="Z16" s="1">
        <v>8882.0</v>
      </c>
      <c r="AA16" s="1">
        <v>8995.0</v>
      </c>
      <c r="AB16" s="1">
        <v>9109.0</v>
      </c>
      <c r="AC16" s="1">
        <v>9224.0</v>
      </c>
      <c r="AD16" s="1">
        <v>9342.0</v>
      </c>
      <c r="AE16" s="1">
        <v>9460.0</v>
      </c>
      <c r="AF16" s="1">
        <v>9580.0</v>
      </c>
      <c r="AG16" s="1">
        <v>9702.0</v>
      </c>
      <c r="AH16" s="1">
        <v>9825.0</v>
      </c>
      <c r="AI16" s="1">
        <v>9950.0</v>
      </c>
      <c r="AJ16" s="1">
        <v>10076.0</v>
      </c>
      <c r="AK16" s="1">
        <v>10204.0</v>
      </c>
      <c r="AL16" s="1">
        <v>10334.0</v>
      </c>
      <c r="AM16" s="1">
        <v>10465.0</v>
      </c>
      <c r="AN16" s="1">
        <v>10598.0</v>
      </c>
      <c r="AO16" s="1">
        <v>10733.0</v>
      </c>
      <c r="AP16" s="1">
        <v>10869.0</v>
      </c>
      <c r="AQ16" s="1">
        <v>11007.0</v>
      </c>
      <c r="AR16" s="1">
        <v>11147.0</v>
      </c>
      <c r="AS16" s="1">
        <v>11288.0</v>
      </c>
      <c r="AT16" s="1">
        <v>11432.0</v>
      </c>
      <c r="AU16" s="1">
        <v>11577.0</v>
      </c>
      <c r="AV16" s="1">
        <v>11724.0</v>
      </c>
      <c r="AW16" s="1">
        <v>11873.0</v>
      </c>
      <c r="AX16" s="1">
        <v>12024.0</v>
      </c>
      <c r="AY16" s="1">
        <v>12176.0</v>
      </c>
      <c r="AZ16" s="1">
        <v>12331.0</v>
      </c>
      <c r="BA16" s="1">
        <v>12488.0</v>
      </c>
      <c r="BB16" s="1">
        <v>12646.0</v>
      </c>
      <c r="BC16" s="1">
        <v>12807.0</v>
      </c>
      <c r="BD16" s="1">
        <v>12970.0</v>
      </c>
      <c r="BE16" s="1">
        <v>13134.0</v>
      </c>
      <c r="BF16" s="1">
        <v>13301.0</v>
      </c>
      <c r="BG16" s="1">
        <v>13470.0</v>
      </c>
      <c r="BH16" s="1">
        <v>13641.0</v>
      </c>
      <c r="BI16" s="1">
        <v>13814.0</v>
      </c>
      <c r="BJ16" s="1">
        <v>13990.0</v>
      </c>
      <c r="BK16" s="1">
        <v>14167.0</v>
      </c>
      <c r="BL16" s="1">
        <v>14347.0</v>
      </c>
      <c r="BM16" s="1">
        <v>14530.0</v>
      </c>
      <c r="BN16" s="1">
        <v>14714.0</v>
      </c>
      <c r="BO16" s="1">
        <v>14901.0</v>
      </c>
      <c r="BP16" s="1">
        <v>15090.0</v>
      </c>
      <c r="BQ16" s="1">
        <v>15282.0</v>
      </c>
      <c r="BR16" s="1">
        <v>15476.0</v>
      </c>
      <c r="BS16" s="1">
        <v>15672.0</v>
      </c>
      <c r="BT16" s="1">
        <v>15871.0</v>
      </c>
      <c r="BU16" s="1">
        <v>16073.0</v>
      </c>
      <c r="BV16" s="1">
        <v>702925.0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196</v>
      </c>
    </row>
    <row r="2">
      <c r="A2" s="1" t="s">
        <v>186</v>
      </c>
    </row>
    <row r="3">
      <c r="A3" s="1" t="s">
        <v>180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30000.0</v>
      </c>
      <c r="J6" s="1">
        <v>30059.0</v>
      </c>
      <c r="K6" s="1">
        <v>30117.0</v>
      </c>
      <c r="L6" s="1">
        <v>30176.0</v>
      </c>
      <c r="M6" s="1">
        <v>30235.0</v>
      </c>
      <c r="N6" s="1">
        <v>30294.0</v>
      </c>
      <c r="O6" s="1">
        <v>30353.0</v>
      </c>
      <c r="P6" s="1">
        <v>30412.0</v>
      </c>
      <c r="Q6" s="1">
        <v>30472.0</v>
      </c>
      <c r="R6" s="1">
        <v>30531.0</v>
      </c>
      <c r="S6" s="1">
        <v>30591.0</v>
      </c>
      <c r="T6" s="1">
        <v>30650.0</v>
      </c>
      <c r="U6" s="1">
        <v>30710.0</v>
      </c>
      <c r="V6" s="1">
        <v>30770.0</v>
      </c>
      <c r="W6" s="1">
        <v>30830.0</v>
      </c>
      <c r="X6" s="1">
        <v>30891.0</v>
      </c>
      <c r="Y6" s="1">
        <v>30951.0</v>
      </c>
      <c r="Z6" s="1">
        <v>31011.0</v>
      </c>
      <c r="AA6" s="1">
        <v>31072.0</v>
      </c>
      <c r="AB6" s="1">
        <v>31132.0</v>
      </c>
      <c r="AC6" s="1">
        <v>31193.0</v>
      </c>
      <c r="AD6" s="1">
        <v>31254.0</v>
      </c>
      <c r="AE6" s="1">
        <v>31315.0</v>
      </c>
      <c r="AF6" s="1">
        <v>31376.0</v>
      </c>
      <c r="AG6" s="1">
        <v>31437.0</v>
      </c>
      <c r="AH6" s="1">
        <v>31499.0</v>
      </c>
      <c r="AI6" s="1">
        <v>31560.0</v>
      </c>
      <c r="AJ6" s="1">
        <v>31622.0</v>
      </c>
      <c r="AK6" s="1">
        <v>31684.0</v>
      </c>
      <c r="AL6" s="1">
        <v>31745.0</v>
      </c>
      <c r="AM6" s="1">
        <v>31807.0</v>
      </c>
      <c r="AN6" s="1">
        <v>31870.0</v>
      </c>
      <c r="AO6" s="1">
        <v>31932.0</v>
      </c>
      <c r="AP6" s="1">
        <v>31994.0</v>
      </c>
      <c r="AQ6" s="1">
        <v>32057.0</v>
      </c>
      <c r="AR6" s="1">
        <v>32119.0</v>
      </c>
      <c r="AS6" s="1">
        <v>32182.0</v>
      </c>
      <c r="AT6" s="1">
        <v>32245.0</v>
      </c>
      <c r="AU6" s="1">
        <v>32308.0</v>
      </c>
      <c r="AV6" s="1">
        <v>32371.0</v>
      </c>
      <c r="AW6" s="1">
        <v>32434.0</v>
      </c>
      <c r="AX6" s="1">
        <v>32497.0</v>
      </c>
      <c r="AY6" s="1">
        <v>32561.0</v>
      </c>
      <c r="AZ6" s="1">
        <v>32624.0</v>
      </c>
      <c r="BA6" s="1">
        <v>32688.0</v>
      </c>
      <c r="BB6" s="1">
        <v>32752.0</v>
      </c>
      <c r="BC6" s="1">
        <v>32816.0</v>
      </c>
      <c r="BD6" s="1">
        <v>32880.0</v>
      </c>
      <c r="BE6" s="1">
        <v>32944.0</v>
      </c>
      <c r="BF6" s="1">
        <v>33008.0</v>
      </c>
      <c r="BG6" s="1">
        <v>33073.0</v>
      </c>
      <c r="BH6" s="1">
        <v>33137.0</v>
      </c>
      <c r="BI6" s="1">
        <v>33202.0</v>
      </c>
      <c r="BJ6" s="1">
        <v>33267.0</v>
      </c>
      <c r="BK6" s="1">
        <v>33331.0</v>
      </c>
      <c r="BL6" s="1">
        <v>33397.0</v>
      </c>
      <c r="BM6" s="1">
        <v>33462.0</v>
      </c>
      <c r="BN6" s="1">
        <v>33527.0</v>
      </c>
      <c r="BO6" s="1">
        <v>33593.0</v>
      </c>
      <c r="BP6" s="1">
        <v>33658.0</v>
      </c>
      <c r="BQ6" s="1">
        <v>33724.0</v>
      </c>
      <c r="BR6" s="1">
        <v>33790.0</v>
      </c>
      <c r="BS6" s="1">
        <v>33856.0</v>
      </c>
      <c r="BT6" s="1">
        <v>33922.0</v>
      </c>
      <c r="BU6" s="1">
        <v>33988.0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180.0</v>
      </c>
      <c r="K7" s="1">
        <v>180.0</v>
      </c>
      <c r="L7" s="1">
        <v>181.0</v>
      </c>
      <c r="M7" s="1">
        <v>181.0</v>
      </c>
      <c r="N7" s="1">
        <v>181.0</v>
      </c>
      <c r="O7" s="1">
        <v>182.0</v>
      </c>
      <c r="P7" s="1">
        <v>182.0</v>
      </c>
      <c r="Q7" s="1">
        <v>182.0</v>
      </c>
      <c r="R7" s="1">
        <v>183.0</v>
      </c>
      <c r="S7" s="1">
        <v>183.0</v>
      </c>
      <c r="T7" s="1">
        <v>184.0</v>
      </c>
      <c r="U7" s="1">
        <v>184.0</v>
      </c>
      <c r="V7" s="1">
        <v>184.0</v>
      </c>
      <c r="W7" s="1">
        <v>185.0</v>
      </c>
      <c r="X7" s="1">
        <v>185.0</v>
      </c>
      <c r="Y7" s="1">
        <v>185.0</v>
      </c>
      <c r="Z7" s="1">
        <v>186.0</v>
      </c>
      <c r="AA7" s="1">
        <v>186.0</v>
      </c>
      <c r="AB7" s="1">
        <v>186.0</v>
      </c>
      <c r="AC7" s="1">
        <v>187.0</v>
      </c>
      <c r="AD7" s="1">
        <v>187.0</v>
      </c>
      <c r="AE7" s="1">
        <v>188.0</v>
      </c>
      <c r="AF7" s="1">
        <v>188.0</v>
      </c>
      <c r="AG7" s="1">
        <v>188.0</v>
      </c>
      <c r="AH7" s="1">
        <v>189.0</v>
      </c>
      <c r="AI7" s="1">
        <v>189.0</v>
      </c>
      <c r="AJ7" s="1">
        <v>189.0</v>
      </c>
      <c r="AK7" s="1">
        <v>190.0</v>
      </c>
      <c r="AL7" s="1">
        <v>190.0</v>
      </c>
      <c r="AM7" s="1">
        <v>190.0</v>
      </c>
      <c r="AN7" s="1">
        <v>191.0</v>
      </c>
      <c r="AO7" s="1">
        <v>191.0</v>
      </c>
      <c r="AP7" s="1">
        <v>192.0</v>
      </c>
      <c r="AQ7" s="1">
        <v>192.0</v>
      </c>
      <c r="AR7" s="1">
        <v>192.0</v>
      </c>
      <c r="AS7" s="1">
        <v>193.0</v>
      </c>
      <c r="AT7" s="1">
        <v>193.0</v>
      </c>
      <c r="AU7" s="1">
        <v>193.0</v>
      </c>
      <c r="AV7" s="1">
        <v>194.0</v>
      </c>
      <c r="AW7" s="1">
        <v>194.0</v>
      </c>
      <c r="AX7" s="1">
        <v>195.0</v>
      </c>
      <c r="AY7" s="1">
        <v>195.0</v>
      </c>
      <c r="AZ7" s="1">
        <v>195.0</v>
      </c>
      <c r="BA7" s="1">
        <v>196.0</v>
      </c>
      <c r="BB7" s="1">
        <v>196.0</v>
      </c>
      <c r="BC7" s="1">
        <v>197.0</v>
      </c>
      <c r="BD7" s="1">
        <v>197.0</v>
      </c>
      <c r="BE7" s="1">
        <v>197.0</v>
      </c>
      <c r="BF7" s="1">
        <v>198.0</v>
      </c>
      <c r="BG7" s="1">
        <v>198.0</v>
      </c>
      <c r="BH7" s="1">
        <v>198.0</v>
      </c>
      <c r="BI7" s="1">
        <v>199.0</v>
      </c>
      <c r="BJ7" s="1">
        <v>199.0</v>
      </c>
      <c r="BK7" s="1">
        <v>200.0</v>
      </c>
      <c r="BL7" s="1">
        <v>200.0</v>
      </c>
      <c r="BM7" s="1">
        <v>200.0</v>
      </c>
      <c r="BN7" s="1">
        <v>201.0</v>
      </c>
      <c r="BO7" s="1">
        <v>201.0</v>
      </c>
      <c r="BP7" s="1">
        <v>202.0</v>
      </c>
      <c r="BQ7" s="1">
        <v>202.0</v>
      </c>
      <c r="BR7" s="1">
        <v>202.0</v>
      </c>
      <c r="BS7" s="1">
        <v>203.0</v>
      </c>
      <c r="BT7" s="1">
        <v>203.0</v>
      </c>
      <c r="BU7" s="1">
        <v>204.0</v>
      </c>
      <c r="BV7" s="1">
        <v>12258.0</v>
      </c>
    </row>
    <row r="8">
      <c r="A8" s="1" t="s">
        <v>145</v>
      </c>
      <c r="B8" s="1">
        <v>1.5</v>
      </c>
      <c r="C8" s="1">
        <v>1.5</v>
      </c>
      <c r="D8" s="1">
        <v>1.5</v>
      </c>
      <c r="E8" s="1">
        <v>1.5</v>
      </c>
      <c r="F8" s="1">
        <v>1.5</v>
      </c>
      <c r="G8" s="1">
        <v>1.5</v>
      </c>
      <c r="H8" s="1">
        <v>1.5</v>
      </c>
      <c r="I8" s="1">
        <v>1.5</v>
      </c>
      <c r="J8" s="1">
        <v>1.5</v>
      </c>
      <c r="K8" s="1">
        <v>1.5</v>
      </c>
      <c r="L8" s="1">
        <v>1.5</v>
      </c>
      <c r="M8" s="1">
        <v>1.5</v>
      </c>
      <c r="N8" s="1">
        <v>1.5</v>
      </c>
      <c r="O8" s="1">
        <v>1.5</v>
      </c>
      <c r="P8" s="1">
        <v>1.5</v>
      </c>
      <c r="Q8" s="1">
        <v>1.5</v>
      </c>
      <c r="R8" s="1">
        <v>1.5</v>
      </c>
      <c r="S8" s="1">
        <v>1.5</v>
      </c>
      <c r="T8" s="1">
        <v>1.5</v>
      </c>
      <c r="U8" s="1">
        <v>1.5</v>
      </c>
      <c r="V8" s="1">
        <v>1.5</v>
      </c>
      <c r="W8" s="1">
        <v>1.5</v>
      </c>
      <c r="X8" s="1">
        <v>1.5</v>
      </c>
      <c r="Y8" s="1">
        <v>1.5</v>
      </c>
      <c r="Z8" s="1">
        <v>1.5</v>
      </c>
      <c r="AA8" s="1">
        <v>1.5</v>
      </c>
      <c r="AB8" s="1">
        <v>1.5</v>
      </c>
      <c r="AC8" s="1">
        <v>1.5</v>
      </c>
      <c r="AD8" s="1">
        <v>1.5</v>
      </c>
      <c r="AE8" s="1">
        <v>1.5</v>
      </c>
      <c r="AF8" s="1">
        <v>1.5</v>
      </c>
      <c r="AG8" s="1">
        <v>1.5</v>
      </c>
      <c r="AH8" s="1">
        <v>1.5</v>
      </c>
      <c r="AI8" s="1">
        <v>1.5</v>
      </c>
      <c r="AJ8" s="1">
        <v>1.5</v>
      </c>
      <c r="AK8" s="1">
        <v>1.5</v>
      </c>
      <c r="AL8" s="1">
        <v>1.5</v>
      </c>
      <c r="AM8" s="1">
        <v>1.5</v>
      </c>
      <c r="AN8" s="1">
        <v>1.5</v>
      </c>
      <c r="AO8" s="1">
        <v>1.5</v>
      </c>
      <c r="AP8" s="1">
        <v>1.5</v>
      </c>
      <c r="AQ8" s="1">
        <v>1.5</v>
      </c>
      <c r="AR8" s="1">
        <v>1.5</v>
      </c>
      <c r="AS8" s="1">
        <v>1.5</v>
      </c>
      <c r="AT8" s="1">
        <v>1.5</v>
      </c>
      <c r="AU8" s="1">
        <v>1.5</v>
      </c>
      <c r="AV8" s="1">
        <v>1.5</v>
      </c>
      <c r="AW8" s="1">
        <v>1.5</v>
      </c>
      <c r="AX8" s="1">
        <v>1.5</v>
      </c>
      <c r="AY8" s="1">
        <v>1.5</v>
      </c>
      <c r="AZ8" s="1">
        <v>1.5</v>
      </c>
      <c r="BA8" s="1">
        <v>1.5</v>
      </c>
      <c r="BB8" s="1">
        <v>1.5</v>
      </c>
      <c r="BC8" s="1">
        <v>1.5</v>
      </c>
      <c r="BD8" s="1">
        <v>1.5</v>
      </c>
      <c r="BE8" s="1">
        <v>1.5</v>
      </c>
      <c r="BF8" s="1">
        <v>1.5</v>
      </c>
      <c r="BG8" s="1">
        <v>1.5</v>
      </c>
      <c r="BH8" s="1">
        <v>1.5</v>
      </c>
      <c r="BI8" s="1">
        <v>1.5</v>
      </c>
      <c r="BJ8" s="1">
        <v>1.5</v>
      </c>
      <c r="BK8" s="1">
        <v>1.5</v>
      </c>
      <c r="BL8" s="1">
        <v>1.5</v>
      </c>
      <c r="BM8" s="1">
        <v>1.5</v>
      </c>
      <c r="BN8" s="1">
        <v>1.5</v>
      </c>
      <c r="BO8" s="1">
        <v>1.5</v>
      </c>
      <c r="BP8" s="1">
        <v>1.5</v>
      </c>
      <c r="BQ8" s="1">
        <v>1.5</v>
      </c>
      <c r="BR8" s="1">
        <v>1.5</v>
      </c>
      <c r="BS8" s="1">
        <v>1.5</v>
      </c>
      <c r="BT8" s="1">
        <v>1.5</v>
      </c>
      <c r="BU8" s="1">
        <v>1.5</v>
      </c>
    </row>
    <row r="9">
      <c r="A9" s="1" t="s">
        <v>146</v>
      </c>
      <c r="B9" s="1">
        <v>70.0</v>
      </c>
      <c r="C9" s="1">
        <v>70.0</v>
      </c>
      <c r="D9" s="1">
        <v>70.0</v>
      </c>
      <c r="E9" s="1">
        <v>70.0</v>
      </c>
      <c r="F9" s="1">
        <v>70.0</v>
      </c>
      <c r="G9" s="1">
        <v>70.0</v>
      </c>
      <c r="H9" s="1">
        <v>70.0</v>
      </c>
      <c r="I9" s="1">
        <v>70.0</v>
      </c>
      <c r="J9" s="1">
        <v>70.0</v>
      </c>
      <c r="K9" s="1">
        <v>70.0</v>
      </c>
      <c r="L9" s="1">
        <v>70.0</v>
      </c>
      <c r="M9" s="1">
        <v>70.0</v>
      </c>
      <c r="N9" s="1">
        <v>70.0</v>
      </c>
      <c r="O9" s="1">
        <v>70.0</v>
      </c>
      <c r="P9" s="1">
        <v>70.0</v>
      </c>
      <c r="Q9" s="1">
        <v>70.0</v>
      </c>
      <c r="R9" s="1">
        <v>70.0</v>
      </c>
      <c r="S9" s="1">
        <v>70.0</v>
      </c>
      <c r="T9" s="1">
        <v>70.0</v>
      </c>
      <c r="U9" s="1">
        <v>70.0</v>
      </c>
      <c r="V9" s="1">
        <v>70.0</v>
      </c>
      <c r="W9" s="1">
        <v>70.0</v>
      </c>
      <c r="X9" s="1">
        <v>70.0</v>
      </c>
      <c r="Y9" s="1">
        <v>70.0</v>
      </c>
      <c r="Z9" s="1">
        <v>70.0</v>
      </c>
      <c r="AA9" s="1">
        <v>70.0</v>
      </c>
      <c r="AB9" s="1">
        <v>70.0</v>
      </c>
      <c r="AC9" s="1">
        <v>70.0</v>
      </c>
      <c r="AD9" s="1">
        <v>70.0</v>
      </c>
      <c r="AE9" s="1">
        <v>70.0</v>
      </c>
      <c r="AF9" s="1">
        <v>70.0</v>
      </c>
      <c r="AG9" s="1">
        <v>70.0</v>
      </c>
      <c r="AH9" s="1">
        <v>70.0</v>
      </c>
      <c r="AI9" s="1">
        <v>70.0</v>
      </c>
      <c r="AJ9" s="1">
        <v>70.0</v>
      </c>
      <c r="AK9" s="1">
        <v>70.0</v>
      </c>
      <c r="AL9" s="1">
        <v>70.0</v>
      </c>
      <c r="AM9" s="1">
        <v>70.0</v>
      </c>
      <c r="AN9" s="1">
        <v>70.0</v>
      </c>
      <c r="AO9" s="1">
        <v>70.0</v>
      </c>
      <c r="AP9" s="1">
        <v>70.0</v>
      </c>
      <c r="AQ9" s="1">
        <v>70.0</v>
      </c>
      <c r="AR9" s="1">
        <v>70.0</v>
      </c>
      <c r="AS9" s="1">
        <v>70.0</v>
      </c>
      <c r="AT9" s="1">
        <v>70.0</v>
      </c>
      <c r="AU9" s="1">
        <v>70.0</v>
      </c>
      <c r="AV9" s="1">
        <v>70.0</v>
      </c>
      <c r="AW9" s="1">
        <v>70.0</v>
      </c>
      <c r="AX9" s="1">
        <v>70.0</v>
      </c>
      <c r="AY9" s="1">
        <v>70.0</v>
      </c>
      <c r="AZ9" s="1">
        <v>70.0</v>
      </c>
      <c r="BA9" s="1">
        <v>70.0</v>
      </c>
      <c r="BB9" s="1">
        <v>70.0</v>
      </c>
      <c r="BC9" s="1">
        <v>70.0</v>
      </c>
      <c r="BD9" s="1">
        <v>70.0</v>
      </c>
      <c r="BE9" s="1">
        <v>70.0</v>
      </c>
      <c r="BF9" s="1">
        <v>70.0</v>
      </c>
      <c r="BG9" s="1">
        <v>70.0</v>
      </c>
      <c r="BH9" s="1">
        <v>70.0</v>
      </c>
      <c r="BI9" s="1">
        <v>70.0</v>
      </c>
      <c r="BJ9" s="1">
        <v>70.0</v>
      </c>
      <c r="BK9" s="1">
        <v>70.0</v>
      </c>
      <c r="BL9" s="1">
        <v>70.0</v>
      </c>
      <c r="BM9" s="1">
        <v>70.0</v>
      </c>
      <c r="BN9" s="1">
        <v>70.0</v>
      </c>
      <c r="BO9" s="1">
        <v>70.0</v>
      </c>
      <c r="BP9" s="1">
        <v>70.0</v>
      </c>
      <c r="BQ9" s="1">
        <v>70.0</v>
      </c>
      <c r="BR9" s="1">
        <v>70.0</v>
      </c>
      <c r="BS9" s="1">
        <v>70.0</v>
      </c>
      <c r="BT9" s="1">
        <v>70.0</v>
      </c>
      <c r="BU9" s="1">
        <v>70.0</v>
      </c>
      <c r="BV9" s="1" t="s">
        <v>181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450.0</v>
      </c>
      <c r="J11" s="1">
        <v>451.0</v>
      </c>
      <c r="K11" s="1">
        <v>452.0</v>
      </c>
      <c r="L11" s="1">
        <v>453.0</v>
      </c>
      <c r="M11" s="1">
        <v>454.0</v>
      </c>
      <c r="N11" s="1">
        <v>454.0</v>
      </c>
      <c r="O11" s="1">
        <v>455.0</v>
      </c>
      <c r="P11" s="1">
        <v>456.0</v>
      </c>
      <c r="Q11" s="1">
        <v>457.0</v>
      </c>
      <c r="R11" s="1">
        <v>458.0</v>
      </c>
      <c r="S11" s="1">
        <v>459.0</v>
      </c>
      <c r="T11" s="1">
        <v>460.0</v>
      </c>
      <c r="U11" s="1">
        <v>461.0</v>
      </c>
      <c r="V11" s="1">
        <v>462.0</v>
      </c>
      <c r="W11" s="1">
        <v>462.0</v>
      </c>
      <c r="X11" s="1">
        <v>463.0</v>
      </c>
      <c r="Y11" s="1">
        <v>464.0</v>
      </c>
      <c r="Z11" s="1">
        <v>465.0</v>
      </c>
      <c r="AA11" s="1">
        <v>466.0</v>
      </c>
      <c r="AB11" s="1">
        <v>467.0</v>
      </c>
      <c r="AC11" s="1">
        <v>468.0</v>
      </c>
      <c r="AD11" s="1">
        <v>469.0</v>
      </c>
      <c r="AE11" s="1">
        <v>470.0</v>
      </c>
      <c r="AF11" s="1">
        <v>471.0</v>
      </c>
      <c r="AG11" s="1">
        <v>472.0</v>
      </c>
      <c r="AH11" s="1">
        <v>472.0</v>
      </c>
      <c r="AI11" s="1">
        <v>473.0</v>
      </c>
      <c r="AJ11" s="1">
        <v>474.0</v>
      </c>
      <c r="AK11" s="1">
        <v>475.0</v>
      </c>
      <c r="AL11" s="1">
        <v>476.0</v>
      </c>
      <c r="AM11" s="1">
        <v>477.0</v>
      </c>
      <c r="AN11" s="1">
        <v>478.0</v>
      </c>
      <c r="AO11" s="1">
        <v>479.0</v>
      </c>
      <c r="AP11" s="1">
        <v>480.0</v>
      </c>
      <c r="AQ11" s="1">
        <v>481.0</v>
      </c>
      <c r="AR11" s="1">
        <v>482.0</v>
      </c>
      <c r="AS11" s="1">
        <v>483.0</v>
      </c>
      <c r="AT11" s="1">
        <v>484.0</v>
      </c>
      <c r="AU11" s="1">
        <v>485.0</v>
      </c>
      <c r="AV11" s="1">
        <v>486.0</v>
      </c>
      <c r="AW11" s="1">
        <v>487.0</v>
      </c>
      <c r="AX11" s="1">
        <v>487.0</v>
      </c>
      <c r="AY11" s="1">
        <v>488.0</v>
      </c>
      <c r="AZ11" s="1">
        <v>489.0</v>
      </c>
      <c r="BA11" s="1">
        <v>490.0</v>
      </c>
      <c r="BB11" s="1">
        <v>491.0</v>
      </c>
      <c r="BC11" s="1">
        <v>492.0</v>
      </c>
      <c r="BD11" s="1">
        <v>493.0</v>
      </c>
      <c r="BE11" s="1">
        <v>494.0</v>
      </c>
      <c r="BF11" s="1">
        <v>495.0</v>
      </c>
      <c r="BG11" s="1">
        <v>496.0</v>
      </c>
      <c r="BH11" s="1">
        <v>497.0</v>
      </c>
      <c r="BI11" s="1">
        <v>498.0</v>
      </c>
      <c r="BJ11" s="1">
        <v>499.0</v>
      </c>
      <c r="BK11" s="1">
        <v>500.0</v>
      </c>
      <c r="BL11" s="1">
        <v>501.0</v>
      </c>
      <c r="BM11" s="1">
        <v>502.0</v>
      </c>
      <c r="BN11" s="1">
        <v>503.0</v>
      </c>
      <c r="BO11" s="1">
        <v>504.0</v>
      </c>
      <c r="BP11" s="1">
        <v>505.0</v>
      </c>
      <c r="BQ11" s="1">
        <v>506.0</v>
      </c>
      <c r="BR11" s="1">
        <v>507.0</v>
      </c>
      <c r="BS11" s="1">
        <v>508.0</v>
      </c>
      <c r="BT11" s="1">
        <v>509.0</v>
      </c>
      <c r="BU11" s="1">
        <v>510.0</v>
      </c>
      <c r="BV11" s="1">
        <v>31154.0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31500.0</v>
      </c>
      <c r="J12" s="1">
        <v>31561.0</v>
      </c>
      <c r="K12" s="1">
        <v>31623.0</v>
      </c>
      <c r="L12" s="1">
        <v>31685.0</v>
      </c>
      <c r="M12" s="1">
        <v>31747.0</v>
      </c>
      <c r="N12" s="1">
        <v>31809.0</v>
      </c>
      <c r="O12" s="1">
        <v>31871.0</v>
      </c>
      <c r="P12" s="1">
        <v>31933.0</v>
      </c>
      <c r="Q12" s="1">
        <v>31995.0</v>
      </c>
      <c r="R12" s="1">
        <v>32058.0</v>
      </c>
      <c r="S12" s="1">
        <v>32120.0</v>
      </c>
      <c r="T12" s="1">
        <v>32183.0</v>
      </c>
      <c r="U12" s="1">
        <v>32246.0</v>
      </c>
      <c r="V12" s="1">
        <v>32309.0</v>
      </c>
      <c r="W12" s="1">
        <v>32372.0</v>
      </c>
      <c r="X12" s="1">
        <v>32435.0</v>
      </c>
      <c r="Y12" s="1">
        <v>32498.0</v>
      </c>
      <c r="Z12" s="1">
        <v>32562.0</v>
      </c>
      <c r="AA12" s="1">
        <v>32625.0</v>
      </c>
      <c r="AB12" s="1">
        <v>32689.0</v>
      </c>
      <c r="AC12" s="1">
        <v>32753.0</v>
      </c>
      <c r="AD12" s="1">
        <v>32817.0</v>
      </c>
      <c r="AE12" s="1">
        <v>32881.0</v>
      </c>
      <c r="AF12" s="1">
        <v>32945.0</v>
      </c>
      <c r="AG12" s="1">
        <v>33009.0</v>
      </c>
      <c r="AH12" s="1">
        <v>33074.0</v>
      </c>
      <c r="AI12" s="1">
        <v>33138.0</v>
      </c>
      <c r="AJ12" s="1">
        <v>33203.0</v>
      </c>
      <c r="AK12" s="1">
        <v>33268.0</v>
      </c>
      <c r="AL12" s="1">
        <v>33333.0</v>
      </c>
      <c r="AM12" s="1">
        <v>33398.0</v>
      </c>
      <c r="AN12" s="1">
        <v>33463.0</v>
      </c>
      <c r="AO12" s="1">
        <v>33528.0</v>
      </c>
      <c r="AP12" s="1">
        <v>33594.0</v>
      </c>
      <c r="AQ12" s="1">
        <v>33659.0</v>
      </c>
      <c r="AR12" s="1">
        <v>33725.0</v>
      </c>
      <c r="AS12" s="1">
        <v>33791.0</v>
      </c>
      <c r="AT12" s="1">
        <v>33857.0</v>
      </c>
      <c r="AU12" s="1">
        <v>33923.0</v>
      </c>
      <c r="AV12" s="1">
        <v>33989.0</v>
      </c>
      <c r="AW12" s="1">
        <v>34055.0</v>
      </c>
      <c r="AX12" s="1">
        <v>34122.0</v>
      </c>
      <c r="AY12" s="1">
        <v>34189.0</v>
      </c>
      <c r="AZ12" s="1">
        <v>34255.0</v>
      </c>
      <c r="BA12" s="1">
        <v>34322.0</v>
      </c>
      <c r="BB12" s="1">
        <v>34389.0</v>
      </c>
      <c r="BC12" s="1">
        <v>34456.0</v>
      </c>
      <c r="BD12" s="1">
        <v>34524.0</v>
      </c>
      <c r="BE12" s="1">
        <v>34591.0</v>
      </c>
      <c r="BF12" s="1">
        <v>34658.0</v>
      </c>
      <c r="BG12" s="1">
        <v>34726.0</v>
      </c>
      <c r="BH12" s="1">
        <v>34794.0</v>
      </c>
      <c r="BI12" s="1">
        <v>34862.0</v>
      </c>
      <c r="BJ12" s="1">
        <v>34930.0</v>
      </c>
      <c r="BK12" s="1">
        <v>34998.0</v>
      </c>
      <c r="BL12" s="1">
        <v>35066.0</v>
      </c>
      <c r="BM12" s="1">
        <v>35135.0</v>
      </c>
      <c r="BN12" s="1">
        <v>35203.0</v>
      </c>
      <c r="BO12" s="1">
        <v>35272.0</v>
      </c>
      <c r="BP12" s="1">
        <v>35341.0</v>
      </c>
      <c r="BQ12" s="1">
        <v>35410.0</v>
      </c>
      <c r="BR12" s="1">
        <v>35479.0</v>
      </c>
      <c r="BS12" s="1">
        <v>35548.0</v>
      </c>
      <c r="BT12" s="1">
        <v>35618.0</v>
      </c>
      <c r="BU12" s="1">
        <v>35687.0</v>
      </c>
      <c r="BV12" s="1">
        <v>2180800.0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9450.0</v>
      </c>
      <c r="J13" s="1">
        <v>9468.0</v>
      </c>
      <c r="K13" s="1">
        <v>9487.0</v>
      </c>
      <c r="L13" s="1">
        <v>9505.0</v>
      </c>
      <c r="M13" s="1">
        <v>9524.0</v>
      </c>
      <c r="N13" s="1">
        <v>9543.0</v>
      </c>
      <c r="O13" s="1">
        <v>9561.0</v>
      </c>
      <c r="P13" s="1">
        <v>9580.0</v>
      </c>
      <c r="Q13" s="1">
        <v>9599.0</v>
      </c>
      <c r="R13" s="1">
        <v>9617.0</v>
      </c>
      <c r="S13" s="1">
        <v>9636.0</v>
      </c>
      <c r="T13" s="1">
        <v>9655.0</v>
      </c>
      <c r="U13" s="1">
        <v>9674.0</v>
      </c>
      <c r="V13" s="1">
        <v>9693.0</v>
      </c>
      <c r="W13" s="1">
        <v>9712.0</v>
      </c>
      <c r="X13" s="1">
        <v>9731.0</v>
      </c>
      <c r="Y13" s="1">
        <v>9750.0</v>
      </c>
      <c r="Z13" s="1">
        <v>9769.0</v>
      </c>
      <c r="AA13" s="1">
        <v>9788.0</v>
      </c>
      <c r="AB13" s="1">
        <v>9807.0</v>
      </c>
      <c r="AC13" s="1">
        <v>9826.0</v>
      </c>
      <c r="AD13" s="1">
        <v>9845.0</v>
      </c>
      <c r="AE13" s="1">
        <v>9864.0</v>
      </c>
      <c r="AF13" s="1">
        <v>9884.0</v>
      </c>
      <c r="AG13" s="1">
        <v>9903.0</v>
      </c>
      <c r="AH13" s="1">
        <v>9922.0</v>
      </c>
      <c r="AI13" s="1">
        <v>9941.0</v>
      </c>
      <c r="AJ13" s="1">
        <v>9961.0</v>
      </c>
      <c r="AK13" s="1">
        <v>9980.0</v>
      </c>
      <c r="AL13" s="1">
        <v>10000.0</v>
      </c>
      <c r="AM13" s="1">
        <v>10019.0</v>
      </c>
      <c r="AN13" s="1">
        <v>10039.0</v>
      </c>
      <c r="AO13" s="1">
        <v>10058.0</v>
      </c>
      <c r="AP13" s="1">
        <v>10078.0</v>
      </c>
      <c r="AQ13" s="1">
        <v>10098.0</v>
      </c>
      <c r="AR13" s="1">
        <v>10118.0</v>
      </c>
      <c r="AS13" s="1">
        <v>10137.0</v>
      </c>
      <c r="AT13" s="1">
        <v>10157.0</v>
      </c>
      <c r="AU13" s="1">
        <v>10177.0</v>
      </c>
      <c r="AV13" s="1">
        <v>10197.0</v>
      </c>
      <c r="AW13" s="1">
        <v>10217.0</v>
      </c>
      <c r="AX13" s="1">
        <v>10237.0</v>
      </c>
      <c r="AY13" s="1">
        <v>10257.0</v>
      </c>
      <c r="AZ13" s="1">
        <v>10277.0</v>
      </c>
      <c r="BA13" s="1">
        <v>10297.0</v>
      </c>
      <c r="BB13" s="1">
        <v>10317.0</v>
      </c>
      <c r="BC13" s="1">
        <v>10337.0</v>
      </c>
      <c r="BD13" s="1">
        <v>10357.0</v>
      </c>
      <c r="BE13" s="1">
        <v>10377.0</v>
      </c>
      <c r="BF13" s="1">
        <v>10398.0</v>
      </c>
      <c r="BG13" s="1">
        <v>10418.0</v>
      </c>
      <c r="BH13" s="1">
        <v>10438.0</v>
      </c>
      <c r="BI13" s="1">
        <v>10459.0</v>
      </c>
      <c r="BJ13" s="1">
        <v>10479.0</v>
      </c>
      <c r="BK13" s="1">
        <v>10499.0</v>
      </c>
      <c r="BL13" s="1">
        <v>10520.0</v>
      </c>
      <c r="BM13" s="1">
        <v>10540.0</v>
      </c>
      <c r="BN13" s="1">
        <v>10561.0</v>
      </c>
      <c r="BO13" s="1">
        <v>10582.0</v>
      </c>
      <c r="BP13" s="1">
        <v>10602.0</v>
      </c>
      <c r="BQ13" s="1">
        <v>10623.0</v>
      </c>
      <c r="BR13" s="1">
        <v>10644.0</v>
      </c>
      <c r="BS13" s="1">
        <v>10665.0</v>
      </c>
      <c r="BT13" s="1">
        <v>10685.0</v>
      </c>
      <c r="BU13" s="1">
        <v>10706.0</v>
      </c>
      <c r="BV13" s="1">
        <v>654240.0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2000.0</v>
      </c>
      <c r="J14" s="1">
        <v>2000.0</v>
      </c>
      <c r="K14" s="1">
        <v>2000.0</v>
      </c>
      <c r="L14" s="1">
        <v>2000.0</v>
      </c>
      <c r="M14" s="1">
        <v>2000.0</v>
      </c>
      <c r="N14" s="1">
        <v>2000.0</v>
      </c>
      <c r="O14" s="1">
        <v>2000.0</v>
      </c>
      <c r="P14" s="1">
        <v>2000.0</v>
      </c>
      <c r="Q14" s="1">
        <v>2000.0</v>
      </c>
      <c r="R14" s="1">
        <v>2000.0</v>
      </c>
      <c r="S14" s="1">
        <v>2000.0</v>
      </c>
      <c r="T14" s="1">
        <v>2000.0</v>
      </c>
      <c r="U14" s="1">
        <v>2000.0</v>
      </c>
      <c r="V14" s="1">
        <v>2000.0</v>
      </c>
      <c r="W14" s="1">
        <v>2000.0</v>
      </c>
      <c r="X14" s="1">
        <v>2000.0</v>
      </c>
      <c r="Y14" s="1">
        <v>2000.0</v>
      </c>
      <c r="Z14" s="1">
        <v>2000.0</v>
      </c>
      <c r="AA14" s="1">
        <v>2000.0</v>
      </c>
      <c r="AB14" s="1">
        <v>2000.0</v>
      </c>
      <c r="AC14" s="1">
        <v>2000.0</v>
      </c>
      <c r="AD14" s="1">
        <v>2000.0</v>
      </c>
      <c r="AE14" s="1">
        <v>2000.0</v>
      </c>
      <c r="AF14" s="1">
        <v>2000.0</v>
      </c>
      <c r="AG14" s="1">
        <v>2000.0</v>
      </c>
      <c r="AH14" s="1">
        <v>2000.0</v>
      </c>
      <c r="AI14" s="1">
        <v>2000.0</v>
      </c>
      <c r="AJ14" s="1">
        <v>2000.0</v>
      </c>
      <c r="AK14" s="1">
        <v>2000.0</v>
      </c>
      <c r="AL14" s="1">
        <v>2000.0</v>
      </c>
      <c r="AM14" s="1">
        <v>2000.0</v>
      </c>
      <c r="AN14" s="1">
        <v>2000.0</v>
      </c>
      <c r="AO14" s="1">
        <v>2000.0</v>
      </c>
      <c r="AP14" s="1">
        <v>2000.0</v>
      </c>
      <c r="AQ14" s="1">
        <v>2000.0</v>
      </c>
      <c r="AR14" s="1">
        <v>2000.0</v>
      </c>
      <c r="AS14" s="1">
        <v>2000.0</v>
      </c>
      <c r="AT14" s="1">
        <v>2000.0</v>
      </c>
      <c r="AU14" s="1">
        <v>2000.0</v>
      </c>
      <c r="AV14" s="1">
        <v>2000.0</v>
      </c>
      <c r="AW14" s="1">
        <v>2000.0</v>
      </c>
      <c r="AX14" s="1">
        <v>2000.0</v>
      </c>
      <c r="AY14" s="1">
        <v>2000.0</v>
      </c>
      <c r="AZ14" s="1">
        <v>2000.0</v>
      </c>
      <c r="BA14" s="1">
        <v>2000.0</v>
      </c>
      <c r="BB14" s="1">
        <v>2000.0</v>
      </c>
      <c r="BC14" s="1">
        <v>2000.0</v>
      </c>
      <c r="BD14" s="1">
        <v>2000.0</v>
      </c>
      <c r="BE14" s="1">
        <v>2000.0</v>
      </c>
      <c r="BF14" s="1">
        <v>2000.0</v>
      </c>
      <c r="BG14" s="1">
        <v>2000.0</v>
      </c>
      <c r="BH14" s="1">
        <v>2000.0</v>
      </c>
      <c r="BI14" s="1">
        <v>2000.0</v>
      </c>
      <c r="BJ14" s="1">
        <v>2000.0</v>
      </c>
      <c r="BK14" s="1">
        <v>2000.0</v>
      </c>
      <c r="BL14" s="1">
        <v>2000.0</v>
      </c>
      <c r="BM14" s="1">
        <v>2000.0</v>
      </c>
      <c r="BN14" s="1">
        <v>2000.0</v>
      </c>
      <c r="BO14" s="1">
        <v>2000.0</v>
      </c>
      <c r="BP14" s="1">
        <v>2000.0</v>
      </c>
      <c r="BQ14" s="1">
        <v>2000.0</v>
      </c>
      <c r="BR14" s="1">
        <v>2000.0</v>
      </c>
      <c r="BS14" s="1">
        <v>2000.0</v>
      </c>
      <c r="BT14" s="1">
        <v>2000.0</v>
      </c>
      <c r="BU14" s="1">
        <v>2000.0</v>
      </c>
      <c r="BV14" s="1">
        <v>130000.0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11450.0</v>
      </c>
      <c r="J15" s="1">
        <v>11468.0</v>
      </c>
      <c r="K15" s="1">
        <v>11487.0</v>
      </c>
      <c r="L15" s="1">
        <v>11505.0</v>
      </c>
      <c r="M15" s="1">
        <v>11524.0</v>
      </c>
      <c r="N15" s="1">
        <v>11543.0</v>
      </c>
      <c r="O15" s="1">
        <v>11561.0</v>
      </c>
      <c r="P15" s="1">
        <v>11580.0</v>
      </c>
      <c r="Q15" s="1">
        <v>11599.0</v>
      </c>
      <c r="R15" s="1">
        <v>11617.0</v>
      </c>
      <c r="S15" s="1">
        <v>11636.0</v>
      </c>
      <c r="T15" s="1">
        <v>11655.0</v>
      </c>
      <c r="U15" s="1">
        <v>11674.0</v>
      </c>
      <c r="V15" s="1">
        <v>11693.0</v>
      </c>
      <c r="W15" s="1">
        <v>11712.0</v>
      </c>
      <c r="X15" s="1">
        <v>11731.0</v>
      </c>
      <c r="Y15" s="1">
        <v>11750.0</v>
      </c>
      <c r="Z15" s="1">
        <v>11769.0</v>
      </c>
      <c r="AA15" s="1">
        <v>11788.0</v>
      </c>
      <c r="AB15" s="1">
        <v>11807.0</v>
      </c>
      <c r="AC15" s="1">
        <v>11826.0</v>
      </c>
      <c r="AD15" s="1">
        <v>11845.0</v>
      </c>
      <c r="AE15" s="1">
        <v>11864.0</v>
      </c>
      <c r="AF15" s="1">
        <v>11884.0</v>
      </c>
      <c r="AG15" s="1">
        <v>11903.0</v>
      </c>
      <c r="AH15" s="1">
        <v>11922.0</v>
      </c>
      <c r="AI15" s="1">
        <v>11941.0</v>
      </c>
      <c r="AJ15" s="1">
        <v>11961.0</v>
      </c>
      <c r="AK15" s="1">
        <v>11980.0</v>
      </c>
      <c r="AL15" s="1">
        <v>12000.0</v>
      </c>
      <c r="AM15" s="1">
        <v>12019.0</v>
      </c>
      <c r="AN15" s="1">
        <v>12039.0</v>
      </c>
      <c r="AO15" s="1">
        <v>12058.0</v>
      </c>
      <c r="AP15" s="1">
        <v>12078.0</v>
      </c>
      <c r="AQ15" s="1">
        <v>12098.0</v>
      </c>
      <c r="AR15" s="1">
        <v>12118.0</v>
      </c>
      <c r="AS15" s="1">
        <v>12137.0</v>
      </c>
      <c r="AT15" s="1">
        <v>12157.0</v>
      </c>
      <c r="AU15" s="1">
        <v>12177.0</v>
      </c>
      <c r="AV15" s="1">
        <v>12197.0</v>
      </c>
      <c r="AW15" s="1">
        <v>12217.0</v>
      </c>
      <c r="AX15" s="1">
        <v>12237.0</v>
      </c>
      <c r="AY15" s="1">
        <v>12257.0</v>
      </c>
      <c r="AZ15" s="1">
        <v>12277.0</v>
      </c>
      <c r="BA15" s="1">
        <v>12297.0</v>
      </c>
      <c r="BB15" s="1">
        <v>12317.0</v>
      </c>
      <c r="BC15" s="1">
        <v>12337.0</v>
      </c>
      <c r="BD15" s="1">
        <v>12357.0</v>
      </c>
      <c r="BE15" s="1">
        <v>12377.0</v>
      </c>
      <c r="BF15" s="1">
        <v>12398.0</v>
      </c>
      <c r="BG15" s="1">
        <v>12418.0</v>
      </c>
      <c r="BH15" s="1">
        <v>12438.0</v>
      </c>
      <c r="BI15" s="1">
        <v>12459.0</v>
      </c>
      <c r="BJ15" s="1">
        <v>12479.0</v>
      </c>
      <c r="BK15" s="1">
        <v>12499.0</v>
      </c>
      <c r="BL15" s="1">
        <v>12520.0</v>
      </c>
      <c r="BM15" s="1">
        <v>12540.0</v>
      </c>
      <c r="BN15" s="1">
        <v>12561.0</v>
      </c>
      <c r="BO15" s="1">
        <v>12582.0</v>
      </c>
      <c r="BP15" s="1">
        <v>12602.0</v>
      </c>
      <c r="BQ15" s="1">
        <v>12623.0</v>
      </c>
      <c r="BR15" s="1">
        <v>12644.0</v>
      </c>
      <c r="BS15" s="1">
        <v>12665.0</v>
      </c>
      <c r="BT15" s="1">
        <v>12685.0</v>
      </c>
      <c r="BU15" s="1">
        <v>12706.0</v>
      </c>
      <c r="BV15" s="1">
        <v>784240.0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22050.0</v>
      </c>
      <c r="J16" s="1">
        <v>22093.0</v>
      </c>
      <c r="K16" s="1">
        <v>22136.0</v>
      </c>
      <c r="L16" s="1">
        <v>22179.0</v>
      </c>
      <c r="M16" s="1">
        <v>22223.0</v>
      </c>
      <c r="N16" s="1">
        <v>22266.0</v>
      </c>
      <c r="O16" s="1">
        <v>22310.0</v>
      </c>
      <c r="P16" s="1">
        <v>22353.0</v>
      </c>
      <c r="Q16" s="1">
        <v>22397.0</v>
      </c>
      <c r="R16" s="1">
        <v>22440.0</v>
      </c>
      <c r="S16" s="1">
        <v>22484.0</v>
      </c>
      <c r="T16" s="1">
        <v>22528.0</v>
      </c>
      <c r="U16" s="1">
        <v>22572.0</v>
      </c>
      <c r="V16" s="1">
        <v>22616.0</v>
      </c>
      <c r="W16" s="1">
        <v>22660.0</v>
      </c>
      <c r="X16" s="1">
        <v>22705.0</v>
      </c>
      <c r="Y16" s="1">
        <v>22749.0</v>
      </c>
      <c r="Z16" s="1">
        <v>22793.0</v>
      </c>
      <c r="AA16" s="1">
        <v>22838.0</v>
      </c>
      <c r="AB16" s="1">
        <v>22882.0</v>
      </c>
      <c r="AC16" s="1">
        <v>22927.0</v>
      </c>
      <c r="AD16" s="1">
        <v>22972.0</v>
      </c>
      <c r="AE16" s="1">
        <v>23017.0</v>
      </c>
      <c r="AF16" s="1">
        <v>23062.0</v>
      </c>
      <c r="AG16" s="1">
        <v>23107.0</v>
      </c>
      <c r="AH16" s="1">
        <v>23152.0</v>
      </c>
      <c r="AI16" s="1">
        <v>23197.0</v>
      </c>
      <c r="AJ16" s="1">
        <v>23242.0</v>
      </c>
      <c r="AK16" s="1">
        <v>23287.0</v>
      </c>
      <c r="AL16" s="1">
        <v>23333.0</v>
      </c>
      <c r="AM16" s="1">
        <v>23378.0</v>
      </c>
      <c r="AN16" s="1">
        <v>23424.0</v>
      </c>
      <c r="AO16" s="1">
        <v>23470.0</v>
      </c>
      <c r="AP16" s="1">
        <v>23516.0</v>
      </c>
      <c r="AQ16" s="1">
        <v>23562.0</v>
      </c>
      <c r="AR16" s="1">
        <v>23608.0</v>
      </c>
      <c r="AS16" s="1">
        <v>23654.0</v>
      </c>
      <c r="AT16" s="1">
        <v>23700.0</v>
      </c>
      <c r="AU16" s="1">
        <v>23746.0</v>
      </c>
      <c r="AV16" s="1">
        <v>23792.0</v>
      </c>
      <c r="AW16" s="1">
        <v>23839.0</v>
      </c>
      <c r="AX16" s="1">
        <v>23885.0</v>
      </c>
      <c r="AY16" s="1">
        <v>23932.0</v>
      </c>
      <c r="AZ16" s="1">
        <v>23979.0</v>
      </c>
      <c r="BA16" s="1">
        <v>24026.0</v>
      </c>
      <c r="BB16" s="1">
        <v>24072.0</v>
      </c>
      <c r="BC16" s="1">
        <v>24119.0</v>
      </c>
      <c r="BD16" s="1">
        <v>24166.0</v>
      </c>
      <c r="BE16" s="1">
        <v>24214.0</v>
      </c>
      <c r="BF16" s="1">
        <v>24261.0</v>
      </c>
      <c r="BG16" s="1">
        <v>24308.0</v>
      </c>
      <c r="BH16" s="1">
        <v>24356.0</v>
      </c>
      <c r="BI16" s="1">
        <v>24403.0</v>
      </c>
      <c r="BJ16" s="1">
        <v>24451.0</v>
      </c>
      <c r="BK16" s="1">
        <v>24499.0</v>
      </c>
      <c r="BL16" s="1">
        <v>24546.0</v>
      </c>
      <c r="BM16" s="1">
        <v>24594.0</v>
      </c>
      <c r="BN16" s="1">
        <v>24642.0</v>
      </c>
      <c r="BO16" s="1">
        <v>24690.0</v>
      </c>
      <c r="BP16" s="1">
        <v>24739.0</v>
      </c>
      <c r="BQ16" s="1">
        <v>24787.0</v>
      </c>
      <c r="BR16" s="1">
        <v>24835.0</v>
      </c>
      <c r="BS16" s="1">
        <v>24884.0</v>
      </c>
      <c r="BT16" s="1">
        <v>24932.0</v>
      </c>
      <c r="BU16" s="1">
        <v>24981.0</v>
      </c>
      <c r="BV16" s="1">
        <v>1526560.0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197</v>
      </c>
    </row>
    <row r="2">
      <c r="A2" s="1" t="s">
        <v>198</v>
      </c>
    </row>
    <row r="3">
      <c r="A3" s="1" t="s">
        <v>180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35000.0</v>
      </c>
      <c r="N6" s="1">
        <v>35068.0</v>
      </c>
      <c r="O6" s="1">
        <v>35137.0</v>
      </c>
      <c r="P6" s="1">
        <v>35205.0</v>
      </c>
      <c r="Q6" s="1">
        <v>35274.0</v>
      </c>
      <c r="R6" s="1">
        <v>35343.0</v>
      </c>
      <c r="S6" s="1">
        <v>35412.0</v>
      </c>
      <c r="T6" s="1">
        <v>35481.0</v>
      </c>
      <c r="U6" s="1">
        <v>35550.0</v>
      </c>
      <c r="V6" s="1">
        <v>35620.0</v>
      </c>
      <c r="W6" s="1">
        <v>35689.0</v>
      </c>
      <c r="X6" s="1">
        <v>35759.0</v>
      </c>
      <c r="Y6" s="1">
        <v>35829.0</v>
      </c>
      <c r="Z6" s="1">
        <v>35899.0</v>
      </c>
      <c r="AA6" s="1">
        <v>35969.0</v>
      </c>
      <c r="AB6" s="1">
        <v>36039.0</v>
      </c>
      <c r="AC6" s="1">
        <v>36109.0</v>
      </c>
      <c r="AD6" s="1">
        <v>36180.0</v>
      </c>
      <c r="AE6" s="1">
        <v>36250.0</v>
      </c>
      <c r="AF6" s="1">
        <v>36321.0</v>
      </c>
      <c r="AG6" s="1">
        <v>36392.0</v>
      </c>
      <c r="AH6" s="1">
        <v>36463.0</v>
      </c>
      <c r="AI6" s="1">
        <v>36534.0</v>
      </c>
      <c r="AJ6" s="1">
        <v>36606.0</v>
      </c>
      <c r="AK6" s="1">
        <v>36677.0</v>
      </c>
      <c r="AL6" s="1">
        <v>36749.0</v>
      </c>
      <c r="AM6" s="1">
        <v>36820.0</v>
      </c>
      <c r="AN6" s="1">
        <v>36892.0</v>
      </c>
      <c r="AO6" s="1">
        <v>36964.0</v>
      </c>
      <c r="AP6" s="1">
        <v>37036.0</v>
      </c>
      <c r="AQ6" s="1">
        <v>37109.0</v>
      </c>
      <c r="AR6" s="1">
        <v>37181.0</v>
      </c>
      <c r="AS6" s="1">
        <v>37254.0</v>
      </c>
      <c r="AT6" s="1">
        <v>37326.0</v>
      </c>
      <c r="AU6" s="1">
        <v>37399.0</v>
      </c>
      <c r="AV6" s="1">
        <v>37472.0</v>
      </c>
      <c r="AW6" s="1">
        <v>37545.0</v>
      </c>
      <c r="AX6" s="1">
        <v>37619.0</v>
      </c>
      <c r="AY6" s="1">
        <v>37692.0</v>
      </c>
      <c r="AZ6" s="1">
        <v>37766.0</v>
      </c>
      <c r="BA6" s="1">
        <v>37839.0</v>
      </c>
      <c r="BB6" s="1">
        <v>37913.0</v>
      </c>
      <c r="BC6" s="1">
        <v>37987.0</v>
      </c>
      <c r="BD6" s="1">
        <v>38061.0</v>
      </c>
      <c r="BE6" s="1">
        <v>38136.0</v>
      </c>
      <c r="BF6" s="1">
        <v>38210.0</v>
      </c>
      <c r="BG6" s="1">
        <v>38285.0</v>
      </c>
      <c r="BH6" s="1">
        <v>38360.0</v>
      </c>
      <c r="BI6" s="1">
        <v>38434.0</v>
      </c>
      <c r="BJ6" s="1">
        <v>38509.0</v>
      </c>
      <c r="BK6" s="1">
        <v>38585.0</v>
      </c>
      <c r="BL6" s="1">
        <v>38660.0</v>
      </c>
      <c r="BM6" s="1">
        <v>38735.0</v>
      </c>
      <c r="BN6" s="1">
        <v>38811.0</v>
      </c>
      <c r="BO6" s="1">
        <v>38887.0</v>
      </c>
      <c r="BP6" s="1">
        <v>38963.0</v>
      </c>
      <c r="BQ6" s="1">
        <v>39039.0</v>
      </c>
      <c r="BR6" s="1">
        <v>39115.0</v>
      </c>
      <c r="BS6" s="1">
        <v>39191.0</v>
      </c>
      <c r="BT6" s="1">
        <v>39268.0</v>
      </c>
      <c r="BU6" s="1">
        <v>39344.0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210.0</v>
      </c>
      <c r="O7" s="1">
        <v>210.0</v>
      </c>
      <c r="P7" s="1">
        <v>211.0</v>
      </c>
      <c r="Q7" s="1">
        <v>211.0</v>
      </c>
      <c r="R7" s="1">
        <v>212.0</v>
      </c>
      <c r="S7" s="1">
        <v>212.0</v>
      </c>
      <c r="T7" s="1">
        <v>212.0</v>
      </c>
      <c r="U7" s="1">
        <v>213.0</v>
      </c>
      <c r="V7" s="1">
        <v>213.0</v>
      </c>
      <c r="W7" s="1">
        <v>214.0</v>
      </c>
      <c r="X7" s="1">
        <v>214.0</v>
      </c>
      <c r="Y7" s="1">
        <v>215.0</v>
      </c>
      <c r="Z7" s="1">
        <v>215.0</v>
      </c>
      <c r="AA7" s="1">
        <v>215.0</v>
      </c>
      <c r="AB7" s="1">
        <v>216.0</v>
      </c>
      <c r="AC7" s="1">
        <v>216.0</v>
      </c>
      <c r="AD7" s="1">
        <v>217.0</v>
      </c>
      <c r="AE7" s="1">
        <v>217.0</v>
      </c>
      <c r="AF7" s="1">
        <v>218.0</v>
      </c>
      <c r="AG7" s="1">
        <v>218.0</v>
      </c>
      <c r="AH7" s="1">
        <v>218.0</v>
      </c>
      <c r="AI7" s="1">
        <v>219.0</v>
      </c>
      <c r="AJ7" s="1">
        <v>219.0</v>
      </c>
      <c r="AK7" s="1">
        <v>220.0</v>
      </c>
      <c r="AL7" s="1">
        <v>220.0</v>
      </c>
      <c r="AM7" s="1">
        <v>220.0</v>
      </c>
      <c r="AN7" s="1">
        <v>221.0</v>
      </c>
      <c r="AO7" s="1">
        <v>221.0</v>
      </c>
      <c r="AP7" s="1">
        <v>222.0</v>
      </c>
      <c r="AQ7" s="1">
        <v>222.0</v>
      </c>
      <c r="AR7" s="1">
        <v>223.0</v>
      </c>
      <c r="AS7" s="1">
        <v>223.0</v>
      </c>
      <c r="AT7" s="1">
        <v>224.0</v>
      </c>
      <c r="AU7" s="1">
        <v>224.0</v>
      </c>
      <c r="AV7" s="1">
        <v>224.0</v>
      </c>
      <c r="AW7" s="1">
        <v>225.0</v>
      </c>
      <c r="AX7" s="1">
        <v>225.0</v>
      </c>
      <c r="AY7" s="1">
        <v>226.0</v>
      </c>
      <c r="AZ7" s="1">
        <v>226.0</v>
      </c>
      <c r="BA7" s="1">
        <v>227.0</v>
      </c>
      <c r="BB7" s="1">
        <v>227.0</v>
      </c>
      <c r="BC7" s="1">
        <v>227.0</v>
      </c>
      <c r="BD7" s="1">
        <v>228.0</v>
      </c>
      <c r="BE7" s="1">
        <v>228.0</v>
      </c>
      <c r="BF7" s="1">
        <v>229.0</v>
      </c>
      <c r="BG7" s="1">
        <v>229.0</v>
      </c>
      <c r="BH7" s="1">
        <v>230.0</v>
      </c>
      <c r="BI7" s="1">
        <v>230.0</v>
      </c>
      <c r="BJ7" s="1">
        <v>231.0</v>
      </c>
      <c r="BK7" s="1">
        <v>231.0</v>
      </c>
      <c r="BL7" s="1">
        <v>232.0</v>
      </c>
      <c r="BM7" s="1">
        <v>232.0</v>
      </c>
      <c r="BN7" s="1">
        <v>232.0</v>
      </c>
      <c r="BO7" s="1">
        <v>233.0</v>
      </c>
      <c r="BP7" s="1">
        <v>233.0</v>
      </c>
      <c r="BQ7" s="1">
        <v>234.0</v>
      </c>
      <c r="BR7" s="1">
        <v>234.0</v>
      </c>
      <c r="BS7" s="1">
        <v>235.0</v>
      </c>
      <c r="BT7" s="1">
        <v>235.0</v>
      </c>
      <c r="BU7" s="1">
        <v>236.0</v>
      </c>
      <c r="BV7" s="1">
        <v>13354.0</v>
      </c>
    </row>
    <row r="8">
      <c r="A8" s="1" t="s">
        <v>145</v>
      </c>
      <c r="B8" s="1">
        <v>1.7</v>
      </c>
      <c r="C8" s="1">
        <v>1.7</v>
      </c>
      <c r="D8" s="1">
        <v>1.7</v>
      </c>
      <c r="E8" s="1">
        <v>1.7</v>
      </c>
      <c r="F8" s="1">
        <v>1.7</v>
      </c>
      <c r="G8" s="1">
        <v>1.7</v>
      </c>
      <c r="H8" s="1">
        <v>1.7</v>
      </c>
      <c r="I8" s="1">
        <v>1.7</v>
      </c>
      <c r="J8" s="1">
        <v>1.7</v>
      </c>
      <c r="K8" s="1">
        <v>1.7</v>
      </c>
      <c r="L8" s="1">
        <v>1.7</v>
      </c>
      <c r="M8" s="1">
        <v>1.7</v>
      </c>
      <c r="N8" s="1">
        <v>1.7</v>
      </c>
      <c r="O8" s="1">
        <v>1.7</v>
      </c>
      <c r="P8" s="1">
        <v>1.7</v>
      </c>
      <c r="Q8" s="1">
        <v>1.7</v>
      </c>
      <c r="R8" s="1">
        <v>1.7</v>
      </c>
      <c r="S8" s="1">
        <v>1.7</v>
      </c>
      <c r="T8" s="1">
        <v>1.7</v>
      </c>
      <c r="U8" s="1">
        <v>1.7</v>
      </c>
      <c r="V8" s="1">
        <v>1.7</v>
      </c>
      <c r="W8" s="1">
        <v>1.7</v>
      </c>
      <c r="X8" s="1">
        <v>1.7</v>
      </c>
      <c r="Y8" s="1">
        <v>1.7</v>
      </c>
      <c r="Z8" s="1">
        <v>1.7</v>
      </c>
      <c r="AA8" s="1">
        <v>1.7</v>
      </c>
      <c r="AB8" s="1">
        <v>1.7</v>
      </c>
      <c r="AC8" s="1">
        <v>1.7</v>
      </c>
      <c r="AD8" s="1">
        <v>1.7</v>
      </c>
      <c r="AE8" s="1">
        <v>1.7</v>
      </c>
      <c r="AF8" s="1">
        <v>1.7</v>
      </c>
      <c r="AG8" s="1">
        <v>1.7</v>
      </c>
      <c r="AH8" s="1">
        <v>1.7</v>
      </c>
      <c r="AI8" s="1">
        <v>1.7</v>
      </c>
      <c r="AJ8" s="1">
        <v>1.7</v>
      </c>
      <c r="AK8" s="1">
        <v>1.7</v>
      </c>
      <c r="AL8" s="1">
        <v>1.7</v>
      </c>
      <c r="AM8" s="1">
        <v>1.7</v>
      </c>
      <c r="AN8" s="1">
        <v>1.7</v>
      </c>
      <c r="AO8" s="1">
        <v>1.7</v>
      </c>
      <c r="AP8" s="1">
        <v>1.7</v>
      </c>
      <c r="AQ8" s="1">
        <v>1.7</v>
      </c>
      <c r="AR8" s="1">
        <v>1.7</v>
      </c>
      <c r="AS8" s="1">
        <v>1.7</v>
      </c>
      <c r="AT8" s="1">
        <v>1.7</v>
      </c>
      <c r="AU8" s="1">
        <v>1.7</v>
      </c>
      <c r="AV8" s="1">
        <v>1.7</v>
      </c>
      <c r="AW8" s="1">
        <v>1.7</v>
      </c>
      <c r="AX8" s="1">
        <v>1.7</v>
      </c>
      <c r="AY8" s="1">
        <v>1.7</v>
      </c>
      <c r="AZ8" s="1">
        <v>1.7</v>
      </c>
      <c r="BA8" s="1">
        <v>1.7</v>
      </c>
      <c r="BB8" s="1">
        <v>1.7</v>
      </c>
      <c r="BC8" s="1">
        <v>1.7</v>
      </c>
      <c r="BD8" s="1">
        <v>1.7</v>
      </c>
      <c r="BE8" s="1">
        <v>1.7</v>
      </c>
      <c r="BF8" s="1">
        <v>1.7</v>
      </c>
      <c r="BG8" s="1">
        <v>1.7</v>
      </c>
      <c r="BH8" s="1">
        <v>1.7</v>
      </c>
      <c r="BI8" s="1">
        <v>1.7</v>
      </c>
      <c r="BJ8" s="1">
        <v>1.7</v>
      </c>
      <c r="BK8" s="1">
        <v>1.7</v>
      </c>
      <c r="BL8" s="1">
        <v>1.7</v>
      </c>
      <c r="BM8" s="1">
        <v>1.7</v>
      </c>
      <c r="BN8" s="1">
        <v>1.7</v>
      </c>
      <c r="BO8" s="1">
        <v>1.7</v>
      </c>
      <c r="BP8" s="1">
        <v>1.7</v>
      </c>
      <c r="BQ8" s="1">
        <v>1.7</v>
      </c>
      <c r="BR8" s="1">
        <v>1.7</v>
      </c>
      <c r="BS8" s="1">
        <v>1.7</v>
      </c>
      <c r="BT8" s="1">
        <v>1.7</v>
      </c>
      <c r="BU8" s="1">
        <v>1.7</v>
      </c>
    </row>
    <row r="9">
      <c r="A9" s="1" t="s">
        <v>146</v>
      </c>
      <c r="B9" s="1">
        <v>50.0</v>
      </c>
      <c r="C9" s="1">
        <v>50.0</v>
      </c>
      <c r="D9" s="1">
        <v>50.0</v>
      </c>
      <c r="E9" s="1">
        <v>50.0</v>
      </c>
      <c r="F9" s="1">
        <v>50.0</v>
      </c>
      <c r="G9" s="1">
        <v>50.0</v>
      </c>
      <c r="H9" s="1">
        <v>50.0</v>
      </c>
      <c r="I9" s="1">
        <v>50.0</v>
      </c>
      <c r="J9" s="1">
        <v>50.0</v>
      </c>
      <c r="K9" s="1">
        <v>50.0</v>
      </c>
      <c r="L9" s="1">
        <v>50.0</v>
      </c>
      <c r="M9" s="1">
        <v>50.0</v>
      </c>
      <c r="N9" s="1">
        <v>50.0</v>
      </c>
      <c r="O9" s="1">
        <v>50.0</v>
      </c>
      <c r="P9" s="1">
        <v>50.0</v>
      </c>
      <c r="Q9" s="1">
        <v>50.0</v>
      </c>
      <c r="R9" s="1">
        <v>50.0</v>
      </c>
      <c r="S9" s="1">
        <v>50.0</v>
      </c>
      <c r="T9" s="1">
        <v>50.0</v>
      </c>
      <c r="U9" s="1">
        <v>50.0</v>
      </c>
      <c r="V9" s="1">
        <v>50.0</v>
      </c>
      <c r="W9" s="1">
        <v>50.0</v>
      </c>
      <c r="X9" s="1">
        <v>50.0</v>
      </c>
      <c r="Y9" s="1">
        <v>50.0</v>
      </c>
      <c r="Z9" s="1">
        <v>50.0</v>
      </c>
      <c r="AA9" s="1">
        <v>50.0</v>
      </c>
      <c r="AB9" s="1">
        <v>50.0</v>
      </c>
      <c r="AC9" s="1">
        <v>50.0</v>
      </c>
      <c r="AD9" s="1">
        <v>50.0</v>
      </c>
      <c r="AE9" s="1">
        <v>50.0</v>
      </c>
      <c r="AF9" s="1">
        <v>50.0</v>
      </c>
      <c r="AG9" s="1">
        <v>50.0</v>
      </c>
      <c r="AH9" s="1">
        <v>50.0</v>
      </c>
      <c r="AI9" s="1">
        <v>50.0</v>
      </c>
      <c r="AJ9" s="1">
        <v>50.0</v>
      </c>
      <c r="AK9" s="1">
        <v>50.0</v>
      </c>
      <c r="AL9" s="1">
        <v>50.0</v>
      </c>
      <c r="AM9" s="1">
        <v>50.0</v>
      </c>
      <c r="AN9" s="1">
        <v>50.0</v>
      </c>
      <c r="AO9" s="1">
        <v>50.0</v>
      </c>
      <c r="AP9" s="1">
        <v>50.0</v>
      </c>
      <c r="AQ9" s="1">
        <v>50.0</v>
      </c>
      <c r="AR9" s="1">
        <v>50.0</v>
      </c>
      <c r="AS9" s="1">
        <v>50.0</v>
      </c>
      <c r="AT9" s="1">
        <v>50.0</v>
      </c>
      <c r="AU9" s="1">
        <v>50.0</v>
      </c>
      <c r="AV9" s="1">
        <v>50.0</v>
      </c>
      <c r="AW9" s="1">
        <v>50.0</v>
      </c>
      <c r="AX9" s="1">
        <v>50.0</v>
      </c>
      <c r="AY9" s="1">
        <v>50.0</v>
      </c>
      <c r="AZ9" s="1">
        <v>50.0</v>
      </c>
      <c r="BA9" s="1">
        <v>50.0</v>
      </c>
      <c r="BB9" s="1">
        <v>50.0</v>
      </c>
      <c r="BC9" s="1">
        <v>50.0</v>
      </c>
      <c r="BD9" s="1">
        <v>50.0</v>
      </c>
      <c r="BE9" s="1">
        <v>50.0</v>
      </c>
      <c r="BF9" s="1">
        <v>50.0</v>
      </c>
      <c r="BG9" s="1">
        <v>50.0</v>
      </c>
      <c r="BH9" s="1">
        <v>50.0</v>
      </c>
      <c r="BI9" s="1">
        <v>50.0</v>
      </c>
      <c r="BJ9" s="1">
        <v>50.0</v>
      </c>
      <c r="BK9" s="1">
        <v>50.0</v>
      </c>
      <c r="BL9" s="1">
        <v>50.0</v>
      </c>
      <c r="BM9" s="1">
        <v>50.0</v>
      </c>
      <c r="BN9" s="1">
        <v>50.0</v>
      </c>
      <c r="BO9" s="1">
        <v>50.0</v>
      </c>
      <c r="BP9" s="1">
        <v>50.0</v>
      </c>
      <c r="BQ9" s="1">
        <v>50.0</v>
      </c>
      <c r="BR9" s="1">
        <v>50.0</v>
      </c>
      <c r="BS9" s="1">
        <v>50.0</v>
      </c>
      <c r="BT9" s="1">
        <v>50.0</v>
      </c>
      <c r="BU9" s="1">
        <v>50.0</v>
      </c>
      <c r="BV9" s="1" t="s">
        <v>166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595.0</v>
      </c>
      <c r="N11" s="1">
        <v>596.0</v>
      </c>
      <c r="O11" s="1">
        <v>597.0</v>
      </c>
      <c r="P11" s="1">
        <v>598.0</v>
      </c>
      <c r="Q11" s="1">
        <v>600.0</v>
      </c>
      <c r="R11" s="1">
        <v>601.0</v>
      </c>
      <c r="S11" s="1">
        <v>602.0</v>
      </c>
      <c r="T11" s="1">
        <v>603.0</v>
      </c>
      <c r="U11" s="1">
        <v>604.0</v>
      </c>
      <c r="V11" s="1">
        <v>606.0</v>
      </c>
      <c r="W11" s="1">
        <v>607.0</v>
      </c>
      <c r="X11" s="1">
        <v>608.0</v>
      </c>
      <c r="Y11" s="1">
        <v>609.0</v>
      </c>
      <c r="Z11" s="1">
        <v>610.0</v>
      </c>
      <c r="AA11" s="1">
        <v>611.0</v>
      </c>
      <c r="AB11" s="1">
        <v>613.0</v>
      </c>
      <c r="AC11" s="1">
        <v>614.0</v>
      </c>
      <c r="AD11" s="1">
        <v>615.0</v>
      </c>
      <c r="AE11" s="1">
        <v>616.0</v>
      </c>
      <c r="AF11" s="1">
        <v>617.0</v>
      </c>
      <c r="AG11" s="1">
        <v>619.0</v>
      </c>
      <c r="AH11" s="1">
        <v>620.0</v>
      </c>
      <c r="AI11" s="1">
        <v>621.0</v>
      </c>
      <c r="AJ11" s="1">
        <v>622.0</v>
      </c>
      <c r="AK11" s="1">
        <v>624.0</v>
      </c>
      <c r="AL11" s="1">
        <v>625.0</v>
      </c>
      <c r="AM11" s="1">
        <v>626.0</v>
      </c>
      <c r="AN11" s="1">
        <v>627.0</v>
      </c>
      <c r="AO11" s="1">
        <v>628.0</v>
      </c>
      <c r="AP11" s="1">
        <v>630.0</v>
      </c>
      <c r="AQ11" s="1">
        <v>631.0</v>
      </c>
      <c r="AR11" s="1">
        <v>632.0</v>
      </c>
      <c r="AS11" s="1">
        <v>633.0</v>
      </c>
      <c r="AT11" s="1">
        <v>635.0</v>
      </c>
      <c r="AU11" s="1">
        <v>636.0</v>
      </c>
      <c r="AV11" s="1">
        <v>637.0</v>
      </c>
      <c r="AW11" s="1">
        <v>638.0</v>
      </c>
      <c r="AX11" s="1">
        <v>640.0</v>
      </c>
      <c r="AY11" s="1">
        <v>641.0</v>
      </c>
      <c r="AZ11" s="1">
        <v>642.0</v>
      </c>
      <c r="BA11" s="1">
        <v>643.0</v>
      </c>
      <c r="BB11" s="1">
        <v>645.0</v>
      </c>
      <c r="BC11" s="1">
        <v>646.0</v>
      </c>
      <c r="BD11" s="1">
        <v>647.0</v>
      </c>
      <c r="BE11" s="1">
        <v>648.0</v>
      </c>
      <c r="BF11" s="1">
        <v>650.0</v>
      </c>
      <c r="BG11" s="1">
        <v>651.0</v>
      </c>
      <c r="BH11" s="1">
        <v>652.0</v>
      </c>
      <c r="BI11" s="1">
        <v>653.0</v>
      </c>
      <c r="BJ11" s="1">
        <v>655.0</v>
      </c>
      <c r="BK11" s="1">
        <v>656.0</v>
      </c>
      <c r="BL11" s="1">
        <v>657.0</v>
      </c>
      <c r="BM11" s="1">
        <v>659.0</v>
      </c>
      <c r="BN11" s="1">
        <v>660.0</v>
      </c>
      <c r="BO11" s="1">
        <v>661.0</v>
      </c>
      <c r="BP11" s="1">
        <v>662.0</v>
      </c>
      <c r="BQ11" s="1">
        <v>664.0</v>
      </c>
      <c r="BR11" s="1">
        <v>665.0</v>
      </c>
      <c r="BS11" s="1">
        <v>666.0</v>
      </c>
      <c r="BT11" s="1">
        <v>668.0</v>
      </c>
      <c r="BU11" s="1">
        <v>669.0</v>
      </c>
      <c r="BV11" s="1">
        <v>38504.0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29750.0</v>
      </c>
      <c r="N12" s="1">
        <v>29808.0</v>
      </c>
      <c r="O12" s="1">
        <v>29866.0</v>
      </c>
      <c r="P12" s="1">
        <v>29925.0</v>
      </c>
      <c r="Q12" s="1">
        <v>29983.0</v>
      </c>
      <c r="R12" s="1">
        <v>30041.0</v>
      </c>
      <c r="S12" s="1">
        <v>30100.0</v>
      </c>
      <c r="T12" s="1">
        <v>30159.0</v>
      </c>
      <c r="U12" s="1">
        <v>30218.0</v>
      </c>
      <c r="V12" s="1">
        <v>30277.0</v>
      </c>
      <c r="W12" s="1">
        <v>30336.0</v>
      </c>
      <c r="X12" s="1">
        <v>30395.0</v>
      </c>
      <c r="Y12" s="1">
        <v>30454.0</v>
      </c>
      <c r="Z12" s="1">
        <v>30514.0</v>
      </c>
      <c r="AA12" s="1">
        <v>30573.0</v>
      </c>
      <c r="AB12" s="1">
        <v>30633.0</v>
      </c>
      <c r="AC12" s="1">
        <v>30693.0</v>
      </c>
      <c r="AD12" s="1">
        <v>30753.0</v>
      </c>
      <c r="AE12" s="1">
        <v>30813.0</v>
      </c>
      <c r="AF12" s="1">
        <v>30873.0</v>
      </c>
      <c r="AG12" s="1">
        <v>30933.0</v>
      </c>
      <c r="AH12" s="1">
        <v>30994.0</v>
      </c>
      <c r="AI12" s="1">
        <v>31054.0</v>
      </c>
      <c r="AJ12" s="1">
        <v>31115.0</v>
      </c>
      <c r="AK12" s="1">
        <v>31175.0</v>
      </c>
      <c r="AL12" s="1">
        <v>31236.0</v>
      </c>
      <c r="AM12" s="1">
        <v>31297.0</v>
      </c>
      <c r="AN12" s="1">
        <v>31358.0</v>
      </c>
      <c r="AO12" s="1">
        <v>31420.0</v>
      </c>
      <c r="AP12" s="1">
        <v>31481.0</v>
      </c>
      <c r="AQ12" s="1">
        <v>31542.0</v>
      </c>
      <c r="AR12" s="1">
        <v>31604.0</v>
      </c>
      <c r="AS12" s="1">
        <v>31666.0</v>
      </c>
      <c r="AT12" s="1">
        <v>31727.0</v>
      </c>
      <c r="AU12" s="1">
        <v>31789.0</v>
      </c>
      <c r="AV12" s="1">
        <v>31851.0</v>
      </c>
      <c r="AW12" s="1">
        <v>31914.0</v>
      </c>
      <c r="AX12" s="1">
        <v>31976.0</v>
      </c>
      <c r="AY12" s="1">
        <v>32038.0</v>
      </c>
      <c r="AZ12" s="1">
        <v>32101.0</v>
      </c>
      <c r="BA12" s="1">
        <v>32164.0</v>
      </c>
      <c r="BB12" s="1">
        <v>32226.0</v>
      </c>
      <c r="BC12" s="1">
        <v>32289.0</v>
      </c>
      <c r="BD12" s="1">
        <v>32352.0</v>
      </c>
      <c r="BE12" s="1">
        <v>32415.0</v>
      </c>
      <c r="BF12" s="1">
        <v>32479.0</v>
      </c>
      <c r="BG12" s="1">
        <v>32542.0</v>
      </c>
      <c r="BH12" s="1">
        <v>32606.0</v>
      </c>
      <c r="BI12" s="1">
        <v>32669.0</v>
      </c>
      <c r="BJ12" s="1">
        <v>32733.0</v>
      </c>
      <c r="BK12" s="1">
        <v>32797.0</v>
      </c>
      <c r="BL12" s="1">
        <v>32861.0</v>
      </c>
      <c r="BM12" s="1">
        <v>32925.0</v>
      </c>
      <c r="BN12" s="1">
        <v>32989.0</v>
      </c>
      <c r="BO12" s="1">
        <v>33054.0</v>
      </c>
      <c r="BP12" s="1">
        <v>33118.0</v>
      </c>
      <c r="BQ12" s="1">
        <v>33183.0</v>
      </c>
      <c r="BR12" s="1">
        <v>33248.0</v>
      </c>
      <c r="BS12" s="1">
        <v>33313.0</v>
      </c>
      <c r="BT12" s="1">
        <v>33378.0</v>
      </c>
      <c r="BU12" s="1">
        <v>33443.0</v>
      </c>
      <c r="BV12" s="1">
        <v>1925220.0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8925.0</v>
      </c>
      <c r="N13" s="1">
        <v>8942.0</v>
      </c>
      <c r="O13" s="1">
        <v>8960.0</v>
      </c>
      <c r="P13" s="1">
        <v>8977.0</v>
      </c>
      <c r="Q13" s="1">
        <v>8995.0</v>
      </c>
      <c r="R13" s="1">
        <v>9012.0</v>
      </c>
      <c r="S13" s="1">
        <v>9030.0</v>
      </c>
      <c r="T13" s="1">
        <v>9048.0</v>
      </c>
      <c r="U13" s="1">
        <v>9065.0</v>
      </c>
      <c r="V13" s="1">
        <v>9083.0</v>
      </c>
      <c r="W13" s="1">
        <v>9101.0</v>
      </c>
      <c r="X13" s="1">
        <v>9119.0</v>
      </c>
      <c r="Y13" s="1">
        <v>9136.0</v>
      </c>
      <c r="Z13" s="1">
        <v>9154.0</v>
      </c>
      <c r="AA13" s="1">
        <v>9172.0</v>
      </c>
      <c r="AB13" s="1">
        <v>9190.0</v>
      </c>
      <c r="AC13" s="1">
        <v>9208.0</v>
      </c>
      <c r="AD13" s="1">
        <v>9226.0</v>
      </c>
      <c r="AE13" s="1">
        <v>9244.0</v>
      </c>
      <c r="AF13" s="1">
        <v>9262.0</v>
      </c>
      <c r="AG13" s="1">
        <v>9280.0</v>
      </c>
      <c r="AH13" s="1">
        <v>9298.0</v>
      </c>
      <c r="AI13" s="1">
        <v>9316.0</v>
      </c>
      <c r="AJ13" s="1">
        <v>9334.0</v>
      </c>
      <c r="AK13" s="1">
        <v>9353.0</v>
      </c>
      <c r="AL13" s="1">
        <v>9371.0</v>
      </c>
      <c r="AM13" s="1">
        <v>9389.0</v>
      </c>
      <c r="AN13" s="1">
        <v>9408.0</v>
      </c>
      <c r="AO13" s="1">
        <v>9426.0</v>
      </c>
      <c r="AP13" s="1">
        <v>9444.0</v>
      </c>
      <c r="AQ13" s="1">
        <v>9463.0</v>
      </c>
      <c r="AR13" s="1">
        <v>9481.0</v>
      </c>
      <c r="AS13" s="1">
        <v>9500.0</v>
      </c>
      <c r="AT13" s="1">
        <v>9518.0</v>
      </c>
      <c r="AU13" s="1">
        <v>9537.0</v>
      </c>
      <c r="AV13" s="1">
        <v>9555.0</v>
      </c>
      <c r="AW13" s="1">
        <v>9574.0</v>
      </c>
      <c r="AX13" s="1">
        <v>9593.0</v>
      </c>
      <c r="AY13" s="1">
        <v>9611.0</v>
      </c>
      <c r="AZ13" s="1">
        <v>9630.0</v>
      </c>
      <c r="BA13" s="1">
        <v>9649.0</v>
      </c>
      <c r="BB13" s="1">
        <v>9668.0</v>
      </c>
      <c r="BC13" s="1">
        <v>9687.0</v>
      </c>
      <c r="BD13" s="1">
        <v>9706.0</v>
      </c>
      <c r="BE13" s="1">
        <v>9725.0</v>
      </c>
      <c r="BF13" s="1">
        <v>9744.0</v>
      </c>
      <c r="BG13" s="1">
        <v>9763.0</v>
      </c>
      <c r="BH13" s="1">
        <v>9782.0</v>
      </c>
      <c r="BI13" s="1">
        <v>9801.0</v>
      </c>
      <c r="BJ13" s="1">
        <v>9820.0</v>
      </c>
      <c r="BK13" s="1">
        <v>9839.0</v>
      </c>
      <c r="BL13" s="1">
        <v>9858.0</v>
      </c>
      <c r="BM13" s="1">
        <v>9878.0</v>
      </c>
      <c r="BN13" s="1">
        <v>9897.0</v>
      </c>
      <c r="BO13" s="1">
        <v>9916.0</v>
      </c>
      <c r="BP13" s="1">
        <v>9935.0</v>
      </c>
      <c r="BQ13" s="1">
        <v>9955.0</v>
      </c>
      <c r="BR13" s="1">
        <v>9974.0</v>
      </c>
      <c r="BS13" s="1">
        <v>9994.0</v>
      </c>
      <c r="BT13" s="1">
        <v>10013.0</v>
      </c>
      <c r="BU13" s="1">
        <v>10033.0</v>
      </c>
      <c r="BV13" s="1">
        <v>577566.0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8925.0</v>
      </c>
      <c r="N15" s="1">
        <v>8942.0</v>
      </c>
      <c r="O15" s="1">
        <v>8960.0</v>
      </c>
      <c r="P15" s="1">
        <v>8977.0</v>
      </c>
      <c r="Q15" s="1">
        <v>8995.0</v>
      </c>
      <c r="R15" s="1">
        <v>9012.0</v>
      </c>
      <c r="S15" s="1">
        <v>9030.0</v>
      </c>
      <c r="T15" s="1">
        <v>9048.0</v>
      </c>
      <c r="U15" s="1">
        <v>9065.0</v>
      </c>
      <c r="V15" s="1">
        <v>9083.0</v>
      </c>
      <c r="W15" s="1">
        <v>9101.0</v>
      </c>
      <c r="X15" s="1">
        <v>9119.0</v>
      </c>
      <c r="Y15" s="1">
        <v>9136.0</v>
      </c>
      <c r="Z15" s="1">
        <v>9154.0</v>
      </c>
      <c r="AA15" s="1">
        <v>9172.0</v>
      </c>
      <c r="AB15" s="1">
        <v>9190.0</v>
      </c>
      <c r="AC15" s="1">
        <v>9208.0</v>
      </c>
      <c r="AD15" s="1">
        <v>9226.0</v>
      </c>
      <c r="AE15" s="1">
        <v>9244.0</v>
      </c>
      <c r="AF15" s="1">
        <v>9262.0</v>
      </c>
      <c r="AG15" s="1">
        <v>9280.0</v>
      </c>
      <c r="AH15" s="1">
        <v>9298.0</v>
      </c>
      <c r="AI15" s="1">
        <v>9316.0</v>
      </c>
      <c r="AJ15" s="1">
        <v>9334.0</v>
      </c>
      <c r="AK15" s="1">
        <v>9353.0</v>
      </c>
      <c r="AL15" s="1">
        <v>9371.0</v>
      </c>
      <c r="AM15" s="1">
        <v>9389.0</v>
      </c>
      <c r="AN15" s="1">
        <v>9408.0</v>
      </c>
      <c r="AO15" s="1">
        <v>9426.0</v>
      </c>
      <c r="AP15" s="1">
        <v>9444.0</v>
      </c>
      <c r="AQ15" s="1">
        <v>9463.0</v>
      </c>
      <c r="AR15" s="1">
        <v>9481.0</v>
      </c>
      <c r="AS15" s="1">
        <v>9500.0</v>
      </c>
      <c r="AT15" s="1">
        <v>9518.0</v>
      </c>
      <c r="AU15" s="1">
        <v>9537.0</v>
      </c>
      <c r="AV15" s="1">
        <v>9555.0</v>
      </c>
      <c r="AW15" s="1">
        <v>9574.0</v>
      </c>
      <c r="AX15" s="1">
        <v>9593.0</v>
      </c>
      <c r="AY15" s="1">
        <v>9611.0</v>
      </c>
      <c r="AZ15" s="1">
        <v>9630.0</v>
      </c>
      <c r="BA15" s="1">
        <v>9649.0</v>
      </c>
      <c r="BB15" s="1">
        <v>9668.0</v>
      </c>
      <c r="BC15" s="1">
        <v>9687.0</v>
      </c>
      <c r="BD15" s="1">
        <v>9706.0</v>
      </c>
      <c r="BE15" s="1">
        <v>9725.0</v>
      </c>
      <c r="BF15" s="1">
        <v>9744.0</v>
      </c>
      <c r="BG15" s="1">
        <v>9763.0</v>
      </c>
      <c r="BH15" s="1">
        <v>9782.0</v>
      </c>
      <c r="BI15" s="1">
        <v>9801.0</v>
      </c>
      <c r="BJ15" s="1">
        <v>9820.0</v>
      </c>
      <c r="BK15" s="1">
        <v>9839.0</v>
      </c>
      <c r="BL15" s="1">
        <v>9858.0</v>
      </c>
      <c r="BM15" s="1">
        <v>9878.0</v>
      </c>
      <c r="BN15" s="1">
        <v>9897.0</v>
      </c>
      <c r="BO15" s="1">
        <v>9916.0</v>
      </c>
      <c r="BP15" s="1">
        <v>9935.0</v>
      </c>
      <c r="BQ15" s="1">
        <v>9955.0</v>
      </c>
      <c r="BR15" s="1">
        <v>9974.0</v>
      </c>
      <c r="BS15" s="1">
        <v>9994.0</v>
      </c>
      <c r="BT15" s="1">
        <v>10013.0</v>
      </c>
      <c r="BU15" s="1">
        <v>10033.0</v>
      </c>
      <c r="BV15" s="1">
        <v>577566.0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20825.0</v>
      </c>
      <c r="N16" s="1">
        <v>20866.0</v>
      </c>
      <c r="O16" s="1">
        <v>20906.0</v>
      </c>
      <c r="P16" s="1">
        <v>20947.0</v>
      </c>
      <c r="Q16" s="1">
        <v>20988.0</v>
      </c>
      <c r="R16" s="1">
        <v>21029.0</v>
      </c>
      <c r="S16" s="1">
        <v>21070.0</v>
      </c>
      <c r="T16" s="1">
        <v>21111.0</v>
      </c>
      <c r="U16" s="1">
        <v>21152.0</v>
      </c>
      <c r="V16" s="1">
        <v>21194.0</v>
      </c>
      <c r="W16" s="1">
        <v>21235.0</v>
      </c>
      <c r="X16" s="1">
        <v>21277.0</v>
      </c>
      <c r="Y16" s="1">
        <v>21318.0</v>
      </c>
      <c r="Z16" s="1">
        <v>21360.0</v>
      </c>
      <c r="AA16" s="1">
        <v>21401.0</v>
      </c>
      <c r="AB16" s="1">
        <v>21443.0</v>
      </c>
      <c r="AC16" s="1">
        <v>21485.0</v>
      </c>
      <c r="AD16" s="1">
        <v>21527.0</v>
      </c>
      <c r="AE16" s="1">
        <v>21569.0</v>
      </c>
      <c r="AF16" s="1">
        <v>21611.0</v>
      </c>
      <c r="AG16" s="1">
        <v>21653.0</v>
      </c>
      <c r="AH16" s="1">
        <v>21696.0</v>
      </c>
      <c r="AI16" s="1">
        <v>21738.0</v>
      </c>
      <c r="AJ16" s="1">
        <v>21780.0</v>
      </c>
      <c r="AK16" s="1">
        <v>21823.0</v>
      </c>
      <c r="AL16" s="1">
        <v>21865.0</v>
      </c>
      <c r="AM16" s="1">
        <v>21908.0</v>
      </c>
      <c r="AN16" s="1">
        <v>21951.0</v>
      </c>
      <c r="AO16" s="1">
        <v>21994.0</v>
      </c>
      <c r="AP16" s="1">
        <v>22037.0</v>
      </c>
      <c r="AQ16" s="1">
        <v>22080.0</v>
      </c>
      <c r="AR16" s="1">
        <v>22123.0</v>
      </c>
      <c r="AS16" s="1">
        <v>22166.0</v>
      </c>
      <c r="AT16" s="1">
        <v>22209.0</v>
      </c>
      <c r="AU16" s="1">
        <v>22253.0</v>
      </c>
      <c r="AV16" s="1">
        <v>22296.0</v>
      </c>
      <c r="AW16" s="1">
        <v>22340.0</v>
      </c>
      <c r="AX16" s="1">
        <v>22383.0</v>
      </c>
      <c r="AY16" s="1">
        <v>22427.0</v>
      </c>
      <c r="AZ16" s="1">
        <v>22471.0</v>
      </c>
      <c r="BA16" s="1">
        <v>22514.0</v>
      </c>
      <c r="BB16" s="1">
        <v>22558.0</v>
      </c>
      <c r="BC16" s="1">
        <v>22602.0</v>
      </c>
      <c r="BD16" s="1">
        <v>22647.0</v>
      </c>
      <c r="BE16" s="1">
        <v>22691.0</v>
      </c>
      <c r="BF16" s="1">
        <v>22735.0</v>
      </c>
      <c r="BG16" s="1">
        <v>22779.0</v>
      </c>
      <c r="BH16" s="1">
        <v>22824.0</v>
      </c>
      <c r="BI16" s="1">
        <v>22868.0</v>
      </c>
      <c r="BJ16" s="1">
        <v>22913.0</v>
      </c>
      <c r="BK16" s="1">
        <v>22958.0</v>
      </c>
      <c r="BL16" s="1">
        <v>23003.0</v>
      </c>
      <c r="BM16" s="1">
        <v>23048.0</v>
      </c>
      <c r="BN16" s="1">
        <v>23093.0</v>
      </c>
      <c r="BO16" s="1">
        <v>23138.0</v>
      </c>
      <c r="BP16" s="1">
        <v>23183.0</v>
      </c>
      <c r="BQ16" s="1">
        <v>23228.0</v>
      </c>
      <c r="BR16" s="1">
        <v>23273.0</v>
      </c>
      <c r="BS16" s="1">
        <v>23319.0</v>
      </c>
      <c r="BT16" s="1">
        <v>23364.0</v>
      </c>
      <c r="BU16" s="1">
        <v>23410.0</v>
      </c>
      <c r="BV16" s="1">
        <v>1347654.0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199</v>
      </c>
    </row>
    <row r="2">
      <c r="A2" s="1" t="s">
        <v>200</v>
      </c>
    </row>
    <row r="3">
      <c r="A3" s="1" t="s">
        <v>201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30000.0</v>
      </c>
      <c r="P6" s="1">
        <v>30088.0</v>
      </c>
      <c r="Q6" s="1">
        <v>30176.0</v>
      </c>
      <c r="R6" s="1">
        <v>30264.0</v>
      </c>
      <c r="S6" s="1">
        <v>30353.0</v>
      </c>
      <c r="T6" s="1">
        <v>30442.0</v>
      </c>
      <c r="U6" s="1">
        <v>30531.0</v>
      </c>
      <c r="V6" s="1">
        <v>30621.0</v>
      </c>
      <c r="W6" s="1">
        <v>30710.0</v>
      </c>
      <c r="X6" s="1">
        <v>30800.0</v>
      </c>
      <c r="Y6" s="1">
        <v>30891.0</v>
      </c>
      <c r="Z6" s="1">
        <v>30981.0</v>
      </c>
      <c r="AA6" s="1">
        <v>31072.0</v>
      </c>
      <c r="AB6" s="1">
        <v>31163.0</v>
      </c>
      <c r="AC6" s="1">
        <v>31254.0</v>
      </c>
      <c r="AD6" s="1">
        <v>31346.0</v>
      </c>
      <c r="AE6" s="1">
        <v>31438.0</v>
      </c>
      <c r="AF6" s="1">
        <v>31530.0</v>
      </c>
      <c r="AG6" s="1">
        <v>31622.0</v>
      </c>
      <c r="AH6" s="1">
        <v>31715.0</v>
      </c>
      <c r="AI6" s="1">
        <v>31808.0</v>
      </c>
      <c r="AJ6" s="1">
        <v>31901.0</v>
      </c>
      <c r="AK6" s="1">
        <v>31994.0</v>
      </c>
      <c r="AL6" s="1">
        <v>32088.0</v>
      </c>
      <c r="AM6" s="1">
        <v>32182.0</v>
      </c>
      <c r="AN6" s="1">
        <v>32277.0</v>
      </c>
      <c r="AO6" s="1">
        <v>32371.0</v>
      </c>
      <c r="AP6" s="1">
        <v>32466.0</v>
      </c>
      <c r="AQ6" s="1">
        <v>32561.0</v>
      </c>
      <c r="AR6" s="1">
        <v>32656.0</v>
      </c>
      <c r="AS6" s="1">
        <v>32752.0</v>
      </c>
      <c r="AT6" s="1">
        <v>32848.0</v>
      </c>
      <c r="AU6" s="1">
        <v>32944.0</v>
      </c>
      <c r="AV6" s="1">
        <v>33041.0</v>
      </c>
      <c r="AW6" s="1">
        <v>33138.0</v>
      </c>
      <c r="AX6" s="1">
        <v>33235.0</v>
      </c>
      <c r="AY6" s="1">
        <v>33332.0</v>
      </c>
      <c r="AZ6" s="1">
        <v>33430.0</v>
      </c>
      <c r="BA6" s="1">
        <v>33528.0</v>
      </c>
      <c r="BB6" s="1">
        <v>33626.0</v>
      </c>
      <c r="BC6" s="1">
        <v>33725.0</v>
      </c>
      <c r="BD6" s="1">
        <v>33823.0</v>
      </c>
      <c r="BE6" s="1">
        <v>33922.0</v>
      </c>
      <c r="BF6" s="1">
        <v>34022.0</v>
      </c>
      <c r="BG6" s="1">
        <v>34122.0</v>
      </c>
      <c r="BH6" s="1">
        <v>34222.0</v>
      </c>
      <c r="BI6" s="1">
        <v>34322.0</v>
      </c>
      <c r="BJ6" s="1">
        <v>34422.0</v>
      </c>
      <c r="BK6" s="1">
        <v>34523.0</v>
      </c>
      <c r="BL6" s="1">
        <v>34624.0</v>
      </c>
      <c r="BM6" s="1">
        <v>34726.0</v>
      </c>
      <c r="BN6" s="1">
        <v>34828.0</v>
      </c>
      <c r="BO6" s="1">
        <v>34930.0</v>
      </c>
      <c r="BP6" s="1">
        <v>35032.0</v>
      </c>
      <c r="BQ6" s="1">
        <v>35135.0</v>
      </c>
      <c r="BR6" s="1">
        <v>35238.0</v>
      </c>
      <c r="BS6" s="1">
        <v>35341.0</v>
      </c>
      <c r="BT6" s="1">
        <v>35444.0</v>
      </c>
      <c r="BU6" s="1">
        <v>35548.0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210.0</v>
      </c>
      <c r="Q7" s="1">
        <v>211.0</v>
      </c>
      <c r="R7" s="1">
        <v>211.0</v>
      </c>
      <c r="S7" s="1">
        <v>212.0</v>
      </c>
      <c r="T7" s="1">
        <v>212.0</v>
      </c>
      <c r="U7" s="1">
        <v>213.0</v>
      </c>
      <c r="V7" s="1">
        <v>214.0</v>
      </c>
      <c r="W7" s="1">
        <v>214.0</v>
      </c>
      <c r="X7" s="1">
        <v>215.0</v>
      </c>
      <c r="Y7" s="1">
        <v>216.0</v>
      </c>
      <c r="Z7" s="1">
        <v>216.0</v>
      </c>
      <c r="AA7" s="1">
        <v>217.0</v>
      </c>
      <c r="AB7" s="1">
        <v>218.0</v>
      </c>
      <c r="AC7" s="1">
        <v>218.0</v>
      </c>
      <c r="AD7" s="1">
        <v>219.0</v>
      </c>
      <c r="AE7" s="1">
        <v>219.0</v>
      </c>
      <c r="AF7" s="1">
        <v>220.0</v>
      </c>
      <c r="AG7" s="1">
        <v>221.0</v>
      </c>
      <c r="AH7" s="1">
        <v>221.0</v>
      </c>
      <c r="AI7" s="1">
        <v>222.0</v>
      </c>
      <c r="AJ7" s="1">
        <v>223.0</v>
      </c>
      <c r="AK7" s="1">
        <v>223.0</v>
      </c>
      <c r="AL7" s="1">
        <v>224.0</v>
      </c>
      <c r="AM7" s="1">
        <v>225.0</v>
      </c>
      <c r="AN7" s="1">
        <v>225.0</v>
      </c>
      <c r="AO7" s="1">
        <v>226.0</v>
      </c>
      <c r="AP7" s="1">
        <v>227.0</v>
      </c>
      <c r="AQ7" s="1">
        <v>227.0</v>
      </c>
      <c r="AR7" s="1">
        <v>228.0</v>
      </c>
      <c r="AS7" s="1">
        <v>229.0</v>
      </c>
      <c r="AT7" s="1">
        <v>229.0</v>
      </c>
      <c r="AU7" s="1">
        <v>230.0</v>
      </c>
      <c r="AV7" s="1">
        <v>231.0</v>
      </c>
      <c r="AW7" s="1">
        <v>231.0</v>
      </c>
      <c r="AX7" s="1">
        <v>232.0</v>
      </c>
      <c r="AY7" s="1">
        <v>233.0</v>
      </c>
      <c r="AZ7" s="1">
        <v>233.0</v>
      </c>
      <c r="BA7" s="1">
        <v>234.0</v>
      </c>
      <c r="BB7" s="1">
        <v>235.0</v>
      </c>
      <c r="BC7" s="1">
        <v>235.0</v>
      </c>
      <c r="BD7" s="1">
        <v>236.0</v>
      </c>
      <c r="BE7" s="1">
        <v>237.0</v>
      </c>
      <c r="BF7" s="1">
        <v>237.0</v>
      </c>
      <c r="BG7" s="1">
        <v>238.0</v>
      </c>
      <c r="BH7" s="1">
        <v>239.0</v>
      </c>
      <c r="BI7" s="1">
        <v>240.0</v>
      </c>
      <c r="BJ7" s="1">
        <v>240.0</v>
      </c>
      <c r="BK7" s="1">
        <v>241.0</v>
      </c>
      <c r="BL7" s="1">
        <v>242.0</v>
      </c>
      <c r="BM7" s="1">
        <v>242.0</v>
      </c>
      <c r="BN7" s="1">
        <v>243.0</v>
      </c>
      <c r="BO7" s="1">
        <v>244.0</v>
      </c>
      <c r="BP7" s="1">
        <v>245.0</v>
      </c>
      <c r="BQ7" s="1">
        <v>245.0</v>
      </c>
      <c r="BR7" s="1">
        <v>246.0</v>
      </c>
      <c r="BS7" s="1">
        <v>247.0</v>
      </c>
      <c r="BT7" s="1">
        <v>247.0</v>
      </c>
      <c r="BU7" s="1">
        <v>248.0</v>
      </c>
      <c r="BV7" s="1">
        <v>13255.0</v>
      </c>
    </row>
    <row r="8">
      <c r="A8" s="1" t="s">
        <v>145</v>
      </c>
      <c r="B8" s="1">
        <v>1.4</v>
      </c>
      <c r="C8" s="1">
        <v>1.4</v>
      </c>
      <c r="D8" s="1">
        <v>1.4</v>
      </c>
      <c r="E8" s="1">
        <v>1.4</v>
      </c>
      <c r="F8" s="1">
        <v>1.4</v>
      </c>
      <c r="G8" s="1">
        <v>1.4</v>
      </c>
      <c r="H8" s="1">
        <v>1.4</v>
      </c>
      <c r="I8" s="1">
        <v>1.4</v>
      </c>
      <c r="J8" s="1">
        <v>1.4</v>
      </c>
      <c r="K8" s="1">
        <v>1.4</v>
      </c>
      <c r="L8" s="1">
        <v>1.4</v>
      </c>
      <c r="M8" s="1">
        <v>1.4</v>
      </c>
      <c r="N8" s="1">
        <v>1.4</v>
      </c>
      <c r="O8" s="1">
        <v>1.4</v>
      </c>
      <c r="P8" s="1">
        <v>1.4</v>
      </c>
      <c r="Q8" s="1">
        <v>1.4</v>
      </c>
      <c r="R8" s="1">
        <v>1.4</v>
      </c>
      <c r="S8" s="1">
        <v>1.4</v>
      </c>
      <c r="T8" s="1">
        <v>1.4</v>
      </c>
      <c r="U8" s="1">
        <v>1.4</v>
      </c>
      <c r="V8" s="1">
        <v>1.4</v>
      </c>
      <c r="W8" s="1">
        <v>1.4</v>
      </c>
      <c r="X8" s="1">
        <v>1.4</v>
      </c>
      <c r="Y8" s="1">
        <v>1.4</v>
      </c>
      <c r="Z8" s="1">
        <v>1.4</v>
      </c>
      <c r="AA8" s="1">
        <v>1.4</v>
      </c>
      <c r="AB8" s="1">
        <v>1.4</v>
      </c>
      <c r="AC8" s="1">
        <v>1.4</v>
      </c>
      <c r="AD8" s="1">
        <v>1.4</v>
      </c>
      <c r="AE8" s="1">
        <v>1.4</v>
      </c>
      <c r="AF8" s="1">
        <v>1.4</v>
      </c>
      <c r="AG8" s="1">
        <v>1.4</v>
      </c>
      <c r="AH8" s="1">
        <v>1.4</v>
      </c>
      <c r="AI8" s="1">
        <v>1.4</v>
      </c>
      <c r="AJ8" s="1">
        <v>1.4</v>
      </c>
      <c r="AK8" s="1">
        <v>1.4</v>
      </c>
      <c r="AL8" s="1">
        <v>1.4</v>
      </c>
      <c r="AM8" s="1">
        <v>1.4</v>
      </c>
      <c r="AN8" s="1">
        <v>1.4</v>
      </c>
      <c r="AO8" s="1">
        <v>1.4</v>
      </c>
      <c r="AP8" s="1">
        <v>1.4</v>
      </c>
      <c r="AQ8" s="1">
        <v>1.4</v>
      </c>
      <c r="AR8" s="1">
        <v>1.4</v>
      </c>
      <c r="AS8" s="1">
        <v>1.4</v>
      </c>
      <c r="AT8" s="1">
        <v>1.4</v>
      </c>
      <c r="AU8" s="1">
        <v>1.4</v>
      </c>
      <c r="AV8" s="1">
        <v>1.4</v>
      </c>
      <c r="AW8" s="1">
        <v>1.4</v>
      </c>
      <c r="AX8" s="1">
        <v>1.4</v>
      </c>
      <c r="AY8" s="1">
        <v>1.4</v>
      </c>
      <c r="AZ8" s="1">
        <v>1.4</v>
      </c>
      <c r="BA8" s="1">
        <v>1.4</v>
      </c>
      <c r="BB8" s="1">
        <v>1.4</v>
      </c>
      <c r="BC8" s="1">
        <v>1.4</v>
      </c>
      <c r="BD8" s="1">
        <v>1.4</v>
      </c>
      <c r="BE8" s="1">
        <v>1.4</v>
      </c>
      <c r="BF8" s="1">
        <v>1.4</v>
      </c>
      <c r="BG8" s="1">
        <v>1.4</v>
      </c>
      <c r="BH8" s="1">
        <v>1.4</v>
      </c>
      <c r="BI8" s="1">
        <v>1.4</v>
      </c>
      <c r="BJ8" s="1">
        <v>1.4</v>
      </c>
      <c r="BK8" s="1">
        <v>1.4</v>
      </c>
      <c r="BL8" s="1">
        <v>1.4</v>
      </c>
      <c r="BM8" s="1">
        <v>1.4</v>
      </c>
      <c r="BN8" s="1">
        <v>1.4</v>
      </c>
      <c r="BO8" s="1">
        <v>1.4</v>
      </c>
      <c r="BP8" s="1">
        <v>1.4</v>
      </c>
      <c r="BQ8" s="1">
        <v>1.4</v>
      </c>
      <c r="BR8" s="1">
        <v>1.4</v>
      </c>
      <c r="BS8" s="1">
        <v>1.4</v>
      </c>
      <c r="BT8" s="1">
        <v>1.4</v>
      </c>
      <c r="BU8" s="1">
        <v>1.4</v>
      </c>
    </row>
    <row r="9">
      <c r="A9" s="1" t="s">
        <v>146</v>
      </c>
      <c r="B9" s="1">
        <v>60.0</v>
      </c>
      <c r="C9" s="1">
        <v>60.0</v>
      </c>
      <c r="D9" s="1">
        <v>60.0</v>
      </c>
      <c r="E9" s="1">
        <v>60.0</v>
      </c>
      <c r="F9" s="1">
        <v>60.0</v>
      </c>
      <c r="G9" s="1">
        <v>60.0</v>
      </c>
      <c r="H9" s="1">
        <v>60.0</v>
      </c>
      <c r="I9" s="1">
        <v>60.0</v>
      </c>
      <c r="J9" s="1">
        <v>60.0</v>
      </c>
      <c r="K9" s="1">
        <v>60.0</v>
      </c>
      <c r="L9" s="1">
        <v>60.0</v>
      </c>
      <c r="M9" s="1">
        <v>60.0</v>
      </c>
      <c r="N9" s="1">
        <v>60.0</v>
      </c>
      <c r="O9" s="1">
        <v>60.0</v>
      </c>
      <c r="P9" s="1">
        <v>60.0</v>
      </c>
      <c r="Q9" s="1">
        <v>60.0</v>
      </c>
      <c r="R9" s="1">
        <v>60.0</v>
      </c>
      <c r="S9" s="1">
        <v>60.0</v>
      </c>
      <c r="T9" s="1">
        <v>60.0</v>
      </c>
      <c r="U9" s="1">
        <v>60.0</v>
      </c>
      <c r="V9" s="1">
        <v>60.0</v>
      </c>
      <c r="W9" s="1">
        <v>60.0</v>
      </c>
      <c r="X9" s="1">
        <v>60.0</v>
      </c>
      <c r="Y9" s="1">
        <v>60.0</v>
      </c>
      <c r="Z9" s="1">
        <v>60.0</v>
      </c>
      <c r="AA9" s="1">
        <v>60.0</v>
      </c>
      <c r="AB9" s="1">
        <v>60.0</v>
      </c>
      <c r="AC9" s="1">
        <v>60.0</v>
      </c>
      <c r="AD9" s="1">
        <v>60.0</v>
      </c>
      <c r="AE9" s="1">
        <v>60.0</v>
      </c>
      <c r="AF9" s="1">
        <v>60.0</v>
      </c>
      <c r="AG9" s="1">
        <v>60.0</v>
      </c>
      <c r="AH9" s="1">
        <v>60.0</v>
      </c>
      <c r="AI9" s="1">
        <v>60.0</v>
      </c>
      <c r="AJ9" s="1">
        <v>60.0</v>
      </c>
      <c r="AK9" s="1">
        <v>60.0</v>
      </c>
      <c r="AL9" s="1">
        <v>60.0</v>
      </c>
      <c r="AM9" s="1">
        <v>60.0</v>
      </c>
      <c r="AN9" s="1">
        <v>60.0</v>
      </c>
      <c r="AO9" s="1">
        <v>60.0</v>
      </c>
      <c r="AP9" s="1">
        <v>60.0</v>
      </c>
      <c r="AQ9" s="1">
        <v>60.0</v>
      </c>
      <c r="AR9" s="1">
        <v>60.0</v>
      </c>
      <c r="AS9" s="1">
        <v>60.0</v>
      </c>
      <c r="AT9" s="1">
        <v>60.0</v>
      </c>
      <c r="AU9" s="1">
        <v>60.0</v>
      </c>
      <c r="AV9" s="1">
        <v>60.0</v>
      </c>
      <c r="AW9" s="1">
        <v>60.0</v>
      </c>
      <c r="AX9" s="1">
        <v>60.0</v>
      </c>
      <c r="AY9" s="1">
        <v>60.0</v>
      </c>
      <c r="AZ9" s="1">
        <v>60.0</v>
      </c>
      <c r="BA9" s="1">
        <v>60.0</v>
      </c>
      <c r="BB9" s="1">
        <v>60.0</v>
      </c>
      <c r="BC9" s="1">
        <v>60.0</v>
      </c>
      <c r="BD9" s="1">
        <v>60.0</v>
      </c>
      <c r="BE9" s="1">
        <v>60.0</v>
      </c>
      <c r="BF9" s="1">
        <v>60.0</v>
      </c>
      <c r="BG9" s="1">
        <v>60.0</v>
      </c>
      <c r="BH9" s="1">
        <v>60.0</v>
      </c>
      <c r="BI9" s="1">
        <v>60.0</v>
      </c>
      <c r="BJ9" s="1">
        <v>60.0</v>
      </c>
      <c r="BK9" s="1">
        <v>60.0</v>
      </c>
      <c r="BL9" s="1">
        <v>60.0</v>
      </c>
      <c r="BM9" s="1">
        <v>60.0</v>
      </c>
      <c r="BN9" s="1">
        <v>60.0</v>
      </c>
      <c r="BO9" s="1">
        <v>60.0</v>
      </c>
      <c r="BP9" s="1">
        <v>60.0</v>
      </c>
      <c r="BQ9" s="1">
        <v>60.0</v>
      </c>
      <c r="BR9" s="1">
        <v>60.0</v>
      </c>
      <c r="BS9" s="1">
        <v>60.0</v>
      </c>
      <c r="BT9" s="1">
        <v>60.0</v>
      </c>
      <c r="BU9" s="1">
        <v>60.0</v>
      </c>
      <c r="BV9" s="1" t="s">
        <v>202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420.0</v>
      </c>
      <c r="P11" s="1">
        <v>421.0</v>
      </c>
      <c r="Q11" s="1">
        <v>422.0</v>
      </c>
      <c r="R11" s="1">
        <v>424.0</v>
      </c>
      <c r="S11" s="1">
        <v>425.0</v>
      </c>
      <c r="T11" s="1">
        <v>426.0</v>
      </c>
      <c r="U11" s="1">
        <v>427.0</v>
      </c>
      <c r="V11" s="1">
        <v>429.0</v>
      </c>
      <c r="W11" s="1">
        <v>430.0</v>
      </c>
      <c r="X11" s="1">
        <v>431.0</v>
      </c>
      <c r="Y11" s="1">
        <v>432.0</v>
      </c>
      <c r="Z11" s="1">
        <v>434.0</v>
      </c>
      <c r="AA11" s="1">
        <v>435.0</v>
      </c>
      <c r="AB11" s="1">
        <v>436.0</v>
      </c>
      <c r="AC11" s="1">
        <v>438.0</v>
      </c>
      <c r="AD11" s="1">
        <v>439.0</v>
      </c>
      <c r="AE11" s="1">
        <v>440.0</v>
      </c>
      <c r="AF11" s="1">
        <v>441.0</v>
      </c>
      <c r="AG11" s="1">
        <v>443.0</v>
      </c>
      <c r="AH11" s="1">
        <v>444.0</v>
      </c>
      <c r="AI11" s="1">
        <v>445.0</v>
      </c>
      <c r="AJ11" s="1">
        <v>447.0</v>
      </c>
      <c r="AK11" s="1">
        <v>448.0</v>
      </c>
      <c r="AL11" s="1">
        <v>449.0</v>
      </c>
      <c r="AM11" s="1">
        <v>451.0</v>
      </c>
      <c r="AN11" s="1">
        <v>452.0</v>
      </c>
      <c r="AO11" s="1">
        <v>453.0</v>
      </c>
      <c r="AP11" s="1">
        <v>455.0</v>
      </c>
      <c r="AQ11" s="1">
        <v>456.0</v>
      </c>
      <c r="AR11" s="1">
        <v>457.0</v>
      </c>
      <c r="AS11" s="1">
        <v>459.0</v>
      </c>
      <c r="AT11" s="1">
        <v>460.0</v>
      </c>
      <c r="AU11" s="1">
        <v>461.0</v>
      </c>
      <c r="AV11" s="1">
        <v>463.0</v>
      </c>
      <c r="AW11" s="1">
        <v>464.0</v>
      </c>
      <c r="AX11" s="1">
        <v>465.0</v>
      </c>
      <c r="AY11" s="1">
        <v>467.0</v>
      </c>
      <c r="AZ11" s="1">
        <v>468.0</v>
      </c>
      <c r="BA11" s="1">
        <v>469.0</v>
      </c>
      <c r="BB11" s="1">
        <v>471.0</v>
      </c>
      <c r="BC11" s="1">
        <v>472.0</v>
      </c>
      <c r="BD11" s="1">
        <v>474.0</v>
      </c>
      <c r="BE11" s="1">
        <v>475.0</v>
      </c>
      <c r="BF11" s="1">
        <v>476.0</v>
      </c>
      <c r="BG11" s="1">
        <v>478.0</v>
      </c>
      <c r="BH11" s="1">
        <v>479.0</v>
      </c>
      <c r="BI11" s="1">
        <v>481.0</v>
      </c>
      <c r="BJ11" s="1">
        <v>482.0</v>
      </c>
      <c r="BK11" s="1">
        <v>483.0</v>
      </c>
      <c r="BL11" s="1">
        <v>485.0</v>
      </c>
      <c r="BM11" s="1">
        <v>486.0</v>
      </c>
      <c r="BN11" s="1">
        <v>488.0</v>
      </c>
      <c r="BO11" s="1">
        <v>489.0</v>
      </c>
      <c r="BP11" s="1">
        <v>490.0</v>
      </c>
      <c r="BQ11" s="1">
        <v>492.0</v>
      </c>
      <c r="BR11" s="1">
        <v>493.0</v>
      </c>
      <c r="BS11" s="1">
        <v>495.0</v>
      </c>
      <c r="BT11" s="1">
        <v>496.0</v>
      </c>
      <c r="BU11" s="1">
        <v>498.0</v>
      </c>
      <c r="BV11" s="1">
        <v>27008.0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25200.0</v>
      </c>
      <c r="P12" s="1">
        <v>25274.0</v>
      </c>
      <c r="Q12" s="1">
        <v>25348.0</v>
      </c>
      <c r="R12" s="1">
        <v>25422.0</v>
      </c>
      <c r="S12" s="1">
        <v>25497.0</v>
      </c>
      <c r="T12" s="1">
        <v>25571.0</v>
      </c>
      <c r="U12" s="1">
        <v>25646.0</v>
      </c>
      <c r="V12" s="1">
        <v>25721.0</v>
      </c>
      <c r="W12" s="1">
        <v>25797.0</v>
      </c>
      <c r="X12" s="1">
        <v>25872.0</v>
      </c>
      <c r="Y12" s="1">
        <v>25948.0</v>
      </c>
      <c r="Z12" s="1">
        <v>26024.0</v>
      </c>
      <c r="AA12" s="1">
        <v>26100.0</v>
      </c>
      <c r="AB12" s="1">
        <v>26177.0</v>
      </c>
      <c r="AC12" s="1">
        <v>26254.0</v>
      </c>
      <c r="AD12" s="1">
        <v>26331.0</v>
      </c>
      <c r="AE12" s="1">
        <v>26408.0</v>
      </c>
      <c r="AF12" s="1">
        <v>26485.0</v>
      </c>
      <c r="AG12" s="1">
        <v>26563.0</v>
      </c>
      <c r="AH12" s="1">
        <v>26640.0</v>
      </c>
      <c r="AI12" s="1">
        <v>26719.0</v>
      </c>
      <c r="AJ12" s="1">
        <v>26797.0</v>
      </c>
      <c r="AK12" s="1">
        <v>26875.0</v>
      </c>
      <c r="AL12" s="1">
        <v>26954.0</v>
      </c>
      <c r="AM12" s="1">
        <v>27033.0</v>
      </c>
      <c r="AN12" s="1">
        <v>27112.0</v>
      </c>
      <c r="AO12" s="1">
        <v>27192.0</v>
      </c>
      <c r="AP12" s="1">
        <v>27271.0</v>
      </c>
      <c r="AQ12" s="1">
        <v>27351.0</v>
      </c>
      <c r="AR12" s="1">
        <v>27431.0</v>
      </c>
      <c r="AS12" s="1">
        <v>27512.0</v>
      </c>
      <c r="AT12" s="1">
        <v>27592.0</v>
      </c>
      <c r="AU12" s="1">
        <v>27673.0</v>
      </c>
      <c r="AV12" s="1">
        <v>27754.0</v>
      </c>
      <c r="AW12" s="1">
        <v>27836.0</v>
      </c>
      <c r="AX12" s="1">
        <v>27917.0</v>
      </c>
      <c r="AY12" s="1">
        <v>27999.0</v>
      </c>
      <c r="AZ12" s="1">
        <v>28081.0</v>
      </c>
      <c r="BA12" s="1">
        <v>28163.0</v>
      </c>
      <c r="BB12" s="1">
        <v>28246.0</v>
      </c>
      <c r="BC12" s="1">
        <v>28329.0</v>
      </c>
      <c r="BD12" s="1">
        <v>28412.0</v>
      </c>
      <c r="BE12" s="1">
        <v>28495.0</v>
      </c>
      <c r="BF12" s="1">
        <v>28578.0</v>
      </c>
      <c r="BG12" s="1">
        <v>28662.0</v>
      </c>
      <c r="BH12" s="1">
        <v>28746.0</v>
      </c>
      <c r="BI12" s="1">
        <v>28830.0</v>
      </c>
      <c r="BJ12" s="1">
        <v>28915.0</v>
      </c>
      <c r="BK12" s="1">
        <v>28999.0</v>
      </c>
      <c r="BL12" s="1">
        <v>29084.0</v>
      </c>
      <c r="BM12" s="1">
        <v>29170.0</v>
      </c>
      <c r="BN12" s="1">
        <v>29255.0</v>
      </c>
      <c r="BO12" s="1">
        <v>29341.0</v>
      </c>
      <c r="BP12" s="1">
        <v>29427.0</v>
      </c>
      <c r="BQ12" s="1">
        <v>29513.0</v>
      </c>
      <c r="BR12" s="1">
        <v>29600.0</v>
      </c>
      <c r="BS12" s="1">
        <v>29686.0</v>
      </c>
      <c r="BT12" s="1">
        <v>29773.0</v>
      </c>
      <c r="BU12" s="1">
        <v>29860.0</v>
      </c>
      <c r="BV12" s="1">
        <v>1620464.0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7560.0</v>
      </c>
      <c r="P13" s="1">
        <v>7582.0</v>
      </c>
      <c r="Q13" s="1">
        <v>7604.0</v>
      </c>
      <c r="R13" s="1">
        <v>7627.0</v>
      </c>
      <c r="S13" s="1">
        <v>7649.0</v>
      </c>
      <c r="T13" s="1">
        <v>7671.0</v>
      </c>
      <c r="U13" s="1">
        <v>7694.0</v>
      </c>
      <c r="V13" s="1">
        <v>7716.0</v>
      </c>
      <c r="W13" s="1">
        <v>7739.0</v>
      </c>
      <c r="X13" s="1">
        <v>7762.0</v>
      </c>
      <c r="Y13" s="1">
        <v>7784.0</v>
      </c>
      <c r="Z13" s="1">
        <v>7807.0</v>
      </c>
      <c r="AA13" s="1">
        <v>7830.0</v>
      </c>
      <c r="AB13" s="1">
        <v>7853.0</v>
      </c>
      <c r="AC13" s="1">
        <v>7876.0</v>
      </c>
      <c r="AD13" s="1">
        <v>7899.0</v>
      </c>
      <c r="AE13" s="1">
        <v>7922.0</v>
      </c>
      <c r="AF13" s="1">
        <v>7946.0</v>
      </c>
      <c r="AG13" s="1">
        <v>7969.0</v>
      </c>
      <c r="AH13" s="1">
        <v>7992.0</v>
      </c>
      <c r="AI13" s="1">
        <v>8016.0</v>
      </c>
      <c r="AJ13" s="1">
        <v>8039.0</v>
      </c>
      <c r="AK13" s="1">
        <v>8063.0</v>
      </c>
      <c r="AL13" s="1">
        <v>8086.0</v>
      </c>
      <c r="AM13" s="1">
        <v>8110.0</v>
      </c>
      <c r="AN13" s="1">
        <v>8134.0</v>
      </c>
      <c r="AO13" s="1">
        <v>8158.0</v>
      </c>
      <c r="AP13" s="1">
        <v>8181.0</v>
      </c>
      <c r="AQ13" s="1">
        <v>8205.0</v>
      </c>
      <c r="AR13" s="1">
        <v>8229.0</v>
      </c>
      <c r="AS13" s="1">
        <v>8254.0</v>
      </c>
      <c r="AT13" s="1">
        <v>8278.0</v>
      </c>
      <c r="AU13" s="1">
        <v>8302.0</v>
      </c>
      <c r="AV13" s="1">
        <v>8326.0</v>
      </c>
      <c r="AW13" s="1">
        <v>8351.0</v>
      </c>
      <c r="AX13" s="1">
        <v>8375.0</v>
      </c>
      <c r="AY13" s="1">
        <v>8400.0</v>
      </c>
      <c r="AZ13" s="1">
        <v>8424.0</v>
      </c>
      <c r="BA13" s="1">
        <v>8449.0</v>
      </c>
      <c r="BB13" s="1">
        <v>8474.0</v>
      </c>
      <c r="BC13" s="1">
        <v>8499.0</v>
      </c>
      <c r="BD13" s="1">
        <v>8523.0</v>
      </c>
      <c r="BE13" s="1">
        <v>8548.0</v>
      </c>
      <c r="BF13" s="1">
        <v>8574.0</v>
      </c>
      <c r="BG13" s="1">
        <v>8599.0</v>
      </c>
      <c r="BH13" s="1">
        <v>8624.0</v>
      </c>
      <c r="BI13" s="1">
        <v>8649.0</v>
      </c>
      <c r="BJ13" s="1">
        <v>8674.0</v>
      </c>
      <c r="BK13" s="1">
        <v>8700.0</v>
      </c>
      <c r="BL13" s="1">
        <v>8725.0</v>
      </c>
      <c r="BM13" s="1">
        <v>8751.0</v>
      </c>
      <c r="BN13" s="1">
        <v>8777.0</v>
      </c>
      <c r="BO13" s="1">
        <v>8802.0</v>
      </c>
      <c r="BP13" s="1">
        <v>8828.0</v>
      </c>
      <c r="BQ13" s="1">
        <v>8854.0</v>
      </c>
      <c r="BR13" s="1">
        <v>8880.0</v>
      </c>
      <c r="BS13" s="1">
        <v>8906.0</v>
      </c>
      <c r="BT13" s="1">
        <v>8932.0</v>
      </c>
      <c r="BU13" s="1">
        <v>8958.0</v>
      </c>
      <c r="BV13" s="1">
        <v>486139.0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2000.0</v>
      </c>
      <c r="P14" s="1">
        <v>2000.0</v>
      </c>
      <c r="Q14" s="1">
        <v>2000.0</v>
      </c>
      <c r="R14" s="1">
        <v>2000.0</v>
      </c>
      <c r="S14" s="1">
        <v>2000.0</v>
      </c>
      <c r="T14" s="1">
        <v>2000.0</v>
      </c>
      <c r="U14" s="1">
        <v>2000.0</v>
      </c>
      <c r="V14" s="1">
        <v>2000.0</v>
      </c>
      <c r="W14" s="1">
        <v>2000.0</v>
      </c>
      <c r="X14" s="1">
        <v>2000.0</v>
      </c>
      <c r="Y14" s="1">
        <v>2000.0</v>
      </c>
      <c r="Z14" s="1">
        <v>2000.0</v>
      </c>
      <c r="AA14" s="1">
        <v>2000.0</v>
      </c>
      <c r="AB14" s="1">
        <v>2000.0</v>
      </c>
      <c r="AC14" s="1">
        <v>2000.0</v>
      </c>
      <c r="AD14" s="1">
        <v>2000.0</v>
      </c>
      <c r="AE14" s="1">
        <v>2000.0</v>
      </c>
      <c r="AF14" s="1">
        <v>2000.0</v>
      </c>
      <c r="AG14" s="1">
        <v>2000.0</v>
      </c>
      <c r="AH14" s="1">
        <v>2000.0</v>
      </c>
      <c r="AI14" s="1">
        <v>2000.0</v>
      </c>
      <c r="AJ14" s="1">
        <v>2000.0</v>
      </c>
      <c r="AK14" s="1">
        <v>2000.0</v>
      </c>
      <c r="AL14" s="1">
        <v>2000.0</v>
      </c>
      <c r="AM14" s="1">
        <v>2000.0</v>
      </c>
      <c r="AN14" s="1">
        <v>2000.0</v>
      </c>
      <c r="AO14" s="1">
        <v>2000.0</v>
      </c>
      <c r="AP14" s="1">
        <v>2000.0</v>
      </c>
      <c r="AQ14" s="1">
        <v>2000.0</v>
      </c>
      <c r="AR14" s="1">
        <v>2000.0</v>
      </c>
      <c r="AS14" s="1">
        <v>2000.0</v>
      </c>
      <c r="AT14" s="1">
        <v>2000.0</v>
      </c>
      <c r="AU14" s="1">
        <v>2000.0</v>
      </c>
      <c r="AV14" s="1">
        <v>2000.0</v>
      </c>
      <c r="AW14" s="1">
        <v>2000.0</v>
      </c>
      <c r="AX14" s="1">
        <v>2000.0</v>
      </c>
      <c r="AY14" s="1">
        <v>2000.0</v>
      </c>
      <c r="AZ14" s="1">
        <v>2000.0</v>
      </c>
      <c r="BA14" s="1">
        <v>2000.0</v>
      </c>
      <c r="BB14" s="1">
        <v>2000.0</v>
      </c>
      <c r="BC14" s="1">
        <v>2000.0</v>
      </c>
      <c r="BD14" s="1">
        <v>2000.0</v>
      </c>
      <c r="BE14" s="1">
        <v>2000.0</v>
      </c>
      <c r="BF14" s="1">
        <v>2000.0</v>
      </c>
      <c r="BG14" s="1">
        <v>2000.0</v>
      </c>
      <c r="BH14" s="1">
        <v>2000.0</v>
      </c>
      <c r="BI14" s="1">
        <v>2000.0</v>
      </c>
      <c r="BJ14" s="1">
        <v>2000.0</v>
      </c>
      <c r="BK14" s="1">
        <v>2000.0</v>
      </c>
      <c r="BL14" s="1">
        <v>2000.0</v>
      </c>
      <c r="BM14" s="1">
        <v>2000.0</v>
      </c>
      <c r="BN14" s="1">
        <v>2000.0</v>
      </c>
      <c r="BO14" s="1">
        <v>2000.0</v>
      </c>
      <c r="BP14" s="1">
        <v>2000.0</v>
      </c>
      <c r="BQ14" s="1">
        <v>2000.0</v>
      </c>
      <c r="BR14" s="1">
        <v>2000.0</v>
      </c>
      <c r="BS14" s="1">
        <v>2000.0</v>
      </c>
      <c r="BT14" s="1">
        <v>2000.0</v>
      </c>
      <c r="BU14" s="1">
        <v>2000.0</v>
      </c>
      <c r="BV14" s="1">
        <v>118000.0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9560.0</v>
      </c>
      <c r="P15" s="1">
        <v>9582.0</v>
      </c>
      <c r="Q15" s="1">
        <v>9604.0</v>
      </c>
      <c r="R15" s="1">
        <v>9627.0</v>
      </c>
      <c r="S15" s="1">
        <v>9649.0</v>
      </c>
      <c r="T15" s="1">
        <v>9671.0</v>
      </c>
      <c r="U15" s="1">
        <v>9694.0</v>
      </c>
      <c r="V15" s="1">
        <v>9716.0</v>
      </c>
      <c r="W15" s="1">
        <v>9739.0</v>
      </c>
      <c r="X15" s="1">
        <v>9762.0</v>
      </c>
      <c r="Y15" s="1">
        <v>9784.0</v>
      </c>
      <c r="Z15" s="1">
        <v>9807.0</v>
      </c>
      <c r="AA15" s="1">
        <v>9830.0</v>
      </c>
      <c r="AB15" s="1">
        <v>9853.0</v>
      </c>
      <c r="AC15" s="1">
        <v>9876.0</v>
      </c>
      <c r="AD15" s="1">
        <v>9899.0</v>
      </c>
      <c r="AE15" s="1">
        <v>9922.0</v>
      </c>
      <c r="AF15" s="1">
        <v>9946.0</v>
      </c>
      <c r="AG15" s="1">
        <v>9969.0</v>
      </c>
      <c r="AH15" s="1">
        <v>9992.0</v>
      </c>
      <c r="AI15" s="1">
        <v>10016.0</v>
      </c>
      <c r="AJ15" s="1">
        <v>10039.0</v>
      </c>
      <c r="AK15" s="1">
        <v>10063.0</v>
      </c>
      <c r="AL15" s="1">
        <v>10086.0</v>
      </c>
      <c r="AM15" s="1">
        <v>10110.0</v>
      </c>
      <c r="AN15" s="1">
        <v>10134.0</v>
      </c>
      <c r="AO15" s="1">
        <v>10158.0</v>
      </c>
      <c r="AP15" s="1">
        <v>10181.0</v>
      </c>
      <c r="AQ15" s="1">
        <v>10205.0</v>
      </c>
      <c r="AR15" s="1">
        <v>10229.0</v>
      </c>
      <c r="AS15" s="1">
        <v>10254.0</v>
      </c>
      <c r="AT15" s="1">
        <v>10278.0</v>
      </c>
      <c r="AU15" s="1">
        <v>10302.0</v>
      </c>
      <c r="AV15" s="1">
        <v>10326.0</v>
      </c>
      <c r="AW15" s="1">
        <v>10351.0</v>
      </c>
      <c r="AX15" s="1">
        <v>10375.0</v>
      </c>
      <c r="AY15" s="1">
        <v>10400.0</v>
      </c>
      <c r="AZ15" s="1">
        <v>10424.0</v>
      </c>
      <c r="BA15" s="1">
        <v>10449.0</v>
      </c>
      <c r="BB15" s="1">
        <v>10474.0</v>
      </c>
      <c r="BC15" s="1">
        <v>10499.0</v>
      </c>
      <c r="BD15" s="1">
        <v>10523.0</v>
      </c>
      <c r="BE15" s="1">
        <v>10548.0</v>
      </c>
      <c r="BF15" s="1">
        <v>10574.0</v>
      </c>
      <c r="BG15" s="1">
        <v>10599.0</v>
      </c>
      <c r="BH15" s="1">
        <v>10624.0</v>
      </c>
      <c r="BI15" s="1">
        <v>10649.0</v>
      </c>
      <c r="BJ15" s="1">
        <v>10674.0</v>
      </c>
      <c r="BK15" s="1">
        <v>10700.0</v>
      </c>
      <c r="BL15" s="1">
        <v>10725.0</v>
      </c>
      <c r="BM15" s="1">
        <v>10751.0</v>
      </c>
      <c r="BN15" s="1">
        <v>10777.0</v>
      </c>
      <c r="BO15" s="1">
        <v>10802.0</v>
      </c>
      <c r="BP15" s="1">
        <v>10828.0</v>
      </c>
      <c r="BQ15" s="1">
        <v>10854.0</v>
      </c>
      <c r="BR15" s="1">
        <v>10880.0</v>
      </c>
      <c r="BS15" s="1">
        <v>10906.0</v>
      </c>
      <c r="BT15" s="1">
        <v>10932.0</v>
      </c>
      <c r="BU15" s="1">
        <v>10958.0</v>
      </c>
      <c r="BV15" s="1">
        <v>604139.0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17640.0</v>
      </c>
      <c r="P16" s="1">
        <v>17692.0</v>
      </c>
      <c r="Q16" s="1">
        <v>17744.0</v>
      </c>
      <c r="R16" s="1">
        <v>17796.0</v>
      </c>
      <c r="S16" s="1">
        <v>17848.0</v>
      </c>
      <c r="T16" s="1">
        <v>17900.0</v>
      </c>
      <c r="U16" s="1">
        <v>17952.0</v>
      </c>
      <c r="V16" s="1">
        <v>18005.0</v>
      </c>
      <c r="W16" s="1">
        <v>18058.0</v>
      </c>
      <c r="X16" s="1">
        <v>18111.0</v>
      </c>
      <c r="Y16" s="1">
        <v>18164.0</v>
      </c>
      <c r="Z16" s="1">
        <v>18217.0</v>
      </c>
      <c r="AA16" s="1">
        <v>18270.0</v>
      </c>
      <c r="AB16" s="1">
        <v>18324.0</v>
      </c>
      <c r="AC16" s="1">
        <v>18378.0</v>
      </c>
      <c r="AD16" s="1">
        <v>18431.0</v>
      </c>
      <c r="AE16" s="1">
        <v>18485.0</v>
      </c>
      <c r="AF16" s="1">
        <v>18540.0</v>
      </c>
      <c r="AG16" s="1">
        <v>18594.0</v>
      </c>
      <c r="AH16" s="1">
        <v>18648.0</v>
      </c>
      <c r="AI16" s="1">
        <v>18703.0</v>
      </c>
      <c r="AJ16" s="1">
        <v>18758.0</v>
      </c>
      <c r="AK16" s="1">
        <v>18813.0</v>
      </c>
      <c r="AL16" s="1">
        <v>18868.0</v>
      </c>
      <c r="AM16" s="1">
        <v>18923.0</v>
      </c>
      <c r="AN16" s="1">
        <v>18979.0</v>
      </c>
      <c r="AO16" s="1">
        <v>19034.0</v>
      </c>
      <c r="AP16" s="1">
        <v>19090.0</v>
      </c>
      <c r="AQ16" s="1">
        <v>19146.0</v>
      </c>
      <c r="AR16" s="1">
        <v>19202.0</v>
      </c>
      <c r="AS16" s="1">
        <v>19258.0</v>
      </c>
      <c r="AT16" s="1">
        <v>19315.0</v>
      </c>
      <c r="AU16" s="1">
        <v>19371.0</v>
      </c>
      <c r="AV16" s="1">
        <v>19428.0</v>
      </c>
      <c r="AW16" s="1">
        <v>19485.0</v>
      </c>
      <c r="AX16" s="1">
        <v>19542.0</v>
      </c>
      <c r="AY16" s="1">
        <v>19599.0</v>
      </c>
      <c r="AZ16" s="1">
        <v>19657.0</v>
      </c>
      <c r="BA16" s="1">
        <v>19714.0</v>
      </c>
      <c r="BB16" s="1">
        <v>19772.0</v>
      </c>
      <c r="BC16" s="1">
        <v>19830.0</v>
      </c>
      <c r="BD16" s="1">
        <v>19888.0</v>
      </c>
      <c r="BE16" s="1">
        <v>19946.0</v>
      </c>
      <c r="BF16" s="1">
        <v>20005.0</v>
      </c>
      <c r="BG16" s="1">
        <v>20063.0</v>
      </c>
      <c r="BH16" s="1">
        <v>20122.0</v>
      </c>
      <c r="BI16" s="1">
        <v>20181.0</v>
      </c>
      <c r="BJ16" s="1">
        <v>20240.0</v>
      </c>
      <c r="BK16" s="1">
        <v>20300.0</v>
      </c>
      <c r="BL16" s="1">
        <v>20359.0</v>
      </c>
      <c r="BM16" s="1">
        <v>20419.0</v>
      </c>
      <c r="BN16" s="1">
        <v>20479.0</v>
      </c>
      <c r="BO16" s="1">
        <v>20539.0</v>
      </c>
      <c r="BP16" s="1">
        <v>20599.0</v>
      </c>
      <c r="BQ16" s="1">
        <v>20659.0</v>
      </c>
      <c r="BR16" s="1">
        <v>20720.0</v>
      </c>
      <c r="BS16" s="1">
        <v>20780.0</v>
      </c>
      <c r="BT16" s="1">
        <v>20841.0</v>
      </c>
      <c r="BU16" s="1">
        <v>20902.0</v>
      </c>
      <c r="BV16" s="1">
        <v>1134325.0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203</v>
      </c>
    </row>
    <row r="2">
      <c r="A2" s="1" t="s">
        <v>204</v>
      </c>
    </row>
    <row r="3">
      <c r="A3" s="1" t="s">
        <v>201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5000.0</v>
      </c>
      <c r="K6" s="1">
        <v>5015.0</v>
      </c>
      <c r="L6" s="1">
        <v>5029.0</v>
      </c>
      <c r="M6" s="1">
        <v>5044.0</v>
      </c>
      <c r="N6" s="1">
        <v>5059.0</v>
      </c>
      <c r="O6" s="1">
        <v>5074.0</v>
      </c>
      <c r="P6" s="1">
        <v>5089.0</v>
      </c>
      <c r="Q6" s="1">
        <v>5103.0</v>
      </c>
      <c r="R6" s="1">
        <v>5118.0</v>
      </c>
      <c r="S6" s="1">
        <v>5133.0</v>
      </c>
      <c r="T6" s="1">
        <v>5148.0</v>
      </c>
      <c r="U6" s="1">
        <v>5164.0</v>
      </c>
      <c r="V6" s="1">
        <v>5179.0</v>
      </c>
      <c r="W6" s="1">
        <v>5194.0</v>
      </c>
      <c r="X6" s="1">
        <v>5209.0</v>
      </c>
      <c r="Y6" s="1">
        <v>5224.0</v>
      </c>
      <c r="Z6" s="1">
        <v>5240.0</v>
      </c>
      <c r="AA6" s="1">
        <v>5255.0</v>
      </c>
      <c r="AB6" s="1">
        <v>5270.0</v>
      </c>
      <c r="AC6" s="1">
        <v>5286.0</v>
      </c>
      <c r="AD6" s="1">
        <v>5301.0</v>
      </c>
      <c r="AE6" s="1">
        <v>5317.0</v>
      </c>
      <c r="AF6" s="1">
        <v>5332.0</v>
      </c>
      <c r="AG6" s="1">
        <v>5348.0</v>
      </c>
      <c r="AH6" s="1">
        <v>5364.0</v>
      </c>
      <c r="AI6" s="1">
        <v>5379.0</v>
      </c>
      <c r="AJ6" s="1">
        <v>5395.0</v>
      </c>
      <c r="AK6" s="1">
        <v>5411.0</v>
      </c>
      <c r="AL6" s="1">
        <v>5427.0</v>
      </c>
      <c r="AM6" s="1">
        <v>5443.0</v>
      </c>
      <c r="AN6" s="1">
        <v>5459.0</v>
      </c>
      <c r="AO6" s="1">
        <v>5475.0</v>
      </c>
      <c r="AP6" s="1">
        <v>5491.0</v>
      </c>
      <c r="AQ6" s="1">
        <v>5507.0</v>
      </c>
      <c r="AR6" s="1">
        <v>5523.0</v>
      </c>
      <c r="AS6" s="1">
        <v>5539.0</v>
      </c>
      <c r="AT6" s="1">
        <v>5555.0</v>
      </c>
      <c r="AU6" s="1">
        <v>5572.0</v>
      </c>
      <c r="AV6" s="1">
        <v>5588.0</v>
      </c>
      <c r="AW6" s="1">
        <v>5604.0</v>
      </c>
      <c r="AX6" s="1">
        <v>5621.0</v>
      </c>
      <c r="AY6" s="1">
        <v>5637.0</v>
      </c>
      <c r="AZ6" s="1">
        <v>5654.0</v>
      </c>
      <c r="BA6" s="1">
        <v>5670.0</v>
      </c>
      <c r="BB6" s="1">
        <v>5687.0</v>
      </c>
      <c r="BC6" s="1">
        <v>5704.0</v>
      </c>
      <c r="BD6" s="1">
        <v>5720.0</v>
      </c>
      <c r="BE6" s="1">
        <v>5737.0</v>
      </c>
      <c r="BF6" s="1">
        <v>5754.0</v>
      </c>
      <c r="BG6" s="1">
        <v>5771.0</v>
      </c>
      <c r="BH6" s="1">
        <v>5788.0</v>
      </c>
      <c r="BI6" s="1">
        <v>5805.0</v>
      </c>
      <c r="BJ6" s="1">
        <v>5822.0</v>
      </c>
      <c r="BK6" s="1">
        <v>5839.0</v>
      </c>
      <c r="BL6" s="1">
        <v>5856.0</v>
      </c>
      <c r="BM6" s="1">
        <v>5873.0</v>
      </c>
      <c r="BN6" s="1">
        <v>5890.0</v>
      </c>
      <c r="BO6" s="1">
        <v>5907.0</v>
      </c>
      <c r="BP6" s="1">
        <v>5925.0</v>
      </c>
      <c r="BQ6" s="1">
        <v>5942.0</v>
      </c>
      <c r="BR6" s="1">
        <v>5959.0</v>
      </c>
      <c r="BS6" s="1">
        <v>5977.0</v>
      </c>
      <c r="BT6" s="1">
        <v>5994.0</v>
      </c>
      <c r="BU6" s="1">
        <v>6012.0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35.0</v>
      </c>
      <c r="L7" s="1">
        <v>35.0</v>
      </c>
      <c r="M7" s="1">
        <v>35.0</v>
      </c>
      <c r="N7" s="1">
        <v>35.0</v>
      </c>
      <c r="O7" s="1">
        <v>35.0</v>
      </c>
      <c r="P7" s="1">
        <v>36.0</v>
      </c>
      <c r="Q7" s="1">
        <v>36.0</v>
      </c>
      <c r="R7" s="1">
        <v>36.0</v>
      </c>
      <c r="S7" s="1">
        <v>36.0</v>
      </c>
      <c r="T7" s="1">
        <v>36.0</v>
      </c>
      <c r="U7" s="1">
        <v>36.0</v>
      </c>
      <c r="V7" s="1">
        <v>36.0</v>
      </c>
      <c r="W7" s="1">
        <v>36.0</v>
      </c>
      <c r="X7" s="1">
        <v>36.0</v>
      </c>
      <c r="Y7" s="1">
        <v>36.0</v>
      </c>
      <c r="Z7" s="1">
        <v>37.0</v>
      </c>
      <c r="AA7" s="1">
        <v>37.0</v>
      </c>
      <c r="AB7" s="1">
        <v>37.0</v>
      </c>
      <c r="AC7" s="1">
        <v>37.0</v>
      </c>
      <c r="AD7" s="1">
        <v>37.0</v>
      </c>
      <c r="AE7" s="1">
        <v>37.0</v>
      </c>
      <c r="AF7" s="1">
        <v>37.0</v>
      </c>
      <c r="AG7" s="1">
        <v>37.0</v>
      </c>
      <c r="AH7" s="1">
        <v>37.0</v>
      </c>
      <c r="AI7" s="1">
        <v>38.0</v>
      </c>
      <c r="AJ7" s="1">
        <v>38.0</v>
      </c>
      <c r="AK7" s="1">
        <v>38.0</v>
      </c>
      <c r="AL7" s="1">
        <v>38.0</v>
      </c>
      <c r="AM7" s="1">
        <v>38.0</v>
      </c>
      <c r="AN7" s="1">
        <v>38.0</v>
      </c>
      <c r="AO7" s="1">
        <v>38.0</v>
      </c>
      <c r="AP7" s="1">
        <v>38.0</v>
      </c>
      <c r="AQ7" s="1">
        <v>38.0</v>
      </c>
      <c r="AR7" s="1">
        <v>39.0</v>
      </c>
      <c r="AS7" s="1">
        <v>39.0</v>
      </c>
      <c r="AT7" s="1">
        <v>39.0</v>
      </c>
      <c r="AU7" s="1">
        <v>39.0</v>
      </c>
      <c r="AV7" s="1">
        <v>39.0</v>
      </c>
      <c r="AW7" s="1">
        <v>39.0</v>
      </c>
      <c r="AX7" s="1">
        <v>39.0</v>
      </c>
      <c r="AY7" s="1">
        <v>39.0</v>
      </c>
      <c r="AZ7" s="1">
        <v>39.0</v>
      </c>
      <c r="BA7" s="1">
        <v>40.0</v>
      </c>
      <c r="BB7" s="1">
        <v>40.0</v>
      </c>
      <c r="BC7" s="1">
        <v>40.0</v>
      </c>
      <c r="BD7" s="1">
        <v>40.0</v>
      </c>
      <c r="BE7" s="1">
        <v>40.0</v>
      </c>
      <c r="BF7" s="1">
        <v>40.0</v>
      </c>
      <c r="BG7" s="1">
        <v>40.0</v>
      </c>
      <c r="BH7" s="1">
        <v>40.0</v>
      </c>
      <c r="BI7" s="1">
        <v>41.0</v>
      </c>
      <c r="BJ7" s="1">
        <v>41.0</v>
      </c>
      <c r="BK7" s="1">
        <v>41.0</v>
      </c>
      <c r="BL7" s="1">
        <v>41.0</v>
      </c>
      <c r="BM7" s="1">
        <v>41.0</v>
      </c>
      <c r="BN7" s="1">
        <v>41.0</v>
      </c>
      <c r="BO7" s="1">
        <v>41.0</v>
      </c>
      <c r="BP7" s="1">
        <v>41.0</v>
      </c>
      <c r="BQ7" s="1">
        <v>41.0</v>
      </c>
      <c r="BR7" s="1">
        <v>42.0</v>
      </c>
      <c r="BS7" s="1">
        <v>42.0</v>
      </c>
      <c r="BT7" s="1">
        <v>42.0</v>
      </c>
      <c r="BU7" s="1">
        <v>42.0</v>
      </c>
      <c r="BV7" s="1">
        <v>2418.0</v>
      </c>
    </row>
    <row r="8">
      <c r="A8" s="1" t="s">
        <v>145</v>
      </c>
      <c r="B8" s="1">
        <v>1.2</v>
      </c>
      <c r="C8" s="1">
        <v>1.2</v>
      </c>
      <c r="D8" s="1">
        <v>1.2</v>
      </c>
      <c r="E8" s="1">
        <v>1.2</v>
      </c>
      <c r="F8" s="1">
        <v>1.2</v>
      </c>
      <c r="G8" s="1">
        <v>1.2</v>
      </c>
      <c r="H8" s="1">
        <v>1.2</v>
      </c>
      <c r="I8" s="1">
        <v>1.2</v>
      </c>
      <c r="J8" s="1">
        <v>1.2</v>
      </c>
      <c r="K8" s="1">
        <v>1.2</v>
      </c>
      <c r="L8" s="1">
        <v>1.2</v>
      </c>
      <c r="M8" s="1">
        <v>1.2</v>
      </c>
      <c r="N8" s="1">
        <v>1.2</v>
      </c>
      <c r="O8" s="1">
        <v>1.2</v>
      </c>
      <c r="P8" s="1">
        <v>1.2</v>
      </c>
      <c r="Q8" s="1">
        <v>1.2</v>
      </c>
      <c r="R8" s="1">
        <v>1.2</v>
      </c>
      <c r="S8" s="1">
        <v>1.2</v>
      </c>
      <c r="T8" s="1">
        <v>1.2</v>
      </c>
      <c r="U8" s="1">
        <v>1.2</v>
      </c>
      <c r="V8" s="1">
        <v>1.2</v>
      </c>
      <c r="W8" s="1">
        <v>1.2</v>
      </c>
      <c r="X8" s="1">
        <v>1.2</v>
      </c>
      <c r="Y8" s="1">
        <v>1.2</v>
      </c>
      <c r="Z8" s="1">
        <v>1.2</v>
      </c>
      <c r="AA8" s="1">
        <v>1.2</v>
      </c>
      <c r="AB8" s="1">
        <v>1.2</v>
      </c>
      <c r="AC8" s="1">
        <v>1.2</v>
      </c>
      <c r="AD8" s="1">
        <v>1.2</v>
      </c>
      <c r="AE8" s="1">
        <v>1.2</v>
      </c>
      <c r="AF8" s="1">
        <v>1.2</v>
      </c>
      <c r="AG8" s="1">
        <v>1.2</v>
      </c>
      <c r="AH8" s="1">
        <v>1.2</v>
      </c>
      <c r="AI8" s="1">
        <v>1.2</v>
      </c>
      <c r="AJ8" s="1">
        <v>1.2</v>
      </c>
      <c r="AK8" s="1">
        <v>1.2</v>
      </c>
      <c r="AL8" s="1">
        <v>1.2</v>
      </c>
      <c r="AM8" s="1">
        <v>1.2</v>
      </c>
      <c r="AN8" s="1">
        <v>1.2</v>
      </c>
      <c r="AO8" s="1">
        <v>1.2</v>
      </c>
      <c r="AP8" s="1">
        <v>1.2</v>
      </c>
      <c r="AQ8" s="1">
        <v>1.2</v>
      </c>
      <c r="AR8" s="1">
        <v>1.2</v>
      </c>
      <c r="AS8" s="1">
        <v>1.2</v>
      </c>
      <c r="AT8" s="1">
        <v>1.2</v>
      </c>
      <c r="AU8" s="1">
        <v>1.2</v>
      </c>
      <c r="AV8" s="1">
        <v>1.2</v>
      </c>
      <c r="AW8" s="1">
        <v>1.2</v>
      </c>
      <c r="AX8" s="1">
        <v>1.2</v>
      </c>
      <c r="AY8" s="1">
        <v>1.2</v>
      </c>
      <c r="AZ8" s="1">
        <v>1.2</v>
      </c>
      <c r="BA8" s="1">
        <v>1.2</v>
      </c>
      <c r="BB8" s="1">
        <v>1.2</v>
      </c>
      <c r="BC8" s="1">
        <v>1.2</v>
      </c>
      <c r="BD8" s="1">
        <v>1.2</v>
      </c>
      <c r="BE8" s="1">
        <v>1.2</v>
      </c>
      <c r="BF8" s="1">
        <v>1.2</v>
      </c>
      <c r="BG8" s="1">
        <v>1.2</v>
      </c>
      <c r="BH8" s="1">
        <v>1.2</v>
      </c>
      <c r="BI8" s="1">
        <v>1.2</v>
      </c>
      <c r="BJ8" s="1">
        <v>1.2</v>
      </c>
      <c r="BK8" s="1">
        <v>1.2</v>
      </c>
      <c r="BL8" s="1">
        <v>1.2</v>
      </c>
      <c r="BM8" s="1">
        <v>1.2</v>
      </c>
      <c r="BN8" s="1">
        <v>1.2</v>
      </c>
      <c r="BO8" s="1">
        <v>1.2</v>
      </c>
      <c r="BP8" s="1">
        <v>1.2</v>
      </c>
      <c r="BQ8" s="1">
        <v>1.2</v>
      </c>
      <c r="BR8" s="1">
        <v>1.2</v>
      </c>
      <c r="BS8" s="1">
        <v>1.2</v>
      </c>
      <c r="BT8" s="1">
        <v>1.2</v>
      </c>
      <c r="BU8" s="1">
        <v>1.2</v>
      </c>
    </row>
    <row r="9">
      <c r="A9" s="1" t="s">
        <v>146</v>
      </c>
      <c r="B9" s="1">
        <v>40.0</v>
      </c>
      <c r="C9" s="1">
        <v>40.0</v>
      </c>
      <c r="D9" s="1">
        <v>40.0</v>
      </c>
      <c r="E9" s="1">
        <v>40.0</v>
      </c>
      <c r="F9" s="1">
        <v>40.0</v>
      </c>
      <c r="G9" s="1">
        <v>40.0</v>
      </c>
      <c r="H9" s="1">
        <v>40.0</v>
      </c>
      <c r="I9" s="1">
        <v>40.0</v>
      </c>
      <c r="J9" s="1">
        <v>40.0</v>
      </c>
      <c r="K9" s="1">
        <v>40.0</v>
      </c>
      <c r="L9" s="1">
        <v>40.0</v>
      </c>
      <c r="M9" s="1">
        <v>40.0</v>
      </c>
      <c r="N9" s="1">
        <v>40.0</v>
      </c>
      <c r="O9" s="1">
        <v>40.0</v>
      </c>
      <c r="P9" s="1">
        <v>40.0</v>
      </c>
      <c r="Q9" s="1">
        <v>40.0</v>
      </c>
      <c r="R9" s="1">
        <v>40.0</v>
      </c>
      <c r="S9" s="1">
        <v>40.0</v>
      </c>
      <c r="T9" s="1">
        <v>40.0</v>
      </c>
      <c r="U9" s="1">
        <v>40.0</v>
      </c>
      <c r="V9" s="1">
        <v>40.0</v>
      </c>
      <c r="W9" s="1">
        <v>40.0</v>
      </c>
      <c r="X9" s="1">
        <v>40.0</v>
      </c>
      <c r="Y9" s="1">
        <v>40.0</v>
      </c>
      <c r="Z9" s="1">
        <v>40.0</v>
      </c>
      <c r="AA9" s="1">
        <v>40.0</v>
      </c>
      <c r="AB9" s="1">
        <v>40.0</v>
      </c>
      <c r="AC9" s="1">
        <v>40.0</v>
      </c>
      <c r="AD9" s="1">
        <v>40.0</v>
      </c>
      <c r="AE9" s="1">
        <v>40.0</v>
      </c>
      <c r="AF9" s="1">
        <v>40.0</v>
      </c>
      <c r="AG9" s="1">
        <v>40.0</v>
      </c>
      <c r="AH9" s="1">
        <v>40.0</v>
      </c>
      <c r="AI9" s="1">
        <v>40.0</v>
      </c>
      <c r="AJ9" s="1">
        <v>40.0</v>
      </c>
      <c r="AK9" s="1">
        <v>40.0</v>
      </c>
      <c r="AL9" s="1">
        <v>40.0</v>
      </c>
      <c r="AM9" s="1">
        <v>40.0</v>
      </c>
      <c r="AN9" s="1">
        <v>40.0</v>
      </c>
      <c r="AO9" s="1">
        <v>40.0</v>
      </c>
      <c r="AP9" s="1">
        <v>40.0</v>
      </c>
      <c r="AQ9" s="1">
        <v>40.0</v>
      </c>
      <c r="AR9" s="1">
        <v>40.0</v>
      </c>
      <c r="AS9" s="1">
        <v>40.0</v>
      </c>
      <c r="AT9" s="1">
        <v>40.0</v>
      </c>
      <c r="AU9" s="1">
        <v>40.0</v>
      </c>
      <c r="AV9" s="1">
        <v>40.0</v>
      </c>
      <c r="AW9" s="1">
        <v>40.0</v>
      </c>
      <c r="AX9" s="1">
        <v>40.0</v>
      </c>
      <c r="AY9" s="1">
        <v>40.0</v>
      </c>
      <c r="AZ9" s="1">
        <v>40.0</v>
      </c>
      <c r="BA9" s="1">
        <v>40.0</v>
      </c>
      <c r="BB9" s="1">
        <v>40.0</v>
      </c>
      <c r="BC9" s="1">
        <v>40.0</v>
      </c>
      <c r="BD9" s="1">
        <v>40.0</v>
      </c>
      <c r="BE9" s="1">
        <v>40.0</v>
      </c>
      <c r="BF9" s="1">
        <v>40.0</v>
      </c>
      <c r="BG9" s="1">
        <v>40.0</v>
      </c>
      <c r="BH9" s="1">
        <v>40.0</v>
      </c>
      <c r="BI9" s="1">
        <v>40.0</v>
      </c>
      <c r="BJ9" s="1">
        <v>40.0</v>
      </c>
      <c r="BK9" s="1">
        <v>40.0</v>
      </c>
      <c r="BL9" s="1">
        <v>40.0</v>
      </c>
      <c r="BM9" s="1">
        <v>40.0</v>
      </c>
      <c r="BN9" s="1">
        <v>40.0</v>
      </c>
      <c r="BO9" s="1">
        <v>40.0</v>
      </c>
      <c r="BP9" s="1">
        <v>40.0</v>
      </c>
      <c r="BQ9" s="1">
        <v>40.0</v>
      </c>
      <c r="BR9" s="1">
        <v>40.0</v>
      </c>
      <c r="BS9" s="1">
        <v>40.0</v>
      </c>
      <c r="BT9" s="1">
        <v>40.0</v>
      </c>
      <c r="BU9" s="1">
        <v>40.0</v>
      </c>
      <c r="BV9" s="1" t="s">
        <v>148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60.0</v>
      </c>
      <c r="K11" s="1">
        <v>60.0</v>
      </c>
      <c r="L11" s="1">
        <v>60.0</v>
      </c>
      <c r="M11" s="1">
        <v>61.0</v>
      </c>
      <c r="N11" s="1">
        <v>61.0</v>
      </c>
      <c r="O11" s="1">
        <v>61.0</v>
      </c>
      <c r="P11" s="1">
        <v>61.0</v>
      </c>
      <c r="Q11" s="1">
        <v>61.0</v>
      </c>
      <c r="R11" s="1">
        <v>61.0</v>
      </c>
      <c r="S11" s="1">
        <v>62.0</v>
      </c>
      <c r="T11" s="1">
        <v>62.0</v>
      </c>
      <c r="U11" s="1">
        <v>62.0</v>
      </c>
      <c r="V11" s="1">
        <v>62.0</v>
      </c>
      <c r="W11" s="1">
        <v>62.0</v>
      </c>
      <c r="X11" s="1">
        <v>63.0</v>
      </c>
      <c r="Y11" s="1">
        <v>63.0</v>
      </c>
      <c r="Z11" s="1">
        <v>63.0</v>
      </c>
      <c r="AA11" s="1">
        <v>63.0</v>
      </c>
      <c r="AB11" s="1">
        <v>63.0</v>
      </c>
      <c r="AC11" s="1">
        <v>63.0</v>
      </c>
      <c r="AD11" s="1">
        <v>64.0</v>
      </c>
      <c r="AE11" s="1">
        <v>64.0</v>
      </c>
      <c r="AF11" s="1">
        <v>64.0</v>
      </c>
      <c r="AG11" s="1">
        <v>64.0</v>
      </c>
      <c r="AH11" s="1">
        <v>64.0</v>
      </c>
      <c r="AI11" s="1">
        <v>65.0</v>
      </c>
      <c r="AJ11" s="1">
        <v>65.0</v>
      </c>
      <c r="AK11" s="1">
        <v>65.0</v>
      </c>
      <c r="AL11" s="1">
        <v>65.0</v>
      </c>
      <c r="AM11" s="1">
        <v>65.0</v>
      </c>
      <c r="AN11" s="1">
        <v>66.0</v>
      </c>
      <c r="AO11" s="1">
        <v>66.0</v>
      </c>
      <c r="AP11" s="1">
        <v>66.0</v>
      </c>
      <c r="AQ11" s="1">
        <v>66.0</v>
      </c>
      <c r="AR11" s="1">
        <v>66.0</v>
      </c>
      <c r="AS11" s="1">
        <v>66.0</v>
      </c>
      <c r="AT11" s="1">
        <v>67.0</v>
      </c>
      <c r="AU11" s="1">
        <v>67.0</v>
      </c>
      <c r="AV11" s="1">
        <v>67.0</v>
      </c>
      <c r="AW11" s="1">
        <v>67.0</v>
      </c>
      <c r="AX11" s="1">
        <v>67.0</v>
      </c>
      <c r="AY11" s="1">
        <v>68.0</v>
      </c>
      <c r="AZ11" s="1">
        <v>68.0</v>
      </c>
      <c r="BA11" s="1">
        <v>68.0</v>
      </c>
      <c r="BB11" s="1">
        <v>68.0</v>
      </c>
      <c r="BC11" s="1">
        <v>68.0</v>
      </c>
      <c r="BD11" s="1">
        <v>69.0</v>
      </c>
      <c r="BE11" s="1">
        <v>69.0</v>
      </c>
      <c r="BF11" s="1">
        <v>69.0</v>
      </c>
      <c r="BG11" s="1">
        <v>69.0</v>
      </c>
      <c r="BH11" s="1">
        <v>69.0</v>
      </c>
      <c r="BI11" s="1">
        <v>70.0</v>
      </c>
      <c r="BJ11" s="1">
        <v>70.0</v>
      </c>
      <c r="BK11" s="1">
        <v>70.0</v>
      </c>
      <c r="BL11" s="1">
        <v>70.0</v>
      </c>
      <c r="BM11" s="1">
        <v>70.0</v>
      </c>
      <c r="BN11" s="1">
        <v>71.0</v>
      </c>
      <c r="BO11" s="1">
        <v>71.0</v>
      </c>
      <c r="BP11" s="1">
        <v>71.0</v>
      </c>
      <c r="BQ11" s="1">
        <v>71.0</v>
      </c>
      <c r="BR11" s="1">
        <v>72.0</v>
      </c>
      <c r="BS11" s="1">
        <v>72.0</v>
      </c>
      <c r="BT11" s="1">
        <v>72.0</v>
      </c>
      <c r="BU11" s="1">
        <v>72.0</v>
      </c>
      <c r="BV11" s="1">
        <v>4217.0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2400.0</v>
      </c>
      <c r="K12" s="1">
        <v>2407.0</v>
      </c>
      <c r="L12" s="1">
        <v>2414.0</v>
      </c>
      <c r="M12" s="1">
        <v>2421.0</v>
      </c>
      <c r="N12" s="1">
        <v>2428.0</v>
      </c>
      <c r="O12" s="1">
        <v>2435.0</v>
      </c>
      <c r="P12" s="1">
        <v>2443.0</v>
      </c>
      <c r="Q12" s="1">
        <v>2450.0</v>
      </c>
      <c r="R12" s="1">
        <v>2457.0</v>
      </c>
      <c r="S12" s="1">
        <v>2464.0</v>
      </c>
      <c r="T12" s="1">
        <v>2471.0</v>
      </c>
      <c r="U12" s="1">
        <v>2478.0</v>
      </c>
      <c r="V12" s="1">
        <v>2486.0</v>
      </c>
      <c r="W12" s="1">
        <v>2493.0</v>
      </c>
      <c r="X12" s="1">
        <v>2500.0</v>
      </c>
      <c r="Y12" s="1">
        <v>2508.0</v>
      </c>
      <c r="Z12" s="1">
        <v>2515.0</v>
      </c>
      <c r="AA12" s="1">
        <v>2522.0</v>
      </c>
      <c r="AB12" s="1">
        <v>2530.0</v>
      </c>
      <c r="AC12" s="1">
        <v>2537.0</v>
      </c>
      <c r="AD12" s="1">
        <v>2545.0</v>
      </c>
      <c r="AE12" s="1">
        <v>2552.0</v>
      </c>
      <c r="AF12" s="1">
        <v>2560.0</v>
      </c>
      <c r="AG12" s="1">
        <v>2567.0</v>
      </c>
      <c r="AH12" s="1">
        <v>2575.0</v>
      </c>
      <c r="AI12" s="1">
        <v>2582.0</v>
      </c>
      <c r="AJ12" s="1">
        <v>2590.0</v>
      </c>
      <c r="AK12" s="1">
        <v>2597.0</v>
      </c>
      <c r="AL12" s="1">
        <v>2605.0</v>
      </c>
      <c r="AM12" s="1">
        <v>2613.0</v>
      </c>
      <c r="AN12" s="1">
        <v>2620.0</v>
      </c>
      <c r="AO12" s="1">
        <v>2628.0</v>
      </c>
      <c r="AP12" s="1">
        <v>2636.0</v>
      </c>
      <c r="AQ12" s="1">
        <v>2643.0</v>
      </c>
      <c r="AR12" s="1">
        <v>2651.0</v>
      </c>
      <c r="AS12" s="1">
        <v>2659.0</v>
      </c>
      <c r="AT12" s="1">
        <v>2667.0</v>
      </c>
      <c r="AU12" s="1">
        <v>2674.0</v>
      </c>
      <c r="AV12" s="1">
        <v>2682.0</v>
      </c>
      <c r="AW12" s="1">
        <v>2690.0</v>
      </c>
      <c r="AX12" s="1">
        <v>2698.0</v>
      </c>
      <c r="AY12" s="1">
        <v>2706.0</v>
      </c>
      <c r="AZ12" s="1">
        <v>2714.0</v>
      </c>
      <c r="BA12" s="1">
        <v>2722.0</v>
      </c>
      <c r="BB12" s="1">
        <v>2730.0</v>
      </c>
      <c r="BC12" s="1">
        <v>2738.0</v>
      </c>
      <c r="BD12" s="1">
        <v>2746.0</v>
      </c>
      <c r="BE12" s="1">
        <v>2754.0</v>
      </c>
      <c r="BF12" s="1">
        <v>2762.0</v>
      </c>
      <c r="BG12" s="1">
        <v>2770.0</v>
      </c>
      <c r="BH12" s="1">
        <v>2778.0</v>
      </c>
      <c r="BI12" s="1">
        <v>2786.0</v>
      </c>
      <c r="BJ12" s="1">
        <v>2794.0</v>
      </c>
      <c r="BK12" s="1">
        <v>2803.0</v>
      </c>
      <c r="BL12" s="1">
        <v>2811.0</v>
      </c>
      <c r="BM12" s="1">
        <v>2819.0</v>
      </c>
      <c r="BN12" s="1">
        <v>2827.0</v>
      </c>
      <c r="BO12" s="1">
        <v>2836.0</v>
      </c>
      <c r="BP12" s="1">
        <v>2844.0</v>
      </c>
      <c r="BQ12" s="1">
        <v>2852.0</v>
      </c>
      <c r="BR12" s="1">
        <v>2861.0</v>
      </c>
      <c r="BS12" s="1">
        <v>2869.0</v>
      </c>
      <c r="BT12" s="1">
        <v>2877.0</v>
      </c>
      <c r="BU12" s="1">
        <v>2886.0</v>
      </c>
      <c r="BV12" s="1">
        <v>168675.0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720.0</v>
      </c>
      <c r="K13" s="1">
        <v>722.0</v>
      </c>
      <c r="L13" s="1">
        <v>724.0</v>
      </c>
      <c r="M13" s="1">
        <v>726.0</v>
      </c>
      <c r="N13" s="1">
        <v>728.0</v>
      </c>
      <c r="O13" s="1">
        <v>731.0</v>
      </c>
      <c r="P13" s="1">
        <v>733.0</v>
      </c>
      <c r="Q13" s="1">
        <v>735.0</v>
      </c>
      <c r="R13" s="1">
        <v>737.0</v>
      </c>
      <c r="S13" s="1">
        <v>739.0</v>
      </c>
      <c r="T13" s="1">
        <v>741.0</v>
      </c>
      <c r="U13" s="1">
        <v>744.0</v>
      </c>
      <c r="V13" s="1">
        <v>746.0</v>
      </c>
      <c r="W13" s="1">
        <v>748.0</v>
      </c>
      <c r="X13" s="1">
        <v>750.0</v>
      </c>
      <c r="Y13" s="1">
        <v>752.0</v>
      </c>
      <c r="Z13" s="1">
        <v>755.0</v>
      </c>
      <c r="AA13" s="1">
        <v>757.0</v>
      </c>
      <c r="AB13" s="1">
        <v>759.0</v>
      </c>
      <c r="AC13" s="1">
        <v>761.0</v>
      </c>
      <c r="AD13" s="1">
        <v>763.0</v>
      </c>
      <c r="AE13" s="1">
        <v>766.0</v>
      </c>
      <c r="AF13" s="1">
        <v>768.0</v>
      </c>
      <c r="AG13" s="1">
        <v>770.0</v>
      </c>
      <c r="AH13" s="1">
        <v>772.0</v>
      </c>
      <c r="AI13" s="1">
        <v>775.0</v>
      </c>
      <c r="AJ13" s="1">
        <v>777.0</v>
      </c>
      <c r="AK13" s="1">
        <v>779.0</v>
      </c>
      <c r="AL13" s="1">
        <v>781.0</v>
      </c>
      <c r="AM13" s="1">
        <v>784.0</v>
      </c>
      <c r="AN13" s="1">
        <v>786.0</v>
      </c>
      <c r="AO13" s="1">
        <v>788.0</v>
      </c>
      <c r="AP13" s="1">
        <v>791.0</v>
      </c>
      <c r="AQ13" s="1">
        <v>793.0</v>
      </c>
      <c r="AR13" s="1">
        <v>795.0</v>
      </c>
      <c r="AS13" s="1">
        <v>798.0</v>
      </c>
      <c r="AT13" s="1">
        <v>800.0</v>
      </c>
      <c r="AU13" s="1">
        <v>802.0</v>
      </c>
      <c r="AV13" s="1">
        <v>805.0</v>
      </c>
      <c r="AW13" s="1">
        <v>807.0</v>
      </c>
      <c r="AX13" s="1">
        <v>809.0</v>
      </c>
      <c r="AY13" s="1">
        <v>812.0</v>
      </c>
      <c r="AZ13" s="1">
        <v>814.0</v>
      </c>
      <c r="BA13" s="1">
        <v>817.0</v>
      </c>
      <c r="BB13" s="1">
        <v>819.0</v>
      </c>
      <c r="BC13" s="1">
        <v>821.0</v>
      </c>
      <c r="BD13" s="1">
        <v>824.0</v>
      </c>
      <c r="BE13" s="1">
        <v>826.0</v>
      </c>
      <c r="BF13" s="1">
        <v>829.0</v>
      </c>
      <c r="BG13" s="1">
        <v>831.0</v>
      </c>
      <c r="BH13" s="1">
        <v>833.0</v>
      </c>
      <c r="BI13" s="1">
        <v>836.0</v>
      </c>
      <c r="BJ13" s="1">
        <v>838.0</v>
      </c>
      <c r="BK13" s="1">
        <v>841.0</v>
      </c>
      <c r="BL13" s="1">
        <v>843.0</v>
      </c>
      <c r="BM13" s="1">
        <v>846.0</v>
      </c>
      <c r="BN13" s="1">
        <v>848.0</v>
      </c>
      <c r="BO13" s="1">
        <v>851.0</v>
      </c>
      <c r="BP13" s="1">
        <v>853.0</v>
      </c>
      <c r="BQ13" s="1">
        <v>856.0</v>
      </c>
      <c r="BR13" s="1">
        <v>858.0</v>
      </c>
      <c r="BS13" s="1">
        <v>861.0</v>
      </c>
      <c r="BT13" s="1">
        <v>863.0</v>
      </c>
      <c r="BU13" s="1">
        <v>866.0</v>
      </c>
      <c r="BV13" s="1">
        <v>50602.0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720.0</v>
      </c>
      <c r="K15" s="1">
        <v>722.0</v>
      </c>
      <c r="L15" s="1">
        <v>724.0</v>
      </c>
      <c r="M15" s="1">
        <v>726.0</v>
      </c>
      <c r="N15" s="1">
        <v>728.0</v>
      </c>
      <c r="O15" s="1">
        <v>731.0</v>
      </c>
      <c r="P15" s="1">
        <v>733.0</v>
      </c>
      <c r="Q15" s="1">
        <v>735.0</v>
      </c>
      <c r="R15" s="1">
        <v>737.0</v>
      </c>
      <c r="S15" s="1">
        <v>739.0</v>
      </c>
      <c r="T15" s="1">
        <v>741.0</v>
      </c>
      <c r="U15" s="1">
        <v>744.0</v>
      </c>
      <c r="V15" s="1">
        <v>746.0</v>
      </c>
      <c r="W15" s="1">
        <v>748.0</v>
      </c>
      <c r="X15" s="1">
        <v>750.0</v>
      </c>
      <c r="Y15" s="1">
        <v>752.0</v>
      </c>
      <c r="Z15" s="1">
        <v>755.0</v>
      </c>
      <c r="AA15" s="1">
        <v>757.0</v>
      </c>
      <c r="AB15" s="1">
        <v>759.0</v>
      </c>
      <c r="AC15" s="1">
        <v>761.0</v>
      </c>
      <c r="AD15" s="1">
        <v>763.0</v>
      </c>
      <c r="AE15" s="1">
        <v>766.0</v>
      </c>
      <c r="AF15" s="1">
        <v>768.0</v>
      </c>
      <c r="AG15" s="1">
        <v>770.0</v>
      </c>
      <c r="AH15" s="1">
        <v>772.0</v>
      </c>
      <c r="AI15" s="1">
        <v>775.0</v>
      </c>
      <c r="AJ15" s="1">
        <v>777.0</v>
      </c>
      <c r="AK15" s="1">
        <v>779.0</v>
      </c>
      <c r="AL15" s="1">
        <v>781.0</v>
      </c>
      <c r="AM15" s="1">
        <v>784.0</v>
      </c>
      <c r="AN15" s="1">
        <v>786.0</v>
      </c>
      <c r="AO15" s="1">
        <v>788.0</v>
      </c>
      <c r="AP15" s="1">
        <v>791.0</v>
      </c>
      <c r="AQ15" s="1">
        <v>793.0</v>
      </c>
      <c r="AR15" s="1">
        <v>795.0</v>
      </c>
      <c r="AS15" s="1">
        <v>798.0</v>
      </c>
      <c r="AT15" s="1">
        <v>800.0</v>
      </c>
      <c r="AU15" s="1">
        <v>802.0</v>
      </c>
      <c r="AV15" s="1">
        <v>805.0</v>
      </c>
      <c r="AW15" s="1">
        <v>807.0</v>
      </c>
      <c r="AX15" s="1">
        <v>809.0</v>
      </c>
      <c r="AY15" s="1">
        <v>812.0</v>
      </c>
      <c r="AZ15" s="1">
        <v>814.0</v>
      </c>
      <c r="BA15" s="1">
        <v>817.0</v>
      </c>
      <c r="BB15" s="1">
        <v>819.0</v>
      </c>
      <c r="BC15" s="1">
        <v>821.0</v>
      </c>
      <c r="BD15" s="1">
        <v>824.0</v>
      </c>
      <c r="BE15" s="1">
        <v>826.0</v>
      </c>
      <c r="BF15" s="1">
        <v>829.0</v>
      </c>
      <c r="BG15" s="1">
        <v>831.0</v>
      </c>
      <c r="BH15" s="1">
        <v>833.0</v>
      </c>
      <c r="BI15" s="1">
        <v>836.0</v>
      </c>
      <c r="BJ15" s="1">
        <v>838.0</v>
      </c>
      <c r="BK15" s="1">
        <v>841.0</v>
      </c>
      <c r="BL15" s="1">
        <v>843.0</v>
      </c>
      <c r="BM15" s="1">
        <v>846.0</v>
      </c>
      <c r="BN15" s="1">
        <v>848.0</v>
      </c>
      <c r="BO15" s="1">
        <v>851.0</v>
      </c>
      <c r="BP15" s="1">
        <v>853.0</v>
      </c>
      <c r="BQ15" s="1">
        <v>856.0</v>
      </c>
      <c r="BR15" s="1">
        <v>858.0</v>
      </c>
      <c r="BS15" s="1">
        <v>861.0</v>
      </c>
      <c r="BT15" s="1">
        <v>863.0</v>
      </c>
      <c r="BU15" s="1">
        <v>866.0</v>
      </c>
      <c r="BV15" s="1">
        <v>50602.0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1680.0</v>
      </c>
      <c r="K16" s="1">
        <v>1685.0</v>
      </c>
      <c r="L16" s="1">
        <v>1690.0</v>
      </c>
      <c r="M16" s="1">
        <v>1695.0</v>
      </c>
      <c r="N16" s="1">
        <v>1700.0</v>
      </c>
      <c r="O16" s="1">
        <v>1705.0</v>
      </c>
      <c r="P16" s="1">
        <v>1710.0</v>
      </c>
      <c r="Q16" s="1">
        <v>1715.0</v>
      </c>
      <c r="R16" s="1">
        <v>1720.0</v>
      </c>
      <c r="S16" s="1">
        <v>1725.0</v>
      </c>
      <c r="T16" s="1">
        <v>1730.0</v>
      </c>
      <c r="U16" s="1">
        <v>1735.0</v>
      </c>
      <c r="V16" s="1">
        <v>1740.0</v>
      </c>
      <c r="W16" s="1">
        <v>1745.0</v>
      </c>
      <c r="X16" s="1">
        <v>1750.0</v>
      </c>
      <c r="Y16" s="1">
        <v>1755.0</v>
      </c>
      <c r="Z16" s="1">
        <v>1761.0</v>
      </c>
      <c r="AA16" s="1">
        <v>1766.0</v>
      </c>
      <c r="AB16" s="1">
        <v>1771.0</v>
      </c>
      <c r="AC16" s="1">
        <v>1776.0</v>
      </c>
      <c r="AD16" s="1">
        <v>1781.0</v>
      </c>
      <c r="AE16" s="1">
        <v>1786.0</v>
      </c>
      <c r="AF16" s="1">
        <v>1792.0</v>
      </c>
      <c r="AG16" s="1">
        <v>1797.0</v>
      </c>
      <c r="AH16" s="1">
        <v>1802.0</v>
      </c>
      <c r="AI16" s="1">
        <v>1807.0</v>
      </c>
      <c r="AJ16" s="1">
        <v>1813.0</v>
      </c>
      <c r="AK16" s="1">
        <v>1818.0</v>
      </c>
      <c r="AL16" s="1">
        <v>1823.0</v>
      </c>
      <c r="AM16" s="1">
        <v>1829.0</v>
      </c>
      <c r="AN16" s="1">
        <v>1834.0</v>
      </c>
      <c r="AO16" s="1">
        <v>1839.0</v>
      </c>
      <c r="AP16" s="1">
        <v>1845.0</v>
      </c>
      <c r="AQ16" s="1">
        <v>1850.0</v>
      </c>
      <c r="AR16" s="1">
        <v>1856.0</v>
      </c>
      <c r="AS16" s="1">
        <v>1861.0</v>
      </c>
      <c r="AT16" s="1">
        <v>1867.0</v>
      </c>
      <c r="AU16" s="1">
        <v>1872.0</v>
      </c>
      <c r="AV16" s="1">
        <v>1878.0</v>
      </c>
      <c r="AW16" s="1">
        <v>1883.0</v>
      </c>
      <c r="AX16" s="1">
        <v>1889.0</v>
      </c>
      <c r="AY16" s="1">
        <v>1894.0</v>
      </c>
      <c r="AZ16" s="1">
        <v>1900.0</v>
      </c>
      <c r="BA16" s="1">
        <v>1905.0</v>
      </c>
      <c r="BB16" s="1">
        <v>1911.0</v>
      </c>
      <c r="BC16" s="1">
        <v>1916.0</v>
      </c>
      <c r="BD16" s="1">
        <v>1922.0</v>
      </c>
      <c r="BE16" s="1">
        <v>1928.0</v>
      </c>
      <c r="BF16" s="1">
        <v>1933.0</v>
      </c>
      <c r="BG16" s="1">
        <v>1939.0</v>
      </c>
      <c r="BH16" s="1">
        <v>1945.0</v>
      </c>
      <c r="BI16" s="1">
        <v>1950.0</v>
      </c>
      <c r="BJ16" s="1">
        <v>1956.0</v>
      </c>
      <c r="BK16" s="1">
        <v>1962.0</v>
      </c>
      <c r="BL16" s="1">
        <v>1968.0</v>
      </c>
      <c r="BM16" s="1">
        <v>1973.0</v>
      </c>
      <c r="BN16" s="1">
        <v>1979.0</v>
      </c>
      <c r="BO16" s="1">
        <v>1985.0</v>
      </c>
      <c r="BP16" s="1">
        <v>1991.0</v>
      </c>
      <c r="BQ16" s="1">
        <v>1997.0</v>
      </c>
      <c r="BR16" s="1">
        <v>2002.0</v>
      </c>
      <c r="BS16" s="1">
        <v>2008.0</v>
      </c>
      <c r="BT16" s="1">
        <v>2014.0</v>
      </c>
      <c r="BU16" s="1">
        <v>2020.0</v>
      </c>
      <c r="BV16" s="1">
        <v>118072.0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205</v>
      </c>
    </row>
    <row r="2">
      <c r="A2" s="1" t="s">
        <v>186</v>
      </c>
    </row>
    <row r="3">
      <c r="A3" s="1" t="s">
        <v>201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20000.0</v>
      </c>
      <c r="N6" s="1">
        <v>20059.0</v>
      </c>
      <c r="O6" s="1">
        <v>20117.0</v>
      </c>
      <c r="P6" s="1">
        <v>20176.0</v>
      </c>
      <c r="Q6" s="1">
        <v>20235.0</v>
      </c>
      <c r="R6" s="1">
        <v>20295.0</v>
      </c>
      <c r="S6" s="1">
        <v>20354.0</v>
      </c>
      <c r="T6" s="1">
        <v>20414.0</v>
      </c>
      <c r="U6" s="1">
        <v>20474.0</v>
      </c>
      <c r="V6" s="1">
        <v>20534.0</v>
      </c>
      <c r="W6" s="1">
        <v>20594.0</v>
      </c>
      <c r="X6" s="1">
        <v>20654.0</v>
      </c>
      <c r="Y6" s="1">
        <v>20715.0</v>
      </c>
      <c r="Z6" s="1">
        <v>20775.0</v>
      </c>
      <c r="AA6" s="1">
        <v>20836.0</v>
      </c>
      <c r="AB6" s="1">
        <v>20897.0</v>
      </c>
      <c r="AC6" s="1">
        <v>20958.0</v>
      </c>
      <c r="AD6" s="1">
        <v>21020.0</v>
      </c>
      <c r="AE6" s="1">
        <v>21081.0</v>
      </c>
      <c r="AF6" s="1">
        <v>21143.0</v>
      </c>
      <c r="AG6" s="1">
        <v>21205.0</v>
      </c>
      <c r="AH6" s="1">
        <v>21267.0</v>
      </c>
      <c r="AI6" s="1">
        <v>21330.0</v>
      </c>
      <c r="AJ6" s="1">
        <v>21392.0</v>
      </c>
      <c r="AK6" s="1">
        <v>21455.0</v>
      </c>
      <c r="AL6" s="1">
        <v>21518.0</v>
      </c>
      <c r="AM6" s="1">
        <v>21581.0</v>
      </c>
      <c r="AN6" s="1">
        <v>21644.0</v>
      </c>
      <c r="AO6" s="1">
        <v>21707.0</v>
      </c>
      <c r="AP6" s="1">
        <v>21771.0</v>
      </c>
      <c r="AQ6" s="1">
        <v>21835.0</v>
      </c>
      <c r="AR6" s="1">
        <v>21899.0</v>
      </c>
      <c r="AS6" s="1">
        <v>21963.0</v>
      </c>
      <c r="AT6" s="1">
        <v>22027.0</v>
      </c>
      <c r="AU6" s="1">
        <v>22092.0</v>
      </c>
      <c r="AV6" s="1">
        <v>22157.0</v>
      </c>
      <c r="AW6" s="1">
        <v>22221.0</v>
      </c>
      <c r="AX6" s="1">
        <v>22287.0</v>
      </c>
      <c r="AY6" s="1">
        <v>22352.0</v>
      </c>
      <c r="AZ6" s="1">
        <v>22417.0</v>
      </c>
      <c r="BA6" s="1">
        <v>22483.0</v>
      </c>
      <c r="BB6" s="1">
        <v>22549.0</v>
      </c>
      <c r="BC6" s="1">
        <v>22615.0</v>
      </c>
      <c r="BD6" s="1">
        <v>22681.0</v>
      </c>
      <c r="BE6" s="1">
        <v>22748.0</v>
      </c>
      <c r="BF6" s="1">
        <v>22814.0</v>
      </c>
      <c r="BG6" s="1">
        <v>22881.0</v>
      </c>
      <c r="BH6" s="1">
        <v>22948.0</v>
      </c>
      <c r="BI6" s="1">
        <v>23015.0</v>
      </c>
      <c r="BJ6" s="1">
        <v>23083.0</v>
      </c>
      <c r="BK6" s="1">
        <v>23151.0</v>
      </c>
      <c r="BL6" s="1">
        <v>23218.0</v>
      </c>
      <c r="BM6" s="1">
        <v>23286.0</v>
      </c>
      <c r="BN6" s="1">
        <v>23355.0</v>
      </c>
      <c r="BO6" s="1">
        <v>23423.0</v>
      </c>
      <c r="BP6" s="1">
        <v>23492.0</v>
      </c>
      <c r="BQ6" s="1">
        <v>23561.0</v>
      </c>
      <c r="BR6" s="1">
        <v>23630.0</v>
      </c>
      <c r="BS6" s="1">
        <v>23699.0</v>
      </c>
      <c r="BT6" s="1">
        <v>23768.0</v>
      </c>
      <c r="BU6" s="1">
        <v>23838.0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140.0</v>
      </c>
      <c r="O7" s="1">
        <v>140.0</v>
      </c>
      <c r="P7" s="1">
        <v>141.0</v>
      </c>
      <c r="Q7" s="1">
        <v>141.0</v>
      </c>
      <c r="R7" s="1">
        <v>142.0</v>
      </c>
      <c r="S7" s="1">
        <v>142.0</v>
      </c>
      <c r="T7" s="1">
        <v>142.0</v>
      </c>
      <c r="U7" s="1">
        <v>143.0</v>
      </c>
      <c r="V7" s="1">
        <v>143.0</v>
      </c>
      <c r="W7" s="1">
        <v>144.0</v>
      </c>
      <c r="X7" s="1">
        <v>144.0</v>
      </c>
      <c r="Y7" s="1">
        <v>145.0</v>
      </c>
      <c r="Z7" s="1">
        <v>145.0</v>
      </c>
      <c r="AA7" s="1">
        <v>145.0</v>
      </c>
      <c r="AB7" s="1">
        <v>146.0</v>
      </c>
      <c r="AC7" s="1">
        <v>146.0</v>
      </c>
      <c r="AD7" s="1">
        <v>147.0</v>
      </c>
      <c r="AE7" s="1">
        <v>147.0</v>
      </c>
      <c r="AF7" s="1">
        <v>148.0</v>
      </c>
      <c r="AG7" s="1">
        <v>148.0</v>
      </c>
      <c r="AH7" s="1">
        <v>148.0</v>
      </c>
      <c r="AI7" s="1">
        <v>149.0</v>
      </c>
      <c r="AJ7" s="1">
        <v>149.0</v>
      </c>
      <c r="AK7" s="1">
        <v>150.0</v>
      </c>
      <c r="AL7" s="1">
        <v>150.0</v>
      </c>
      <c r="AM7" s="1">
        <v>151.0</v>
      </c>
      <c r="AN7" s="1">
        <v>151.0</v>
      </c>
      <c r="AO7" s="1">
        <v>152.0</v>
      </c>
      <c r="AP7" s="1">
        <v>152.0</v>
      </c>
      <c r="AQ7" s="1">
        <v>152.0</v>
      </c>
      <c r="AR7" s="1">
        <v>153.0</v>
      </c>
      <c r="AS7" s="1">
        <v>153.0</v>
      </c>
      <c r="AT7" s="1">
        <v>154.0</v>
      </c>
      <c r="AU7" s="1">
        <v>154.0</v>
      </c>
      <c r="AV7" s="1">
        <v>155.0</v>
      </c>
      <c r="AW7" s="1">
        <v>155.0</v>
      </c>
      <c r="AX7" s="1">
        <v>156.0</v>
      </c>
      <c r="AY7" s="1">
        <v>156.0</v>
      </c>
      <c r="AZ7" s="1">
        <v>156.0</v>
      </c>
      <c r="BA7" s="1">
        <v>157.0</v>
      </c>
      <c r="BB7" s="1">
        <v>157.0</v>
      </c>
      <c r="BC7" s="1">
        <v>158.0</v>
      </c>
      <c r="BD7" s="1">
        <v>158.0</v>
      </c>
      <c r="BE7" s="1">
        <v>159.0</v>
      </c>
      <c r="BF7" s="1">
        <v>159.0</v>
      </c>
      <c r="BG7" s="1">
        <v>160.0</v>
      </c>
      <c r="BH7" s="1">
        <v>160.0</v>
      </c>
      <c r="BI7" s="1">
        <v>161.0</v>
      </c>
      <c r="BJ7" s="1">
        <v>161.0</v>
      </c>
      <c r="BK7" s="1">
        <v>162.0</v>
      </c>
      <c r="BL7" s="1">
        <v>162.0</v>
      </c>
      <c r="BM7" s="1">
        <v>163.0</v>
      </c>
      <c r="BN7" s="1">
        <v>163.0</v>
      </c>
      <c r="BO7" s="1">
        <v>163.0</v>
      </c>
      <c r="BP7" s="1">
        <v>164.0</v>
      </c>
      <c r="BQ7" s="1">
        <v>164.0</v>
      </c>
      <c r="BR7" s="1">
        <v>165.0</v>
      </c>
      <c r="BS7" s="1">
        <v>165.0</v>
      </c>
      <c r="BT7" s="1">
        <v>166.0</v>
      </c>
      <c r="BU7" s="1">
        <v>166.0</v>
      </c>
      <c r="BV7" s="1">
        <v>9169.0</v>
      </c>
    </row>
    <row r="8">
      <c r="A8" s="1" t="s">
        <v>145</v>
      </c>
      <c r="B8" s="1">
        <v>1.5</v>
      </c>
      <c r="C8" s="1">
        <v>1.5</v>
      </c>
      <c r="D8" s="1">
        <v>1.5</v>
      </c>
      <c r="E8" s="1">
        <v>1.5</v>
      </c>
      <c r="F8" s="1">
        <v>1.5</v>
      </c>
      <c r="G8" s="1">
        <v>1.5</v>
      </c>
      <c r="H8" s="1">
        <v>1.5</v>
      </c>
      <c r="I8" s="1">
        <v>1.5</v>
      </c>
      <c r="J8" s="1">
        <v>1.5</v>
      </c>
      <c r="K8" s="1">
        <v>1.5</v>
      </c>
      <c r="L8" s="1">
        <v>1.5</v>
      </c>
      <c r="M8" s="1">
        <v>1.5</v>
      </c>
      <c r="N8" s="1">
        <v>1.5</v>
      </c>
      <c r="O8" s="1">
        <v>1.5</v>
      </c>
      <c r="P8" s="1">
        <v>1.5</v>
      </c>
      <c r="Q8" s="1">
        <v>1.5</v>
      </c>
      <c r="R8" s="1">
        <v>1.5</v>
      </c>
      <c r="S8" s="1">
        <v>1.5</v>
      </c>
      <c r="T8" s="1">
        <v>1.5</v>
      </c>
      <c r="U8" s="1">
        <v>1.5</v>
      </c>
      <c r="V8" s="1">
        <v>1.5</v>
      </c>
      <c r="W8" s="1">
        <v>1.5</v>
      </c>
      <c r="X8" s="1">
        <v>1.5</v>
      </c>
      <c r="Y8" s="1">
        <v>1.5</v>
      </c>
      <c r="Z8" s="1">
        <v>1.5</v>
      </c>
      <c r="AA8" s="1">
        <v>1.5</v>
      </c>
      <c r="AB8" s="1">
        <v>1.5</v>
      </c>
      <c r="AC8" s="1">
        <v>1.5</v>
      </c>
      <c r="AD8" s="1">
        <v>1.5</v>
      </c>
      <c r="AE8" s="1">
        <v>1.5</v>
      </c>
      <c r="AF8" s="1">
        <v>1.5</v>
      </c>
      <c r="AG8" s="1">
        <v>1.5</v>
      </c>
      <c r="AH8" s="1">
        <v>1.5</v>
      </c>
      <c r="AI8" s="1">
        <v>1.5</v>
      </c>
      <c r="AJ8" s="1">
        <v>1.5</v>
      </c>
      <c r="AK8" s="1">
        <v>1.5</v>
      </c>
      <c r="AL8" s="1">
        <v>1.5</v>
      </c>
      <c r="AM8" s="1">
        <v>1.5</v>
      </c>
      <c r="AN8" s="1">
        <v>1.5</v>
      </c>
      <c r="AO8" s="1">
        <v>1.5</v>
      </c>
      <c r="AP8" s="1">
        <v>1.5</v>
      </c>
      <c r="AQ8" s="1">
        <v>1.5</v>
      </c>
      <c r="AR8" s="1">
        <v>1.5</v>
      </c>
      <c r="AS8" s="1">
        <v>1.5</v>
      </c>
      <c r="AT8" s="1">
        <v>1.5</v>
      </c>
      <c r="AU8" s="1">
        <v>1.5</v>
      </c>
      <c r="AV8" s="1">
        <v>1.5</v>
      </c>
      <c r="AW8" s="1">
        <v>1.5</v>
      </c>
      <c r="AX8" s="1">
        <v>1.5</v>
      </c>
      <c r="AY8" s="1">
        <v>1.5</v>
      </c>
      <c r="AZ8" s="1">
        <v>1.5</v>
      </c>
      <c r="BA8" s="1">
        <v>1.5</v>
      </c>
      <c r="BB8" s="1">
        <v>1.5</v>
      </c>
      <c r="BC8" s="1">
        <v>1.5</v>
      </c>
      <c r="BD8" s="1">
        <v>1.5</v>
      </c>
      <c r="BE8" s="1">
        <v>1.5</v>
      </c>
      <c r="BF8" s="1">
        <v>1.5</v>
      </c>
      <c r="BG8" s="1">
        <v>1.5</v>
      </c>
      <c r="BH8" s="1">
        <v>1.5</v>
      </c>
      <c r="BI8" s="1">
        <v>1.5</v>
      </c>
      <c r="BJ8" s="1">
        <v>1.5</v>
      </c>
      <c r="BK8" s="1">
        <v>1.5</v>
      </c>
      <c r="BL8" s="1">
        <v>1.5</v>
      </c>
      <c r="BM8" s="1">
        <v>1.5</v>
      </c>
      <c r="BN8" s="1">
        <v>1.5</v>
      </c>
      <c r="BO8" s="1">
        <v>1.5</v>
      </c>
      <c r="BP8" s="1">
        <v>1.5</v>
      </c>
      <c r="BQ8" s="1">
        <v>1.5</v>
      </c>
      <c r="BR8" s="1">
        <v>1.5</v>
      </c>
      <c r="BS8" s="1">
        <v>1.5</v>
      </c>
      <c r="BT8" s="1">
        <v>1.5</v>
      </c>
      <c r="BU8" s="1">
        <v>1.5</v>
      </c>
    </row>
    <row r="9">
      <c r="A9" s="1" t="s">
        <v>146</v>
      </c>
      <c r="B9" s="1">
        <v>70.0</v>
      </c>
      <c r="C9" s="1">
        <v>70.0</v>
      </c>
      <c r="D9" s="1">
        <v>70.0</v>
      </c>
      <c r="E9" s="1">
        <v>70.0</v>
      </c>
      <c r="F9" s="1">
        <v>70.0</v>
      </c>
      <c r="G9" s="1">
        <v>70.0</v>
      </c>
      <c r="H9" s="1">
        <v>70.0</v>
      </c>
      <c r="I9" s="1">
        <v>70.0</v>
      </c>
      <c r="J9" s="1">
        <v>70.0</v>
      </c>
      <c r="K9" s="1">
        <v>70.0</v>
      </c>
      <c r="L9" s="1">
        <v>70.0</v>
      </c>
      <c r="M9" s="1">
        <v>70.0</v>
      </c>
      <c r="N9" s="1">
        <v>70.0</v>
      </c>
      <c r="O9" s="1">
        <v>70.0</v>
      </c>
      <c r="P9" s="1">
        <v>70.0</v>
      </c>
      <c r="Q9" s="1">
        <v>70.0</v>
      </c>
      <c r="R9" s="1">
        <v>70.0</v>
      </c>
      <c r="S9" s="1">
        <v>70.0</v>
      </c>
      <c r="T9" s="1">
        <v>70.0</v>
      </c>
      <c r="U9" s="1">
        <v>70.0</v>
      </c>
      <c r="V9" s="1">
        <v>70.0</v>
      </c>
      <c r="W9" s="1">
        <v>70.0</v>
      </c>
      <c r="X9" s="1">
        <v>70.0</v>
      </c>
      <c r="Y9" s="1">
        <v>70.0</v>
      </c>
      <c r="Z9" s="1">
        <v>70.0</v>
      </c>
      <c r="AA9" s="1">
        <v>70.0</v>
      </c>
      <c r="AB9" s="1">
        <v>70.0</v>
      </c>
      <c r="AC9" s="1">
        <v>70.0</v>
      </c>
      <c r="AD9" s="1">
        <v>70.0</v>
      </c>
      <c r="AE9" s="1">
        <v>70.0</v>
      </c>
      <c r="AF9" s="1">
        <v>70.0</v>
      </c>
      <c r="AG9" s="1">
        <v>70.0</v>
      </c>
      <c r="AH9" s="1">
        <v>70.0</v>
      </c>
      <c r="AI9" s="1">
        <v>70.0</v>
      </c>
      <c r="AJ9" s="1">
        <v>70.0</v>
      </c>
      <c r="AK9" s="1">
        <v>70.0</v>
      </c>
      <c r="AL9" s="1">
        <v>70.0</v>
      </c>
      <c r="AM9" s="1">
        <v>70.0</v>
      </c>
      <c r="AN9" s="1">
        <v>70.0</v>
      </c>
      <c r="AO9" s="1">
        <v>70.0</v>
      </c>
      <c r="AP9" s="1">
        <v>70.0</v>
      </c>
      <c r="AQ9" s="1">
        <v>70.0</v>
      </c>
      <c r="AR9" s="1">
        <v>70.0</v>
      </c>
      <c r="AS9" s="1">
        <v>70.0</v>
      </c>
      <c r="AT9" s="1">
        <v>70.0</v>
      </c>
      <c r="AU9" s="1">
        <v>70.0</v>
      </c>
      <c r="AV9" s="1">
        <v>70.0</v>
      </c>
      <c r="AW9" s="1">
        <v>70.0</v>
      </c>
      <c r="AX9" s="1">
        <v>70.0</v>
      </c>
      <c r="AY9" s="1">
        <v>70.0</v>
      </c>
      <c r="AZ9" s="1">
        <v>70.0</v>
      </c>
      <c r="BA9" s="1">
        <v>70.0</v>
      </c>
      <c r="BB9" s="1">
        <v>70.0</v>
      </c>
      <c r="BC9" s="1">
        <v>70.0</v>
      </c>
      <c r="BD9" s="1">
        <v>70.0</v>
      </c>
      <c r="BE9" s="1">
        <v>70.0</v>
      </c>
      <c r="BF9" s="1">
        <v>70.0</v>
      </c>
      <c r="BG9" s="1">
        <v>70.0</v>
      </c>
      <c r="BH9" s="1">
        <v>70.0</v>
      </c>
      <c r="BI9" s="1">
        <v>70.0</v>
      </c>
      <c r="BJ9" s="1">
        <v>70.0</v>
      </c>
      <c r="BK9" s="1">
        <v>70.0</v>
      </c>
      <c r="BL9" s="1">
        <v>70.0</v>
      </c>
      <c r="BM9" s="1">
        <v>70.0</v>
      </c>
      <c r="BN9" s="1">
        <v>70.0</v>
      </c>
      <c r="BO9" s="1">
        <v>70.0</v>
      </c>
      <c r="BP9" s="1">
        <v>70.0</v>
      </c>
      <c r="BQ9" s="1">
        <v>70.0</v>
      </c>
      <c r="BR9" s="1">
        <v>70.0</v>
      </c>
      <c r="BS9" s="1">
        <v>70.0</v>
      </c>
      <c r="BT9" s="1">
        <v>70.0</v>
      </c>
      <c r="BU9" s="1">
        <v>70.0</v>
      </c>
      <c r="BV9" s="1" t="s">
        <v>181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300.0</v>
      </c>
      <c r="N11" s="1">
        <v>301.0</v>
      </c>
      <c r="O11" s="1">
        <v>302.0</v>
      </c>
      <c r="P11" s="1">
        <v>303.0</v>
      </c>
      <c r="Q11" s="1">
        <v>304.0</v>
      </c>
      <c r="R11" s="1">
        <v>304.0</v>
      </c>
      <c r="S11" s="1">
        <v>305.0</v>
      </c>
      <c r="T11" s="1">
        <v>306.0</v>
      </c>
      <c r="U11" s="1">
        <v>307.0</v>
      </c>
      <c r="V11" s="1">
        <v>308.0</v>
      </c>
      <c r="W11" s="1">
        <v>309.0</v>
      </c>
      <c r="X11" s="1">
        <v>310.0</v>
      </c>
      <c r="Y11" s="1">
        <v>311.0</v>
      </c>
      <c r="Z11" s="1">
        <v>312.0</v>
      </c>
      <c r="AA11" s="1">
        <v>313.0</v>
      </c>
      <c r="AB11" s="1">
        <v>313.0</v>
      </c>
      <c r="AC11" s="1">
        <v>314.0</v>
      </c>
      <c r="AD11" s="1">
        <v>315.0</v>
      </c>
      <c r="AE11" s="1">
        <v>316.0</v>
      </c>
      <c r="AF11" s="1">
        <v>317.0</v>
      </c>
      <c r="AG11" s="1">
        <v>318.0</v>
      </c>
      <c r="AH11" s="1">
        <v>319.0</v>
      </c>
      <c r="AI11" s="1">
        <v>320.0</v>
      </c>
      <c r="AJ11" s="1">
        <v>321.0</v>
      </c>
      <c r="AK11" s="1">
        <v>322.0</v>
      </c>
      <c r="AL11" s="1">
        <v>323.0</v>
      </c>
      <c r="AM11" s="1">
        <v>324.0</v>
      </c>
      <c r="AN11" s="1">
        <v>325.0</v>
      </c>
      <c r="AO11" s="1">
        <v>326.0</v>
      </c>
      <c r="AP11" s="1">
        <v>327.0</v>
      </c>
      <c r="AQ11" s="1">
        <v>328.0</v>
      </c>
      <c r="AR11" s="1">
        <v>328.0</v>
      </c>
      <c r="AS11" s="1">
        <v>329.0</v>
      </c>
      <c r="AT11" s="1">
        <v>330.0</v>
      </c>
      <c r="AU11" s="1">
        <v>331.0</v>
      </c>
      <c r="AV11" s="1">
        <v>332.0</v>
      </c>
      <c r="AW11" s="1">
        <v>333.0</v>
      </c>
      <c r="AX11" s="1">
        <v>334.0</v>
      </c>
      <c r="AY11" s="1">
        <v>335.0</v>
      </c>
      <c r="AZ11" s="1">
        <v>336.0</v>
      </c>
      <c r="BA11" s="1">
        <v>337.0</v>
      </c>
      <c r="BB11" s="1">
        <v>338.0</v>
      </c>
      <c r="BC11" s="1">
        <v>339.0</v>
      </c>
      <c r="BD11" s="1">
        <v>340.0</v>
      </c>
      <c r="BE11" s="1">
        <v>341.0</v>
      </c>
      <c r="BF11" s="1">
        <v>342.0</v>
      </c>
      <c r="BG11" s="1">
        <v>343.0</v>
      </c>
      <c r="BH11" s="1">
        <v>344.0</v>
      </c>
      <c r="BI11" s="1">
        <v>345.0</v>
      </c>
      <c r="BJ11" s="1">
        <v>346.0</v>
      </c>
      <c r="BK11" s="1">
        <v>347.0</v>
      </c>
      <c r="BL11" s="1">
        <v>348.0</v>
      </c>
      <c r="BM11" s="1">
        <v>349.0</v>
      </c>
      <c r="BN11" s="1">
        <v>350.0</v>
      </c>
      <c r="BO11" s="1">
        <v>351.0</v>
      </c>
      <c r="BP11" s="1">
        <v>352.0</v>
      </c>
      <c r="BQ11" s="1">
        <v>353.0</v>
      </c>
      <c r="BR11" s="1">
        <v>354.0</v>
      </c>
      <c r="BS11" s="1">
        <v>355.0</v>
      </c>
      <c r="BT11" s="1">
        <v>357.0</v>
      </c>
      <c r="BU11" s="1">
        <v>358.0</v>
      </c>
      <c r="BV11" s="1">
        <v>20005.0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21000.0</v>
      </c>
      <c r="N12" s="1">
        <v>21062.0</v>
      </c>
      <c r="O12" s="1">
        <v>21123.0</v>
      </c>
      <c r="P12" s="1">
        <v>21185.0</v>
      </c>
      <c r="Q12" s="1">
        <v>21247.0</v>
      </c>
      <c r="R12" s="1">
        <v>21309.0</v>
      </c>
      <c r="S12" s="1">
        <v>21372.0</v>
      </c>
      <c r="T12" s="1">
        <v>21435.0</v>
      </c>
      <c r="U12" s="1">
        <v>21497.0</v>
      </c>
      <c r="V12" s="1">
        <v>21560.0</v>
      </c>
      <c r="W12" s="1">
        <v>21623.0</v>
      </c>
      <c r="X12" s="1">
        <v>21687.0</v>
      </c>
      <c r="Y12" s="1">
        <v>21750.0</v>
      </c>
      <c r="Z12" s="1">
        <v>21814.0</v>
      </c>
      <c r="AA12" s="1">
        <v>21878.0</v>
      </c>
      <c r="AB12" s="1">
        <v>21942.0</v>
      </c>
      <c r="AC12" s="1">
        <v>22006.0</v>
      </c>
      <c r="AD12" s="1">
        <v>22071.0</v>
      </c>
      <c r="AE12" s="1">
        <v>22136.0</v>
      </c>
      <c r="AF12" s="1">
        <v>22200.0</v>
      </c>
      <c r="AG12" s="1">
        <v>22265.0</v>
      </c>
      <c r="AH12" s="1">
        <v>22331.0</v>
      </c>
      <c r="AI12" s="1">
        <v>22396.0</v>
      </c>
      <c r="AJ12" s="1">
        <v>22462.0</v>
      </c>
      <c r="AK12" s="1">
        <v>22528.0</v>
      </c>
      <c r="AL12" s="1">
        <v>22594.0</v>
      </c>
      <c r="AM12" s="1">
        <v>22660.0</v>
      </c>
      <c r="AN12" s="1">
        <v>22726.0</v>
      </c>
      <c r="AO12" s="1">
        <v>22793.0</v>
      </c>
      <c r="AP12" s="1">
        <v>22860.0</v>
      </c>
      <c r="AQ12" s="1">
        <v>22927.0</v>
      </c>
      <c r="AR12" s="1">
        <v>22994.0</v>
      </c>
      <c r="AS12" s="1">
        <v>23061.0</v>
      </c>
      <c r="AT12" s="1">
        <v>23129.0</v>
      </c>
      <c r="AU12" s="1">
        <v>23196.0</v>
      </c>
      <c r="AV12" s="1">
        <v>23264.0</v>
      </c>
      <c r="AW12" s="1">
        <v>23333.0</v>
      </c>
      <c r="AX12" s="1">
        <v>23401.0</v>
      </c>
      <c r="AY12" s="1">
        <v>23469.0</v>
      </c>
      <c r="AZ12" s="1">
        <v>23538.0</v>
      </c>
      <c r="BA12" s="1">
        <v>23607.0</v>
      </c>
      <c r="BB12" s="1">
        <v>23676.0</v>
      </c>
      <c r="BC12" s="1">
        <v>23746.0</v>
      </c>
      <c r="BD12" s="1">
        <v>23815.0</v>
      </c>
      <c r="BE12" s="1">
        <v>23885.0</v>
      </c>
      <c r="BF12" s="1">
        <v>23955.0</v>
      </c>
      <c r="BG12" s="1">
        <v>24025.0</v>
      </c>
      <c r="BH12" s="1">
        <v>24096.0</v>
      </c>
      <c r="BI12" s="1">
        <v>24166.0</v>
      </c>
      <c r="BJ12" s="1">
        <v>24237.0</v>
      </c>
      <c r="BK12" s="1">
        <v>24308.0</v>
      </c>
      <c r="BL12" s="1">
        <v>24379.0</v>
      </c>
      <c r="BM12" s="1">
        <v>24451.0</v>
      </c>
      <c r="BN12" s="1">
        <v>24522.0</v>
      </c>
      <c r="BO12" s="1">
        <v>24594.0</v>
      </c>
      <c r="BP12" s="1">
        <v>24666.0</v>
      </c>
      <c r="BQ12" s="1">
        <v>24739.0</v>
      </c>
      <c r="BR12" s="1">
        <v>24811.0</v>
      </c>
      <c r="BS12" s="1">
        <v>24884.0</v>
      </c>
      <c r="BT12" s="1">
        <v>24957.0</v>
      </c>
      <c r="BU12" s="1">
        <v>25030.0</v>
      </c>
      <c r="BV12" s="1">
        <v>1400373.0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6300.0</v>
      </c>
      <c r="N13" s="1">
        <v>6318.0</v>
      </c>
      <c r="O13" s="1">
        <v>6337.0</v>
      </c>
      <c r="P13" s="1">
        <v>6356.0</v>
      </c>
      <c r="Q13" s="1">
        <v>6374.0</v>
      </c>
      <c r="R13" s="1">
        <v>6393.0</v>
      </c>
      <c r="S13" s="1">
        <v>6412.0</v>
      </c>
      <c r="T13" s="1">
        <v>6430.0</v>
      </c>
      <c r="U13" s="1">
        <v>6449.0</v>
      </c>
      <c r="V13" s="1">
        <v>6468.0</v>
      </c>
      <c r="W13" s="1">
        <v>6487.0</v>
      </c>
      <c r="X13" s="1">
        <v>6506.0</v>
      </c>
      <c r="Y13" s="1">
        <v>6525.0</v>
      </c>
      <c r="Z13" s="1">
        <v>6544.0</v>
      </c>
      <c r="AA13" s="1">
        <v>6563.0</v>
      </c>
      <c r="AB13" s="1">
        <v>6583.0</v>
      </c>
      <c r="AC13" s="1">
        <v>6602.0</v>
      </c>
      <c r="AD13" s="1">
        <v>6621.0</v>
      </c>
      <c r="AE13" s="1">
        <v>6641.0</v>
      </c>
      <c r="AF13" s="1">
        <v>6660.0</v>
      </c>
      <c r="AG13" s="1">
        <v>6680.0</v>
      </c>
      <c r="AH13" s="1">
        <v>6699.0</v>
      </c>
      <c r="AI13" s="1">
        <v>6719.0</v>
      </c>
      <c r="AJ13" s="1">
        <v>6739.0</v>
      </c>
      <c r="AK13" s="1">
        <v>6758.0</v>
      </c>
      <c r="AL13" s="1">
        <v>6778.0</v>
      </c>
      <c r="AM13" s="1">
        <v>6798.0</v>
      </c>
      <c r="AN13" s="1">
        <v>6818.0</v>
      </c>
      <c r="AO13" s="1">
        <v>6838.0</v>
      </c>
      <c r="AP13" s="1">
        <v>6858.0</v>
      </c>
      <c r="AQ13" s="1">
        <v>6878.0</v>
      </c>
      <c r="AR13" s="1">
        <v>6898.0</v>
      </c>
      <c r="AS13" s="1">
        <v>6918.0</v>
      </c>
      <c r="AT13" s="1">
        <v>6939.0</v>
      </c>
      <c r="AU13" s="1">
        <v>6959.0</v>
      </c>
      <c r="AV13" s="1">
        <v>6979.0</v>
      </c>
      <c r="AW13" s="1">
        <v>7000.0</v>
      </c>
      <c r="AX13" s="1">
        <v>7020.0</v>
      </c>
      <c r="AY13" s="1">
        <v>7041.0</v>
      </c>
      <c r="AZ13" s="1">
        <v>7061.0</v>
      </c>
      <c r="BA13" s="1">
        <v>7082.0</v>
      </c>
      <c r="BB13" s="1">
        <v>7103.0</v>
      </c>
      <c r="BC13" s="1">
        <v>7124.0</v>
      </c>
      <c r="BD13" s="1">
        <v>7145.0</v>
      </c>
      <c r="BE13" s="1">
        <v>7166.0</v>
      </c>
      <c r="BF13" s="1">
        <v>7187.0</v>
      </c>
      <c r="BG13" s="1">
        <v>7208.0</v>
      </c>
      <c r="BH13" s="1">
        <v>7229.0</v>
      </c>
      <c r="BI13" s="1">
        <v>7250.0</v>
      </c>
      <c r="BJ13" s="1">
        <v>7271.0</v>
      </c>
      <c r="BK13" s="1">
        <v>7292.0</v>
      </c>
      <c r="BL13" s="1">
        <v>7314.0</v>
      </c>
      <c r="BM13" s="1">
        <v>7335.0</v>
      </c>
      <c r="BN13" s="1">
        <v>7357.0</v>
      </c>
      <c r="BO13" s="1">
        <v>7378.0</v>
      </c>
      <c r="BP13" s="1">
        <v>7400.0</v>
      </c>
      <c r="BQ13" s="1">
        <v>7422.0</v>
      </c>
      <c r="BR13" s="1">
        <v>7443.0</v>
      </c>
      <c r="BS13" s="1">
        <v>7465.0</v>
      </c>
      <c r="BT13" s="1">
        <v>7487.0</v>
      </c>
      <c r="BU13" s="1">
        <v>7509.0</v>
      </c>
      <c r="BV13" s="1">
        <v>420112.0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2000.0</v>
      </c>
      <c r="N14" s="1">
        <v>2000.0</v>
      </c>
      <c r="O14" s="1">
        <v>2000.0</v>
      </c>
      <c r="P14" s="1">
        <v>2000.0</v>
      </c>
      <c r="Q14" s="1">
        <v>2000.0</v>
      </c>
      <c r="R14" s="1">
        <v>2000.0</v>
      </c>
      <c r="S14" s="1">
        <v>2000.0</v>
      </c>
      <c r="T14" s="1">
        <v>2000.0</v>
      </c>
      <c r="U14" s="1">
        <v>2000.0</v>
      </c>
      <c r="V14" s="1">
        <v>2000.0</v>
      </c>
      <c r="W14" s="1">
        <v>2000.0</v>
      </c>
      <c r="X14" s="1">
        <v>2000.0</v>
      </c>
      <c r="Y14" s="1">
        <v>2000.0</v>
      </c>
      <c r="Z14" s="1">
        <v>2000.0</v>
      </c>
      <c r="AA14" s="1">
        <v>2000.0</v>
      </c>
      <c r="AB14" s="1">
        <v>2000.0</v>
      </c>
      <c r="AC14" s="1">
        <v>2000.0</v>
      </c>
      <c r="AD14" s="1">
        <v>2000.0</v>
      </c>
      <c r="AE14" s="1">
        <v>2000.0</v>
      </c>
      <c r="AF14" s="1">
        <v>2000.0</v>
      </c>
      <c r="AG14" s="1">
        <v>2000.0</v>
      </c>
      <c r="AH14" s="1">
        <v>2000.0</v>
      </c>
      <c r="AI14" s="1">
        <v>2000.0</v>
      </c>
      <c r="AJ14" s="1">
        <v>2000.0</v>
      </c>
      <c r="AK14" s="1">
        <v>2000.0</v>
      </c>
      <c r="AL14" s="1">
        <v>2000.0</v>
      </c>
      <c r="AM14" s="1">
        <v>2000.0</v>
      </c>
      <c r="AN14" s="1">
        <v>2000.0</v>
      </c>
      <c r="AO14" s="1">
        <v>2000.0</v>
      </c>
      <c r="AP14" s="1">
        <v>2000.0</v>
      </c>
      <c r="AQ14" s="1">
        <v>2000.0</v>
      </c>
      <c r="AR14" s="1">
        <v>2000.0</v>
      </c>
      <c r="AS14" s="1">
        <v>2000.0</v>
      </c>
      <c r="AT14" s="1">
        <v>2000.0</v>
      </c>
      <c r="AU14" s="1">
        <v>2000.0</v>
      </c>
      <c r="AV14" s="1">
        <v>2000.0</v>
      </c>
      <c r="AW14" s="1">
        <v>2000.0</v>
      </c>
      <c r="AX14" s="1">
        <v>2000.0</v>
      </c>
      <c r="AY14" s="1">
        <v>2000.0</v>
      </c>
      <c r="AZ14" s="1">
        <v>2000.0</v>
      </c>
      <c r="BA14" s="1">
        <v>2000.0</v>
      </c>
      <c r="BB14" s="1">
        <v>2000.0</v>
      </c>
      <c r="BC14" s="1">
        <v>2000.0</v>
      </c>
      <c r="BD14" s="1">
        <v>2000.0</v>
      </c>
      <c r="BE14" s="1">
        <v>2000.0</v>
      </c>
      <c r="BF14" s="1">
        <v>2000.0</v>
      </c>
      <c r="BG14" s="1">
        <v>2000.0</v>
      </c>
      <c r="BH14" s="1">
        <v>2000.0</v>
      </c>
      <c r="BI14" s="1">
        <v>2000.0</v>
      </c>
      <c r="BJ14" s="1">
        <v>2000.0</v>
      </c>
      <c r="BK14" s="1">
        <v>2000.0</v>
      </c>
      <c r="BL14" s="1">
        <v>2000.0</v>
      </c>
      <c r="BM14" s="1">
        <v>2000.0</v>
      </c>
      <c r="BN14" s="1">
        <v>2000.0</v>
      </c>
      <c r="BO14" s="1">
        <v>2000.0</v>
      </c>
      <c r="BP14" s="1">
        <v>2000.0</v>
      </c>
      <c r="BQ14" s="1">
        <v>2000.0</v>
      </c>
      <c r="BR14" s="1">
        <v>2000.0</v>
      </c>
      <c r="BS14" s="1">
        <v>2000.0</v>
      </c>
      <c r="BT14" s="1">
        <v>2000.0</v>
      </c>
      <c r="BU14" s="1">
        <v>2000.0</v>
      </c>
      <c r="BV14" s="1">
        <v>122000.0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8300.0</v>
      </c>
      <c r="N15" s="1">
        <v>8318.0</v>
      </c>
      <c r="O15" s="1">
        <v>8337.0</v>
      </c>
      <c r="P15" s="1">
        <v>8356.0</v>
      </c>
      <c r="Q15" s="1">
        <v>8374.0</v>
      </c>
      <c r="R15" s="1">
        <v>8393.0</v>
      </c>
      <c r="S15" s="1">
        <v>8412.0</v>
      </c>
      <c r="T15" s="1">
        <v>8430.0</v>
      </c>
      <c r="U15" s="1">
        <v>8449.0</v>
      </c>
      <c r="V15" s="1">
        <v>8468.0</v>
      </c>
      <c r="W15" s="1">
        <v>8487.0</v>
      </c>
      <c r="X15" s="1">
        <v>8506.0</v>
      </c>
      <c r="Y15" s="1">
        <v>8525.0</v>
      </c>
      <c r="Z15" s="1">
        <v>8544.0</v>
      </c>
      <c r="AA15" s="1">
        <v>8563.0</v>
      </c>
      <c r="AB15" s="1">
        <v>8583.0</v>
      </c>
      <c r="AC15" s="1">
        <v>8602.0</v>
      </c>
      <c r="AD15" s="1">
        <v>8621.0</v>
      </c>
      <c r="AE15" s="1">
        <v>8641.0</v>
      </c>
      <c r="AF15" s="1">
        <v>8660.0</v>
      </c>
      <c r="AG15" s="1">
        <v>8680.0</v>
      </c>
      <c r="AH15" s="1">
        <v>8699.0</v>
      </c>
      <c r="AI15" s="1">
        <v>8719.0</v>
      </c>
      <c r="AJ15" s="1">
        <v>8739.0</v>
      </c>
      <c r="AK15" s="1">
        <v>8758.0</v>
      </c>
      <c r="AL15" s="1">
        <v>8778.0</v>
      </c>
      <c r="AM15" s="1">
        <v>8798.0</v>
      </c>
      <c r="AN15" s="1">
        <v>8818.0</v>
      </c>
      <c r="AO15" s="1">
        <v>8838.0</v>
      </c>
      <c r="AP15" s="1">
        <v>8858.0</v>
      </c>
      <c r="AQ15" s="1">
        <v>8878.0</v>
      </c>
      <c r="AR15" s="1">
        <v>8898.0</v>
      </c>
      <c r="AS15" s="1">
        <v>8918.0</v>
      </c>
      <c r="AT15" s="1">
        <v>8939.0</v>
      </c>
      <c r="AU15" s="1">
        <v>8959.0</v>
      </c>
      <c r="AV15" s="1">
        <v>8979.0</v>
      </c>
      <c r="AW15" s="1">
        <v>9000.0</v>
      </c>
      <c r="AX15" s="1">
        <v>9020.0</v>
      </c>
      <c r="AY15" s="1">
        <v>9041.0</v>
      </c>
      <c r="AZ15" s="1">
        <v>9061.0</v>
      </c>
      <c r="BA15" s="1">
        <v>9082.0</v>
      </c>
      <c r="BB15" s="1">
        <v>9103.0</v>
      </c>
      <c r="BC15" s="1">
        <v>9124.0</v>
      </c>
      <c r="BD15" s="1">
        <v>9145.0</v>
      </c>
      <c r="BE15" s="1">
        <v>9166.0</v>
      </c>
      <c r="BF15" s="1">
        <v>9187.0</v>
      </c>
      <c r="BG15" s="1">
        <v>9208.0</v>
      </c>
      <c r="BH15" s="1">
        <v>9229.0</v>
      </c>
      <c r="BI15" s="1">
        <v>9250.0</v>
      </c>
      <c r="BJ15" s="1">
        <v>9271.0</v>
      </c>
      <c r="BK15" s="1">
        <v>9292.0</v>
      </c>
      <c r="BL15" s="1">
        <v>9314.0</v>
      </c>
      <c r="BM15" s="1">
        <v>9335.0</v>
      </c>
      <c r="BN15" s="1">
        <v>9357.0</v>
      </c>
      <c r="BO15" s="1">
        <v>9378.0</v>
      </c>
      <c r="BP15" s="1">
        <v>9400.0</v>
      </c>
      <c r="BQ15" s="1">
        <v>9422.0</v>
      </c>
      <c r="BR15" s="1">
        <v>9443.0</v>
      </c>
      <c r="BS15" s="1">
        <v>9465.0</v>
      </c>
      <c r="BT15" s="1">
        <v>9487.0</v>
      </c>
      <c r="BU15" s="1">
        <v>9509.0</v>
      </c>
      <c r="BV15" s="1">
        <v>542112.0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14700.0</v>
      </c>
      <c r="N16" s="1">
        <v>14743.0</v>
      </c>
      <c r="O16" s="1">
        <v>14786.0</v>
      </c>
      <c r="P16" s="1">
        <v>14830.0</v>
      </c>
      <c r="Q16" s="1">
        <v>14873.0</v>
      </c>
      <c r="R16" s="1">
        <v>14917.0</v>
      </c>
      <c r="S16" s="1">
        <v>14960.0</v>
      </c>
      <c r="T16" s="1">
        <v>15004.0</v>
      </c>
      <c r="U16" s="1">
        <v>15048.0</v>
      </c>
      <c r="V16" s="1">
        <v>15092.0</v>
      </c>
      <c r="W16" s="1">
        <v>15136.0</v>
      </c>
      <c r="X16" s="1">
        <v>15181.0</v>
      </c>
      <c r="Y16" s="1">
        <v>15225.0</v>
      </c>
      <c r="Z16" s="1">
        <v>15270.0</v>
      </c>
      <c r="AA16" s="1">
        <v>15315.0</v>
      </c>
      <c r="AB16" s="1">
        <v>15359.0</v>
      </c>
      <c r="AC16" s="1">
        <v>15404.0</v>
      </c>
      <c r="AD16" s="1">
        <v>15450.0</v>
      </c>
      <c r="AE16" s="1">
        <v>15495.0</v>
      </c>
      <c r="AF16" s="1">
        <v>15540.0</v>
      </c>
      <c r="AG16" s="1">
        <v>15586.0</v>
      </c>
      <c r="AH16" s="1">
        <v>15631.0</v>
      </c>
      <c r="AI16" s="1">
        <v>15677.0</v>
      </c>
      <c r="AJ16" s="1">
        <v>15723.0</v>
      </c>
      <c r="AK16" s="1">
        <v>15769.0</v>
      </c>
      <c r="AL16" s="1">
        <v>15815.0</v>
      </c>
      <c r="AM16" s="1">
        <v>15862.0</v>
      </c>
      <c r="AN16" s="1">
        <v>15908.0</v>
      </c>
      <c r="AO16" s="1">
        <v>15955.0</v>
      </c>
      <c r="AP16" s="1">
        <v>16002.0</v>
      </c>
      <c r="AQ16" s="1">
        <v>16049.0</v>
      </c>
      <c r="AR16" s="1">
        <v>16096.0</v>
      </c>
      <c r="AS16" s="1">
        <v>16143.0</v>
      </c>
      <c r="AT16" s="1">
        <v>16190.0</v>
      </c>
      <c r="AU16" s="1">
        <v>16237.0</v>
      </c>
      <c r="AV16" s="1">
        <v>16285.0</v>
      </c>
      <c r="AW16" s="1">
        <v>16333.0</v>
      </c>
      <c r="AX16" s="1">
        <v>16381.0</v>
      </c>
      <c r="AY16" s="1">
        <v>16429.0</v>
      </c>
      <c r="AZ16" s="1">
        <v>16477.0</v>
      </c>
      <c r="BA16" s="1">
        <v>16525.0</v>
      </c>
      <c r="BB16" s="1">
        <v>16573.0</v>
      </c>
      <c r="BC16" s="1">
        <v>16622.0</v>
      </c>
      <c r="BD16" s="1">
        <v>16671.0</v>
      </c>
      <c r="BE16" s="1">
        <v>16720.0</v>
      </c>
      <c r="BF16" s="1">
        <v>16769.0</v>
      </c>
      <c r="BG16" s="1">
        <v>16818.0</v>
      </c>
      <c r="BH16" s="1">
        <v>16867.0</v>
      </c>
      <c r="BI16" s="1">
        <v>16916.0</v>
      </c>
      <c r="BJ16" s="1">
        <v>16966.0</v>
      </c>
      <c r="BK16" s="1">
        <v>17016.0</v>
      </c>
      <c r="BL16" s="1">
        <v>17066.0</v>
      </c>
      <c r="BM16" s="1">
        <v>17116.0</v>
      </c>
      <c r="BN16" s="1">
        <v>17166.0</v>
      </c>
      <c r="BO16" s="1">
        <v>17216.0</v>
      </c>
      <c r="BP16" s="1">
        <v>17266.0</v>
      </c>
      <c r="BQ16" s="1">
        <v>17317.0</v>
      </c>
      <c r="BR16" s="1">
        <v>17368.0</v>
      </c>
      <c r="BS16" s="1">
        <v>17419.0</v>
      </c>
      <c r="BT16" s="1">
        <v>17470.0</v>
      </c>
      <c r="BU16" s="1">
        <v>17521.0</v>
      </c>
      <c r="BV16" s="1">
        <v>980261.0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206</v>
      </c>
    </row>
    <row r="2">
      <c r="A2" s="1" t="s">
        <v>183</v>
      </c>
    </row>
    <row r="3">
      <c r="A3" s="1" t="s">
        <v>201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15000.0</v>
      </c>
      <c r="O6" s="1">
        <v>15044.0</v>
      </c>
      <c r="P6" s="1">
        <v>15088.0</v>
      </c>
      <c r="Q6" s="1">
        <v>15132.0</v>
      </c>
      <c r="R6" s="1">
        <v>15177.0</v>
      </c>
      <c r="S6" s="1">
        <v>15221.0</v>
      </c>
      <c r="T6" s="1">
        <v>15266.0</v>
      </c>
      <c r="U6" s="1">
        <v>15310.0</v>
      </c>
      <c r="V6" s="1">
        <v>15355.0</v>
      </c>
      <c r="W6" s="1">
        <v>15400.0</v>
      </c>
      <c r="X6" s="1">
        <v>15445.0</v>
      </c>
      <c r="Y6" s="1">
        <v>15491.0</v>
      </c>
      <c r="Z6" s="1">
        <v>15536.0</v>
      </c>
      <c r="AA6" s="1">
        <v>15582.0</v>
      </c>
      <c r="AB6" s="1">
        <v>15627.0</v>
      </c>
      <c r="AC6" s="1">
        <v>15673.0</v>
      </c>
      <c r="AD6" s="1">
        <v>15719.0</v>
      </c>
      <c r="AE6" s="1">
        <v>15765.0</v>
      </c>
      <c r="AF6" s="1">
        <v>15811.0</v>
      </c>
      <c r="AG6" s="1">
        <v>15857.0</v>
      </c>
      <c r="AH6" s="1">
        <v>15904.0</v>
      </c>
      <c r="AI6" s="1">
        <v>15951.0</v>
      </c>
      <c r="AJ6" s="1">
        <v>15997.0</v>
      </c>
      <c r="AK6" s="1">
        <v>16044.0</v>
      </c>
      <c r="AL6" s="1">
        <v>16091.0</v>
      </c>
      <c r="AM6" s="1">
        <v>16138.0</v>
      </c>
      <c r="AN6" s="1">
        <v>16186.0</v>
      </c>
      <c r="AO6" s="1">
        <v>16233.0</v>
      </c>
      <c r="AP6" s="1">
        <v>16281.0</v>
      </c>
      <c r="AQ6" s="1">
        <v>16328.0</v>
      </c>
      <c r="AR6" s="1">
        <v>16376.0</v>
      </c>
      <c r="AS6" s="1">
        <v>16424.0</v>
      </c>
      <c r="AT6" s="1">
        <v>16472.0</v>
      </c>
      <c r="AU6" s="1">
        <v>16520.0</v>
      </c>
      <c r="AV6" s="1">
        <v>16569.0</v>
      </c>
      <c r="AW6" s="1">
        <v>16617.0</v>
      </c>
      <c r="AX6" s="1">
        <v>16666.0</v>
      </c>
      <c r="AY6" s="1">
        <v>16715.0</v>
      </c>
      <c r="AZ6" s="1">
        <v>16764.0</v>
      </c>
      <c r="BA6" s="1">
        <v>16813.0</v>
      </c>
      <c r="BB6" s="1">
        <v>16862.0</v>
      </c>
      <c r="BC6" s="1">
        <v>16912.0</v>
      </c>
      <c r="BD6" s="1">
        <v>16961.0</v>
      </c>
      <c r="BE6" s="1">
        <v>17011.0</v>
      </c>
      <c r="BF6" s="1">
        <v>17061.0</v>
      </c>
      <c r="BG6" s="1">
        <v>17111.0</v>
      </c>
      <c r="BH6" s="1">
        <v>17161.0</v>
      </c>
      <c r="BI6" s="1">
        <v>17211.0</v>
      </c>
      <c r="BJ6" s="1">
        <v>17262.0</v>
      </c>
      <c r="BK6" s="1">
        <v>17312.0</v>
      </c>
      <c r="BL6" s="1">
        <v>17363.0</v>
      </c>
      <c r="BM6" s="1">
        <v>17414.0</v>
      </c>
      <c r="BN6" s="1">
        <v>17465.0</v>
      </c>
      <c r="BO6" s="1">
        <v>17516.0</v>
      </c>
      <c r="BP6" s="1">
        <v>17567.0</v>
      </c>
      <c r="BQ6" s="1">
        <v>17619.0</v>
      </c>
      <c r="BR6" s="1">
        <v>17670.0</v>
      </c>
      <c r="BS6" s="1">
        <v>17722.0</v>
      </c>
      <c r="BT6" s="1">
        <v>17774.0</v>
      </c>
      <c r="BU6" s="1">
        <v>17826.0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105.0</v>
      </c>
      <c r="P7" s="1">
        <v>105.0</v>
      </c>
      <c r="Q7" s="1">
        <v>106.0</v>
      </c>
      <c r="R7" s="1">
        <v>106.0</v>
      </c>
      <c r="S7" s="1">
        <v>106.0</v>
      </c>
      <c r="T7" s="1">
        <v>107.0</v>
      </c>
      <c r="U7" s="1">
        <v>107.0</v>
      </c>
      <c r="V7" s="1">
        <v>107.0</v>
      </c>
      <c r="W7" s="1">
        <v>107.0</v>
      </c>
      <c r="X7" s="1">
        <v>108.0</v>
      </c>
      <c r="Y7" s="1">
        <v>108.0</v>
      </c>
      <c r="Z7" s="1">
        <v>108.0</v>
      </c>
      <c r="AA7" s="1">
        <v>109.0</v>
      </c>
      <c r="AB7" s="1">
        <v>109.0</v>
      </c>
      <c r="AC7" s="1">
        <v>109.0</v>
      </c>
      <c r="AD7" s="1">
        <v>110.0</v>
      </c>
      <c r="AE7" s="1">
        <v>110.0</v>
      </c>
      <c r="AF7" s="1">
        <v>110.0</v>
      </c>
      <c r="AG7" s="1">
        <v>111.0</v>
      </c>
      <c r="AH7" s="1">
        <v>111.0</v>
      </c>
      <c r="AI7" s="1">
        <v>111.0</v>
      </c>
      <c r="AJ7" s="1">
        <v>112.0</v>
      </c>
      <c r="AK7" s="1">
        <v>112.0</v>
      </c>
      <c r="AL7" s="1">
        <v>112.0</v>
      </c>
      <c r="AM7" s="1">
        <v>113.0</v>
      </c>
      <c r="AN7" s="1">
        <v>113.0</v>
      </c>
      <c r="AO7" s="1">
        <v>113.0</v>
      </c>
      <c r="AP7" s="1">
        <v>114.0</v>
      </c>
      <c r="AQ7" s="1">
        <v>114.0</v>
      </c>
      <c r="AR7" s="1">
        <v>114.0</v>
      </c>
      <c r="AS7" s="1">
        <v>115.0</v>
      </c>
      <c r="AT7" s="1">
        <v>115.0</v>
      </c>
      <c r="AU7" s="1">
        <v>115.0</v>
      </c>
      <c r="AV7" s="1">
        <v>116.0</v>
      </c>
      <c r="AW7" s="1">
        <v>116.0</v>
      </c>
      <c r="AX7" s="1">
        <v>116.0</v>
      </c>
      <c r="AY7" s="1">
        <v>117.0</v>
      </c>
      <c r="AZ7" s="1">
        <v>117.0</v>
      </c>
      <c r="BA7" s="1">
        <v>117.0</v>
      </c>
      <c r="BB7" s="1">
        <v>118.0</v>
      </c>
      <c r="BC7" s="1">
        <v>118.0</v>
      </c>
      <c r="BD7" s="1">
        <v>118.0</v>
      </c>
      <c r="BE7" s="1">
        <v>119.0</v>
      </c>
      <c r="BF7" s="1">
        <v>119.0</v>
      </c>
      <c r="BG7" s="1">
        <v>119.0</v>
      </c>
      <c r="BH7" s="1">
        <v>120.0</v>
      </c>
      <c r="BI7" s="1">
        <v>120.0</v>
      </c>
      <c r="BJ7" s="1">
        <v>120.0</v>
      </c>
      <c r="BK7" s="1">
        <v>121.0</v>
      </c>
      <c r="BL7" s="1">
        <v>121.0</v>
      </c>
      <c r="BM7" s="1">
        <v>122.0</v>
      </c>
      <c r="BN7" s="1">
        <v>122.0</v>
      </c>
      <c r="BO7" s="1">
        <v>122.0</v>
      </c>
      <c r="BP7" s="1">
        <v>123.0</v>
      </c>
      <c r="BQ7" s="1">
        <v>123.0</v>
      </c>
      <c r="BR7" s="1">
        <v>123.0</v>
      </c>
      <c r="BS7" s="1">
        <v>124.0</v>
      </c>
      <c r="BT7" s="1">
        <v>124.0</v>
      </c>
      <c r="BU7" s="1">
        <v>124.0</v>
      </c>
      <c r="BV7" s="1">
        <v>6752.0</v>
      </c>
    </row>
    <row r="8">
      <c r="A8" s="1" t="s">
        <v>145</v>
      </c>
      <c r="B8" s="1">
        <v>1.3</v>
      </c>
      <c r="C8" s="1">
        <v>1.3</v>
      </c>
      <c r="D8" s="1">
        <v>1.3</v>
      </c>
      <c r="E8" s="1">
        <v>1.3</v>
      </c>
      <c r="F8" s="1">
        <v>1.3</v>
      </c>
      <c r="G8" s="1">
        <v>1.3</v>
      </c>
      <c r="H8" s="1">
        <v>1.3</v>
      </c>
      <c r="I8" s="1">
        <v>1.3</v>
      </c>
      <c r="J8" s="1">
        <v>1.3</v>
      </c>
      <c r="K8" s="1">
        <v>1.3</v>
      </c>
      <c r="L8" s="1">
        <v>1.3</v>
      </c>
      <c r="M8" s="1">
        <v>1.3</v>
      </c>
      <c r="N8" s="1">
        <v>1.3</v>
      </c>
      <c r="O8" s="1">
        <v>1.3</v>
      </c>
      <c r="P8" s="1">
        <v>1.3</v>
      </c>
      <c r="Q8" s="1">
        <v>1.3</v>
      </c>
      <c r="R8" s="1">
        <v>1.3</v>
      </c>
      <c r="S8" s="1">
        <v>1.3</v>
      </c>
      <c r="T8" s="1">
        <v>1.3</v>
      </c>
      <c r="U8" s="1">
        <v>1.3</v>
      </c>
      <c r="V8" s="1">
        <v>1.3</v>
      </c>
      <c r="W8" s="1">
        <v>1.3</v>
      </c>
      <c r="X8" s="1">
        <v>1.3</v>
      </c>
      <c r="Y8" s="1">
        <v>1.3</v>
      </c>
      <c r="Z8" s="1">
        <v>1.3</v>
      </c>
      <c r="AA8" s="1">
        <v>1.3</v>
      </c>
      <c r="AB8" s="1">
        <v>1.3</v>
      </c>
      <c r="AC8" s="1">
        <v>1.3</v>
      </c>
      <c r="AD8" s="1">
        <v>1.3</v>
      </c>
      <c r="AE8" s="1">
        <v>1.3</v>
      </c>
      <c r="AF8" s="1">
        <v>1.3</v>
      </c>
      <c r="AG8" s="1">
        <v>1.3</v>
      </c>
      <c r="AH8" s="1">
        <v>1.3</v>
      </c>
      <c r="AI8" s="1">
        <v>1.3</v>
      </c>
      <c r="AJ8" s="1">
        <v>1.3</v>
      </c>
      <c r="AK8" s="1">
        <v>1.3</v>
      </c>
      <c r="AL8" s="1">
        <v>1.3</v>
      </c>
      <c r="AM8" s="1">
        <v>1.3</v>
      </c>
      <c r="AN8" s="1">
        <v>1.3</v>
      </c>
      <c r="AO8" s="1">
        <v>1.3</v>
      </c>
      <c r="AP8" s="1">
        <v>1.3</v>
      </c>
      <c r="AQ8" s="1">
        <v>1.3</v>
      </c>
      <c r="AR8" s="1">
        <v>1.3</v>
      </c>
      <c r="AS8" s="1">
        <v>1.3</v>
      </c>
      <c r="AT8" s="1">
        <v>1.3</v>
      </c>
      <c r="AU8" s="1">
        <v>1.3</v>
      </c>
      <c r="AV8" s="1">
        <v>1.3</v>
      </c>
      <c r="AW8" s="1">
        <v>1.3</v>
      </c>
      <c r="AX8" s="1">
        <v>1.3</v>
      </c>
      <c r="AY8" s="1">
        <v>1.3</v>
      </c>
      <c r="AZ8" s="1">
        <v>1.3</v>
      </c>
      <c r="BA8" s="1">
        <v>1.3</v>
      </c>
      <c r="BB8" s="1">
        <v>1.3</v>
      </c>
      <c r="BC8" s="1">
        <v>1.3</v>
      </c>
      <c r="BD8" s="1">
        <v>1.3</v>
      </c>
      <c r="BE8" s="1">
        <v>1.3</v>
      </c>
      <c r="BF8" s="1">
        <v>1.3</v>
      </c>
      <c r="BG8" s="1">
        <v>1.3</v>
      </c>
      <c r="BH8" s="1">
        <v>1.3</v>
      </c>
      <c r="BI8" s="1">
        <v>1.3</v>
      </c>
      <c r="BJ8" s="1">
        <v>1.3</v>
      </c>
      <c r="BK8" s="1">
        <v>1.3</v>
      </c>
      <c r="BL8" s="1">
        <v>1.3</v>
      </c>
      <c r="BM8" s="1">
        <v>1.3</v>
      </c>
      <c r="BN8" s="1">
        <v>1.3</v>
      </c>
      <c r="BO8" s="1">
        <v>1.3</v>
      </c>
      <c r="BP8" s="1">
        <v>1.3</v>
      </c>
      <c r="BQ8" s="1">
        <v>1.3</v>
      </c>
      <c r="BR8" s="1">
        <v>1.3</v>
      </c>
      <c r="BS8" s="1">
        <v>1.3</v>
      </c>
      <c r="BT8" s="1">
        <v>1.3</v>
      </c>
      <c r="BU8" s="1">
        <v>1.3</v>
      </c>
    </row>
    <row r="9">
      <c r="A9" s="1" t="s">
        <v>146</v>
      </c>
      <c r="B9" s="1">
        <v>40.0</v>
      </c>
      <c r="C9" s="1">
        <v>40.0</v>
      </c>
      <c r="D9" s="1">
        <v>40.0</v>
      </c>
      <c r="E9" s="1">
        <v>40.0</v>
      </c>
      <c r="F9" s="1">
        <v>40.0</v>
      </c>
      <c r="G9" s="1">
        <v>40.0</v>
      </c>
      <c r="H9" s="1">
        <v>40.0</v>
      </c>
      <c r="I9" s="1">
        <v>40.0</v>
      </c>
      <c r="J9" s="1">
        <v>40.0</v>
      </c>
      <c r="K9" s="1">
        <v>40.0</v>
      </c>
      <c r="L9" s="1">
        <v>40.0</v>
      </c>
      <c r="M9" s="1">
        <v>40.0</v>
      </c>
      <c r="N9" s="1">
        <v>40.0</v>
      </c>
      <c r="O9" s="1">
        <v>40.0</v>
      </c>
      <c r="P9" s="1">
        <v>40.0</v>
      </c>
      <c r="Q9" s="1">
        <v>40.0</v>
      </c>
      <c r="R9" s="1">
        <v>40.0</v>
      </c>
      <c r="S9" s="1">
        <v>40.0</v>
      </c>
      <c r="T9" s="1">
        <v>40.0</v>
      </c>
      <c r="U9" s="1">
        <v>40.0</v>
      </c>
      <c r="V9" s="1">
        <v>40.0</v>
      </c>
      <c r="W9" s="1">
        <v>40.0</v>
      </c>
      <c r="X9" s="1">
        <v>40.0</v>
      </c>
      <c r="Y9" s="1">
        <v>40.0</v>
      </c>
      <c r="Z9" s="1">
        <v>40.0</v>
      </c>
      <c r="AA9" s="1">
        <v>40.0</v>
      </c>
      <c r="AB9" s="1">
        <v>40.0</v>
      </c>
      <c r="AC9" s="1">
        <v>40.0</v>
      </c>
      <c r="AD9" s="1">
        <v>40.0</v>
      </c>
      <c r="AE9" s="1">
        <v>40.0</v>
      </c>
      <c r="AF9" s="1">
        <v>40.0</v>
      </c>
      <c r="AG9" s="1">
        <v>40.0</v>
      </c>
      <c r="AH9" s="1">
        <v>40.0</v>
      </c>
      <c r="AI9" s="1">
        <v>40.0</v>
      </c>
      <c r="AJ9" s="1">
        <v>40.0</v>
      </c>
      <c r="AK9" s="1">
        <v>40.0</v>
      </c>
      <c r="AL9" s="1">
        <v>40.0</v>
      </c>
      <c r="AM9" s="1">
        <v>40.0</v>
      </c>
      <c r="AN9" s="1">
        <v>40.0</v>
      </c>
      <c r="AO9" s="1">
        <v>40.0</v>
      </c>
      <c r="AP9" s="1">
        <v>40.0</v>
      </c>
      <c r="AQ9" s="1">
        <v>40.0</v>
      </c>
      <c r="AR9" s="1">
        <v>40.0</v>
      </c>
      <c r="AS9" s="1">
        <v>40.0</v>
      </c>
      <c r="AT9" s="1">
        <v>40.0</v>
      </c>
      <c r="AU9" s="1">
        <v>40.0</v>
      </c>
      <c r="AV9" s="1">
        <v>40.0</v>
      </c>
      <c r="AW9" s="1">
        <v>40.0</v>
      </c>
      <c r="AX9" s="1">
        <v>40.0</v>
      </c>
      <c r="AY9" s="1">
        <v>40.0</v>
      </c>
      <c r="AZ9" s="1">
        <v>40.0</v>
      </c>
      <c r="BA9" s="1">
        <v>40.0</v>
      </c>
      <c r="BB9" s="1">
        <v>40.0</v>
      </c>
      <c r="BC9" s="1">
        <v>40.0</v>
      </c>
      <c r="BD9" s="1">
        <v>40.0</v>
      </c>
      <c r="BE9" s="1">
        <v>40.0</v>
      </c>
      <c r="BF9" s="1">
        <v>40.0</v>
      </c>
      <c r="BG9" s="1">
        <v>40.0</v>
      </c>
      <c r="BH9" s="1">
        <v>40.0</v>
      </c>
      <c r="BI9" s="1">
        <v>40.0</v>
      </c>
      <c r="BJ9" s="1">
        <v>40.0</v>
      </c>
      <c r="BK9" s="1">
        <v>40.0</v>
      </c>
      <c r="BL9" s="1">
        <v>40.0</v>
      </c>
      <c r="BM9" s="1">
        <v>40.0</v>
      </c>
      <c r="BN9" s="1">
        <v>40.0</v>
      </c>
      <c r="BO9" s="1">
        <v>40.0</v>
      </c>
      <c r="BP9" s="1">
        <v>40.0</v>
      </c>
      <c r="BQ9" s="1">
        <v>40.0</v>
      </c>
      <c r="BR9" s="1">
        <v>40.0</v>
      </c>
      <c r="BS9" s="1">
        <v>40.0</v>
      </c>
      <c r="BT9" s="1">
        <v>40.0</v>
      </c>
      <c r="BU9" s="1">
        <v>40.0</v>
      </c>
      <c r="BV9" s="1" t="s">
        <v>148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195.0</v>
      </c>
      <c r="O11" s="1">
        <v>196.0</v>
      </c>
      <c r="P11" s="1">
        <v>196.0</v>
      </c>
      <c r="Q11" s="1">
        <v>197.0</v>
      </c>
      <c r="R11" s="1">
        <v>197.0</v>
      </c>
      <c r="S11" s="1">
        <v>198.0</v>
      </c>
      <c r="T11" s="1">
        <v>198.0</v>
      </c>
      <c r="U11" s="1">
        <v>199.0</v>
      </c>
      <c r="V11" s="1">
        <v>200.0</v>
      </c>
      <c r="W11" s="1">
        <v>200.0</v>
      </c>
      <c r="X11" s="1">
        <v>201.0</v>
      </c>
      <c r="Y11" s="1">
        <v>201.0</v>
      </c>
      <c r="Z11" s="1">
        <v>202.0</v>
      </c>
      <c r="AA11" s="1">
        <v>203.0</v>
      </c>
      <c r="AB11" s="1">
        <v>203.0</v>
      </c>
      <c r="AC11" s="1">
        <v>204.0</v>
      </c>
      <c r="AD11" s="1">
        <v>204.0</v>
      </c>
      <c r="AE11" s="1">
        <v>205.0</v>
      </c>
      <c r="AF11" s="1">
        <v>206.0</v>
      </c>
      <c r="AG11" s="1">
        <v>206.0</v>
      </c>
      <c r="AH11" s="1">
        <v>207.0</v>
      </c>
      <c r="AI11" s="1">
        <v>207.0</v>
      </c>
      <c r="AJ11" s="1">
        <v>208.0</v>
      </c>
      <c r="AK11" s="1">
        <v>209.0</v>
      </c>
      <c r="AL11" s="1">
        <v>209.0</v>
      </c>
      <c r="AM11" s="1">
        <v>210.0</v>
      </c>
      <c r="AN11" s="1">
        <v>210.0</v>
      </c>
      <c r="AO11" s="1">
        <v>211.0</v>
      </c>
      <c r="AP11" s="1">
        <v>212.0</v>
      </c>
      <c r="AQ11" s="1">
        <v>212.0</v>
      </c>
      <c r="AR11" s="1">
        <v>213.0</v>
      </c>
      <c r="AS11" s="1">
        <v>214.0</v>
      </c>
      <c r="AT11" s="1">
        <v>214.0</v>
      </c>
      <c r="AU11" s="1">
        <v>215.0</v>
      </c>
      <c r="AV11" s="1">
        <v>215.0</v>
      </c>
      <c r="AW11" s="1">
        <v>216.0</v>
      </c>
      <c r="AX11" s="1">
        <v>217.0</v>
      </c>
      <c r="AY11" s="1">
        <v>217.0</v>
      </c>
      <c r="AZ11" s="1">
        <v>218.0</v>
      </c>
      <c r="BA11" s="1">
        <v>219.0</v>
      </c>
      <c r="BB11" s="1">
        <v>219.0</v>
      </c>
      <c r="BC11" s="1">
        <v>220.0</v>
      </c>
      <c r="BD11" s="1">
        <v>220.0</v>
      </c>
      <c r="BE11" s="1">
        <v>221.0</v>
      </c>
      <c r="BF11" s="1">
        <v>222.0</v>
      </c>
      <c r="BG11" s="1">
        <v>222.0</v>
      </c>
      <c r="BH11" s="1">
        <v>223.0</v>
      </c>
      <c r="BI11" s="1">
        <v>224.0</v>
      </c>
      <c r="BJ11" s="1">
        <v>224.0</v>
      </c>
      <c r="BK11" s="1">
        <v>225.0</v>
      </c>
      <c r="BL11" s="1">
        <v>226.0</v>
      </c>
      <c r="BM11" s="1">
        <v>226.0</v>
      </c>
      <c r="BN11" s="1">
        <v>227.0</v>
      </c>
      <c r="BO11" s="1">
        <v>228.0</v>
      </c>
      <c r="BP11" s="1">
        <v>228.0</v>
      </c>
      <c r="BQ11" s="1">
        <v>229.0</v>
      </c>
      <c r="BR11" s="1">
        <v>230.0</v>
      </c>
      <c r="BS11" s="1">
        <v>230.0</v>
      </c>
      <c r="BT11" s="1">
        <v>231.0</v>
      </c>
      <c r="BU11" s="1">
        <v>232.0</v>
      </c>
      <c r="BV11" s="1">
        <v>12771.0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7800.0</v>
      </c>
      <c r="O12" s="1">
        <v>7823.0</v>
      </c>
      <c r="P12" s="1">
        <v>7846.0</v>
      </c>
      <c r="Q12" s="1">
        <v>7869.0</v>
      </c>
      <c r="R12" s="1">
        <v>7892.0</v>
      </c>
      <c r="S12" s="1">
        <v>7915.0</v>
      </c>
      <c r="T12" s="1">
        <v>7938.0</v>
      </c>
      <c r="U12" s="1">
        <v>7961.0</v>
      </c>
      <c r="V12" s="1">
        <v>7985.0</v>
      </c>
      <c r="W12" s="1">
        <v>8008.0</v>
      </c>
      <c r="X12" s="1">
        <v>8032.0</v>
      </c>
      <c r="Y12" s="1">
        <v>8055.0</v>
      </c>
      <c r="Z12" s="1">
        <v>8079.0</v>
      </c>
      <c r="AA12" s="1">
        <v>8102.0</v>
      </c>
      <c r="AB12" s="1">
        <v>8126.0</v>
      </c>
      <c r="AC12" s="1">
        <v>8150.0</v>
      </c>
      <c r="AD12" s="1">
        <v>8174.0</v>
      </c>
      <c r="AE12" s="1">
        <v>8198.0</v>
      </c>
      <c r="AF12" s="1">
        <v>8222.0</v>
      </c>
      <c r="AG12" s="1">
        <v>8246.0</v>
      </c>
      <c r="AH12" s="1">
        <v>8270.0</v>
      </c>
      <c r="AI12" s="1">
        <v>8294.0</v>
      </c>
      <c r="AJ12" s="1">
        <v>8319.0</v>
      </c>
      <c r="AK12" s="1">
        <v>8343.0</v>
      </c>
      <c r="AL12" s="1">
        <v>8367.0</v>
      </c>
      <c r="AM12" s="1">
        <v>8392.0</v>
      </c>
      <c r="AN12" s="1">
        <v>8416.0</v>
      </c>
      <c r="AO12" s="1">
        <v>8441.0</v>
      </c>
      <c r="AP12" s="1">
        <v>8466.0</v>
      </c>
      <c r="AQ12" s="1">
        <v>8491.0</v>
      </c>
      <c r="AR12" s="1">
        <v>8516.0</v>
      </c>
      <c r="AS12" s="1">
        <v>8541.0</v>
      </c>
      <c r="AT12" s="1">
        <v>8566.0</v>
      </c>
      <c r="AU12" s="1">
        <v>8591.0</v>
      </c>
      <c r="AV12" s="1">
        <v>8616.0</v>
      </c>
      <c r="AW12" s="1">
        <v>8641.0</v>
      </c>
      <c r="AX12" s="1">
        <v>8666.0</v>
      </c>
      <c r="AY12" s="1">
        <v>8692.0</v>
      </c>
      <c r="AZ12" s="1">
        <v>8717.0</v>
      </c>
      <c r="BA12" s="1">
        <v>8743.0</v>
      </c>
      <c r="BB12" s="1">
        <v>8768.0</v>
      </c>
      <c r="BC12" s="1">
        <v>8794.0</v>
      </c>
      <c r="BD12" s="1">
        <v>8820.0</v>
      </c>
      <c r="BE12" s="1">
        <v>8846.0</v>
      </c>
      <c r="BF12" s="1">
        <v>8872.0</v>
      </c>
      <c r="BG12" s="1">
        <v>8898.0</v>
      </c>
      <c r="BH12" s="1">
        <v>8924.0</v>
      </c>
      <c r="BI12" s="1">
        <v>8950.0</v>
      </c>
      <c r="BJ12" s="1">
        <v>8976.0</v>
      </c>
      <c r="BK12" s="1">
        <v>9002.0</v>
      </c>
      <c r="BL12" s="1">
        <v>9029.0</v>
      </c>
      <c r="BM12" s="1">
        <v>9055.0</v>
      </c>
      <c r="BN12" s="1">
        <v>9082.0</v>
      </c>
      <c r="BO12" s="1">
        <v>9108.0</v>
      </c>
      <c r="BP12" s="1">
        <v>9135.0</v>
      </c>
      <c r="BQ12" s="1">
        <v>9162.0</v>
      </c>
      <c r="BR12" s="1">
        <v>9189.0</v>
      </c>
      <c r="BS12" s="1">
        <v>9216.0</v>
      </c>
      <c r="BT12" s="1">
        <v>9243.0</v>
      </c>
      <c r="BU12" s="1">
        <v>9270.0</v>
      </c>
      <c r="BV12" s="1">
        <v>510842.0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2340.0</v>
      </c>
      <c r="O13" s="1">
        <v>2347.0</v>
      </c>
      <c r="P13" s="1">
        <v>2354.0</v>
      </c>
      <c r="Q13" s="1">
        <v>2361.0</v>
      </c>
      <c r="R13" s="1">
        <v>2368.0</v>
      </c>
      <c r="S13" s="1">
        <v>2374.0</v>
      </c>
      <c r="T13" s="1">
        <v>2381.0</v>
      </c>
      <c r="U13" s="1">
        <v>2388.0</v>
      </c>
      <c r="V13" s="1">
        <v>2395.0</v>
      </c>
      <c r="W13" s="1">
        <v>2402.0</v>
      </c>
      <c r="X13" s="1">
        <v>2409.0</v>
      </c>
      <c r="Y13" s="1">
        <v>2417.0</v>
      </c>
      <c r="Z13" s="1">
        <v>2424.0</v>
      </c>
      <c r="AA13" s="1">
        <v>2431.0</v>
      </c>
      <c r="AB13" s="1">
        <v>2438.0</v>
      </c>
      <c r="AC13" s="1">
        <v>2445.0</v>
      </c>
      <c r="AD13" s="1">
        <v>2452.0</v>
      </c>
      <c r="AE13" s="1">
        <v>2459.0</v>
      </c>
      <c r="AF13" s="1">
        <v>2467.0</v>
      </c>
      <c r="AG13" s="1">
        <v>2474.0</v>
      </c>
      <c r="AH13" s="1">
        <v>2481.0</v>
      </c>
      <c r="AI13" s="1">
        <v>2488.0</v>
      </c>
      <c r="AJ13" s="1">
        <v>2496.0</v>
      </c>
      <c r="AK13" s="1">
        <v>2503.0</v>
      </c>
      <c r="AL13" s="1">
        <v>2510.0</v>
      </c>
      <c r="AM13" s="1">
        <v>2518.0</v>
      </c>
      <c r="AN13" s="1">
        <v>2525.0</v>
      </c>
      <c r="AO13" s="1">
        <v>2532.0</v>
      </c>
      <c r="AP13" s="1">
        <v>2540.0</v>
      </c>
      <c r="AQ13" s="1">
        <v>2547.0</v>
      </c>
      <c r="AR13" s="1">
        <v>2555.0</v>
      </c>
      <c r="AS13" s="1">
        <v>2562.0</v>
      </c>
      <c r="AT13" s="1">
        <v>2570.0</v>
      </c>
      <c r="AU13" s="1">
        <v>2577.0</v>
      </c>
      <c r="AV13" s="1">
        <v>2585.0</v>
      </c>
      <c r="AW13" s="1">
        <v>2592.0</v>
      </c>
      <c r="AX13" s="1">
        <v>2600.0</v>
      </c>
      <c r="AY13" s="1">
        <v>2608.0</v>
      </c>
      <c r="AZ13" s="1">
        <v>2615.0</v>
      </c>
      <c r="BA13" s="1">
        <v>2623.0</v>
      </c>
      <c r="BB13" s="1">
        <v>2631.0</v>
      </c>
      <c r="BC13" s="1">
        <v>2638.0</v>
      </c>
      <c r="BD13" s="1">
        <v>2646.0</v>
      </c>
      <c r="BE13" s="1">
        <v>2654.0</v>
      </c>
      <c r="BF13" s="1">
        <v>2661.0</v>
      </c>
      <c r="BG13" s="1">
        <v>2669.0</v>
      </c>
      <c r="BH13" s="1">
        <v>2677.0</v>
      </c>
      <c r="BI13" s="1">
        <v>2685.0</v>
      </c>
      <c r="BJ13" s="1">
        <v>2693.0</v>
      </c>
      <c r="BK13" s="1">
        <v>2701.0</v>
      </c>
      <c r="BL13" s="1">
        <v>2709.0</v>
      </c>
      <c r="BM13" s="1">
        <v>2717.0</v>
      </c>
      <c r="BN13" s="1">
        <v>2725.0</v>
      </c>
      <c r="BO13" s="1">
        <v>2732.0</v>
      </c>
      <c r="BP13" s="1">
        <v>2740.0</v>
      </c>
      <c r="BQ13" s="1">
        <v>2749.0</v>
      </c>
      <c r="BR13" s="1">
        <v>2757.0</v>
      </c>
      <c r="BS13" s="1">
        <v>2765.0</v>
      </c>
      <c r="BT13" s="1">
        <v>2773.0</v>
      </c>
      <c r="BU13" s="1">
        <v>2781.0</v>
      </c>
      <c r="BV13" s="1">
        <v>153253.0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2340.0</v>
      </c>
      <c r="O15" s="1">
        <v>2347.0</v>
      </c>
      <c r="P15" s="1">
        <v>2354.0</v>
      </c>
      <c r="Q15" s="1">
        <v>2361.0</v>
      </c>
      <c r="R15" s="1">
        <v>2368.0</v>
      </c>
      <c r="S15" s="1">
        <v>2374.0</v>
      </c>
      <c r="T15" s="1">
        <v>2381.0</v>
      </c>
      <c r="U15" s="1">
        <v>2388.0</v>
      </c>
      <c r="V15" s="1">
        <v>2395.0</v>
      </c>
      <c r="W15" s="1">
        <v>2402.0</v>
      </c>
      <c r="X15" s="1">
        <v>2409.0</v>
      </c>
      <c r="Y15" s="1">
        <v>2417.0</v>
      </c>
      <c r="Z15" s="1">
        <v>2424.0</v>
      </c>
      <c r="AA15" s="1">
        <v>2431.0</v>
      </c>
      <c r="AB15" s="1">
        <v>2438.0</v>
      </c>
      <c r="AC15" s="1">
        <v>2445.0</v>
      </c>
      <c r="AD15" s="1">
        <v>2452.0</v>
      </c>
      <c r="AE15" s="1">
        <v>2459.0</v>
      </c>
      <c r="AF15" s="1">
        <v>2467.0</v>
      </c>
      <c r="AG15" s="1">
        <v>2474.0</v>
      </c>
      <c r="AH15" s="1">
        <v>2481.0</v>
      </c>
      <c r="AI15" s="1">
        <v>2488.0</v>
      </c>
      <c r="AJ15" s="1">
        <v>2496.0</v>
      </c>
      <c r="AK15" s="1">
        <v>2503.0</v>
      </c>
      <c r="AL15" s="1">
        <v>2510.0</v>
      </c>
      <c r="AM15" s="1">
        <v>2518.0</v>
      </c>
      <c r="AN15" s="1">
        <v>2525.0</v>
      </c>
      <c r="AO15" s="1">
        <v>2532.0</v>
      </c>
      <c r="AP15" s="1">
        <v>2540.0</v>
      </c>
      <c r="AQ15" s="1">
        <v>2547.0</v>
      </c>
      <c r="AR15" s="1">
        <v>2555.0</v>
      </c>
      <c r="AS15" s="1">
        <v>2562.0</v>
      </c>
      <c r="AT15" s="1">
        <v>2570.0</v>
      </c>
      <c r="AU15" s="1">
        <v>2577.0</v>
      </c>
      <c r="AV15" s="1">
        <v>2585.0</v>
      </c>
      <c r="AW15" s="1">
        <v>2592.0</v>
      </c>
      <c r="AX15" s="1">
        <v>2600.0</v>
      </c>
      <c r="AY15" s="1">
        <v>2608.0</v>
      </c>
      <c r="AZ15" s="1">
        <v>2615.0</v>
      </c>
      <c r="BA15" s="1">
        <v>2623.0</v>
      </c>
      <c r="BB15" s="1">
        <v>2631.0</v>
      </c>
      <c r="BC15" s="1">
        <v>2638.0</v>
      </c>
      <c r="BD15" s="1">
        <v>2646.0</v>
      </c>
      <c r="BE15" s="1">
        <v>2654.0</v>
      </c>
      <c r="BF15" s="1">
        <v>2661.0</v>
      </c>
      <c r="BG15" s="1">
        <v>2669.0</v>
      </c>
      <c r="BH15" s="1">
        <v>2677.0</v>
      </c>
      <c r="BI15" s="1">
        <v>2685.0</v>
      </c>
      <c r="BJ15" s="1">
        <v>2693.0</v>
      </c>
      <c r="BK15" s="1">
        <v>2701.0</v>
      </c>
      <c r="BL15" s="1">
        <v>2709.0</v>
      </c>
      <c r="BM15" s="1">
        <v>2717.0</v>
      </c>
      <c r="BN15" s="1">
        <v>2725.0</v>
      </c>
      <c r="BO15" s="1">
        <v>2732.0</v>
      </c>
      <c r="BP15" s="1">
        <v>2740.0</v>
      </c>
      <c r="BQ15" s="1">
        <v>2749.0</v>
      </c>
      <c r="BR15" s="1">
        <v>2757.0</v>
      </c>
      <c r="BS15" s="1">
        <v>2765.0</v>
      </c>
      <c r="BT15" s="1">
        <v>2773.0</v>
      </c>
      <c r="BU15" s="1">
        <v>2781.0</v>
      </c>
      <c r="BV15" s="1">
        <v>153253.0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5460.0</v>
      </c>
      <c r="O16" s="1">
        <v>5476.0</v>
      </c>
      <c r="P16" s="1">
        <v>5492.0</v>
      </c>
      <c r="Q16" s="1">
        <v>5508.0</v>
      </c>
      <c r="R16" s="1">
        <v>5524.0</v>
      </c>
      <c r="S16" s="1">
        <v>5540.0</v>
      </c>
      <c r="T16" s="1">
        <v>5557.0</v>
      </c>
      <c r="U16" s="1">
        <v>5573.0</v>
      </c>
      <c r="V16" s="1">
        <v>5589.0</v>
      </c>
      <c r="W16" s="1">
        <v>5606.0</v>
      </c>
      <c r="X16" s="1">
        <v>5622.0</v>
      </c>
      <c r="Y16" s="1">
        <v>5639.0</v>
      </c>
      <c r="Z16" s="1">
        <v>5655.0</v>
      </c>
      <c r="AA16" s="1">
        <v>5672.0</v>
      </c>
      <c r="AB16" s="1">
        <v>5688.0</v>
      </c>
      <c r="AC16" s="1">
        <v>5705.0</v>
      </c>
      <c r="AD16" s="1">
        <v>5722.0</v>
      </c>
      <c r="AE16" s="1">
        <v>5738.0</v>
      </c>
      <c r="AF16" s="1">
        <v>5755.0</v>
      </c>
      <c r="AG16" s="1">
        <v>5772.0</v>
      </c>
      <c r="AH16" s="1">
        <v>5789.0</v>
      </c>
      <c r="AI16" s="1">
        <v>5806.0</v>
      </c>
      <c r="AJ16" s="1">
        <v>5823.0</v>
      </c>
      <c r="AK16" s="1">
        <v>5840.0</v>
      </c>
      <c r="AL16" s="1">
        <v>5857.0</v>
      </c>
      <c r="AM16" s="1">
        <v>5874.0</v>
      </c>
      <c r="AN16" s="1">
        <v>5892.0</v>
      </c>
      <c r="AO16" s="1">
        <v>5909.0</v>
      </c>
      <c r="AP16" s="1">
        <v>5926.0</v>
      </c>
      <c r="AQ16" s="1">
        <v>5943.0</v>
      </c>
      <c r="AR16" s="1">
        <v>5961.0</v>
      </c>
      <c r="AS16" s="1">
        <v>5978.0</v>
      </c>
      <c r="AT16" s="1">
        <v>5996.0</v>
      </c>
      <c r="AU16" s="1">
        <v>6013.0</v>
      </c>
      <c r="AV16" s="1">
        <v>6031.0</v>
      </c>
      <c r="AW16" s="1">
        <v>6049.0</v>
      </c>
      <c r="AX16" s="1">
        <v>6066.0</v>
      </c>
      <c r="AY16" s="1">
        <v>6084.0</v>
      </c>
      <c r="AZ16" s="1">
        <v>6102.0</v>
      </c>
      <c r="BA16" s="1">
        <v>6120.0</v>
      </c>
      <c r="BB16" s="1">
        <v>6138.0</v>
      </c>
      <c r="BC16" s="1">
        <v>6156.0</v>
      </c>
      <c r="BD16" s="1">
        <v>6174.0</v>
      </c>
      <c r="BE16" s="1">
        <v>6192.0</v>
      </c>
      <c r="BF16" s="1">
        <v>6210.0</v>
      </c>
      <c r="BG16" s="1">
        <v>6228.0</v>
      </c>
      <c r="BH16" s="1">
        <v>6247.0</v>
      </c>
      <c r="BI16" s="1">
        <v>6265.0</v>
      </c>
      <c r="BJ16" s="1">
        <v>6283.0</v>
      </c>
      <c r="BK16" s="1">
        <v>6302.0</v>
      </c>
      <c r="BL16" s="1">
        <v>6320.0</v>
      </c>
      <c r="BM16" s="1">
        <v>6339.0</v>
      </c>
      <c r="BN16" s="1">
        <v>6357.0</v>
      </c>
      <c r="BO16" s="1">
        <v>6376.0</v>
      </c>
      <c r="BP16" s="1">
        <v>6394.0</v>
      </c>
      <c r="BQ16" s="1">
        <v>6413.0</v>
      </c>
      <c r="BR16" s="1">
        <v>6432.0</v>
      </c>
      <c r="BS16" s="1">
        <v>6451.0</v>
      </c>
      <c r="BT16" s="1">
        <v>6470.0</v>
      </c>
      <c r="BU16" s="1">
        <v>6489.0</v>
      </c>
      <c r="BV16" s="1">
        <v>357589.0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207</v>
      </c>
    </row>
    <row r="2">
      <c r="A2" s="1" t="s">
        <v>208</v>
      </c>
    </row>
    <row r="3">
      <c r="A3" s="1" t="s">
        <v>201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20000.0</v>
      </c>
      <c r="P6" s="1">
        <v>20059.0</v>
      </c>
      <c r="Q6" s="1">
        <v>20117.0</v>
      </c>
      <c r="R6" s="1">
        <v>20176.0</v>
      </c>
      <c r="S6" s="1">
        <v>20235.0</v>
      </c>
      <c r="T6" s="1">
        <v>20295.0</v>
      </c>
      <c r="U6" s="1">
        <v>20354.0</v>
      </c>
      <c r="V6" s="1">
        <v>20414.0</v>
      </c>
      <c r="W6" s="1">
        <v>20474.0</v>
      </c>
      <c r="X6" s="1">
        <v>20534.0</v>
      </c>
      <c r="Y6" s="1">
        <v>20594.0</v>
      </c>
      <c r="Z6" s="1">
        <v>20654.0</v>
      </c>
      <c r="AA6" s="1">
        <v>20715.0</v>
      </c>
      <c r="AB6" s="1">
        <v>20775.0</v>
      </c>
      <c r="AC6" s="1">
        <v>20836.0</v>
      </c>
      <c r="AD6" s="1">
        <v>20897.0</v>
      </c>
      <c r="AE6" s="1">
        <v>20958.0</v>
      </c>
      <c r="AF6" s="1">
        <v>21020.0</v>
      </c>
      <c r="AG6" s="1">
        <v>21081.0</v>
      </c>
      <c r="AH6" s="1">
        <v>21143.0</v>
      </c>
      <c r="AI6" s="1">
        <v>21205.0</v>
      </c>
      <c r="AJ6" s="1">
        <v>21267.0</v>
      </c>
      <c r="AK6" s="1">
        <v>21330.0</v>
      </c>
      <c r="AL6" s="1">
        <v>21392.0</v>
      </c>
      <c r="AM6" s="1">
        <v>21455.0</v>
      </c>
      <c r="AN6" s="1">
        <v>21518.0</v>
      </c>
      <c r="AO6" s="1">
        <v>21581.0</v>
      </c>
      <c r="AP6" s="1">
        <v>21644.0</v>
      </c>
      <c r="AQ6" s="1">
        <v>21707.0</v>
      </c>
      <c r="AR6" s="1">
        <v>21771.0</v>
      </c>
      <c r="AS6" s="1">
        <v>21835.0</v>
      </c>
      <c r="AT6" s="1">
        <v>21899.0</v>
      </c>
      <c r="AU6" s="1">
        <v>21963.0</v>
      </c>
      <c r="AV6" s="1">
        <v>22027.0</v>
      </c>
      <c r="AW6" s="1">
        <v>22092.0</v>
      </c>
      <c r="AX6" s="1">
        <v>22157.0</v>
      </c>
      <c r="AY6" s="1">
        <v>22221.0</v>
      </c>
      <c r="AZ6" s="1">
        <v>22287.0</v>
      </c>
      <c r="BA6" s="1">
        <v>22352.0</v>
      </c>
      <c r="BB6" s="1">
        <v>22417.0</v>
      </c>
      <c r="BC6" s="1">
        <v>22483.0</v>
      </c>
      <c r="BD6" s="1">
        <v>22549.0</v>
      </c>
      <c r="BE6" s="1">
        <v>22615.0</v>
      </c>
      <c r="BF6" s="1">
        <v>22681.0</v>
      </c>
      <c r="BG6" s="1">
        <v>22748.0</v>
      </c>
      <c r="BH6" s="1">
        <v>22814.0</v>
      </c>
      <c r="BI6" s="1">
        <v>22881.0</v>
      </c>
      <c r="BJ6" s="1">
        <v>22948.0</v>
      </c>
      <c r="BK6" s="1">
        <v>23015.0</v>
      </c>
      <c r="BL6" s="1">
        <v>23083.0</v>
      </c>
      <c r="BM6" s="1">
        <v>23151.0</v>
      </c>
      <c r="BN6" s="1">
        <v>23218.0</v>
      </c>
      <c r="BO6" s="1">
        <v>23286.0</v>
      </c>
      <c r="BP6" s="1">
        <v>23355.0</v>
      </c>
      <c r="BQ6" s="1">
        <v>23423.0</v>
      </c>
      <c r="BR6" s="1">
        <v>23492.0</v>
      </c>
      <c r="BS6" s="1">
        <v>23561.0</v>
      </c>
      <c r="BT6" s="1">
        <v>23630.0</v>
      </c>
      <c r="BU6" s="1">
        <v>23699.0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140.0</v>
      </c>
      <c r="Q7" s="1">
        <v>140.0</v>
      </c>
      <c r="R7" s="1">
        <v>141.0</v>
      </c>
      <c r="S7" s="1">
        <v>141.0</v>
      </c>
      <c r="T7" s="1">
        <v>142.0</v>
      </c>
      <c r="U7" s="1">
        <v>142.0</v>
      </c>
      <c r="V7" s="1">
        <v>142.0</v>
      </c>
      <c r="W7" s="1">
        <v>143.0</v>
      </c>
      <c r="X7" s="1">
        <v>143.0</v>
      </c>
      <c r="Y7" s="1">
        <v>144.0</v>
      </c>
      <c r="Z7" s="1">
        <v>144.0</v>
      </c>
      <c r="AA7" s="1">
        <v>145.0</v>
      </c>
      <c r="AB7" s="1">
        <v>145.0</v>
      </c>
      <c r="AC7" s="1">
        <v>145.0</v>
      </c>
      <c r="AD7" s="1">
        <v>146.0</v>
      </c>
      <c r="AE7" s="1">
        <v>146.0</v>
      </c>
      <c r="AF7" s="1">
        <v>147.0</v>
      </c>
      <c r="AG7" s="1">
        <v>147.0</v>
      </c>
      <c r="AH7" s="1">
        <v>148.0</v>
      </c>
      <c r="AI7" s="1">
        <v>148.0</v>
      </c>
      <c r="AJ7" s="1">
        <v>148.0</v>
      </c>
      <c r="AK7" s="1">
        <v>149.0</v>
      </c>
      <c r="AL7" s="1">
        <v>149.0</v>
      </c>
      <c r="AM7" s="1">
        <v>150.0</v>
      </c>
      <c r="AN7" s="1">
        <v>150.0</v>
      </c>
      <c r="AO7" s="1">
        <v>151.0</v>
      </c>
      <c r="AP7" s="1">
        <v>151.0</v>
      </c>
      <c r="AQ7" s="1">
        <v>152.0</v>
      </c>
      <c r="AR7" s="1">
        <v>152.0</v>
      </c>
      <c r="AS7" s="1">
        <v>152.0</v>
      </c>
      <c r="AT7" s="1">
        <v>153.0</v>
      </c>
      <c r="AU7" s="1">
        <v>153.0</v>
      </c>
      <c r="AV7" s="1">
        <v>154.0</v>
      </c>
      <c r="AW7" s="1">
        <v>154.0</v>
      </c>
      <c r="AX7" s="1">
        <v>155.0</v>
      </c>
      <c r="AY7" s="1">
        <v>155.0</v>
      </c>
      <c r="AZ7" s="1">
        <v>156.0</v>
      </c>
      <c r="BA7" s="1">
        <v>156.0</v>
      </c>
      <c r="BB7" s="1">
        <v>156.0</v>
      </c>
      <c r="BC7" s="1">
        <v>157.0</v>
      </c>
      <c r="BD7" s="1">
        <v>157.0</v>
      </c>
      <c r="BE7" s="1">
        <v>158.0</v>
      </c>
      <c r="BF7" s="1">
        <v>158.0</v>
      </c>
      <c r="BG7" s="1">
        <v>159.0</v>
      </c>
      <c r="BH7" s="1">
        <v>159.0</v>
      </c>
      <c r="BI7" s="1">
        <v>160.0</v>
      </c>
      <c r="BJ7" s="1">
        <v>160.0</v>
      </c>
      <c r="BK7" s="1">
        <v>161.0</v>
      </c>
      <c r="BL7" s="1">
        <v>161.0</v>
      </c>
      <c r="BM7" s="1">
        <v>162.0</v>
      </c>
      <c r="BN7" s="1">
        <v>162.0</v>
      </c>
      <c r="BO7" s="1">
        <v>163.0</v>
      </c>
      <c r="BP7" s="1">
        <v>163.0</v>
      </c>
      <c r="BQ7" s="1">
        <v>163.0</v>
      </c>
      <c r="BR7" s="1">
        <v>164.0</v>
      </c>
      <c r="BS7" s="1">
        <v>164.0</v>
      </c>
      <c r="BT7" s="1">
        <v>165.0</v>
      </c>
      <c r="BU7" s="1">
        <v>165.0</v>
      </c>
      <c r="BV7" s="1">
        <v>8837.0</v>
      </c>
    </row>
    <row r="8">
      <c r="A8" s="1" t="s">
        <v>145</v>
      </c>
      <c r="B8" s="1">
        <v>2.0</v>
      </c>
      <c r="C8" s="1">
        <v>2.0</v>
      </c>
      <c r="D8" s="1">
        <v>2.0</v>
      </c>
      <c r="E8" s="1">
        <v>2.0</v>
      </c>
      <c r="F8" s="1">
        <v>2.0</v>
      </c>
      <c r="G8" s="1">
        <v>2.0</v>
      </c>
      <c r="H8" s="1">
        <v>2.0</v>
      </c>
      <c r="I8" s="1">
        <v>2.0</v>
      </c>
      <c r="J8" s="1">
        <v>2.0</v>
      </c>
      <c r="K8" s="1">
        <v>2.0</v>
      </c>
      <c r="L8" s="1">
        <v>2.0</v>
      </c>
      <c r="M8" s="1">
        <v>2.0</v>
      </c>
      <c r="N8" s="1">
        <v>2.0</v>
      </c>
      <c r="O8" s="1">
        <v>2.0</v>
      </c>
      <c r="P8" s="1">
        <v>2.0</v>
      </c>
      <c r="Q8" s="1">
        <v>2.0</v>
      </c>
      <c r="R8" s="1">
        <v>2.0</v>
      </c>
      <c r="S8" s="1">
        <v>2.0</v>
      </c>
      <c r="T8" s="1">
        <v>2.0</v>
      </c>
      <c r="U8" s="1">
        <v>2.0</v>
      </c>
      <c r="V8" s="1">
        <v>2.0</v>
      </c>
      <c r="W8" s="1">
        <v>2.0</v>
      </c>
      <c r="X8" s="1">
        <v>2.0</v>
      </c>
      <c r="Y8" s="1">
        <v>2.0</v>
      </c>
      <c r="Z8" s="1">
        <v>2.0</v>
      </c>
      <c r="AA8" s="1">
        <v>2.0</v>
      </c>
      <c r="AB8" s="1">
        <v>2.0</v>
      </c>
      <c r="AC8" s="1">
        <v>2.0</v>
      </c>
      <c r="AD8" s="1">
        <v>2.0</v>
      </c>
      <c r="AE8" s="1">
        <v>2.0</v>
      </c>
      <c r="AF8" s="1">
        <v>2.0</v>
      </c>
      <c r="AG8" s="1">
        <v>2.0</v>
      </c>
      <c r="AH8" s="1">
        <v>2.0</v>
      </c>
      <c r="AI8" s="1">
        <v>2.0</v>
      </c>
      <c r="AJ8" s="1">
        <v>2.0</v>
      </c>
      <c r="AK8" s="1">
        <v>2.0</v>
      </c>
      <c r="AL8" s="1">
        <v>2.0</v>
      </c>
      <c r="AM8" s="1">
        <v>2.0</v>
      </c>
      <c r="AN8" s="1">
        <v>2.0</v>
      </c>
      <c r="AO8" s="1">
        <v>2.0</v>
      </c>
      <c r="AP8" s="1">
        <v>2.0</v>
      </c>
      <c r="AQ8" s="1">
        <v>2.0</v>
      </c>
      <c r="AR8" s="1">
        <v>2.0</v>
      </c>
      <c r="AS8" s="1">
        <v>2.0</v>
      </c>
      <c r="AT8" s="1">
        <v>2.0</v>
      </c>
      <c r="AU8" s="1">
        <v>2.0</v>
      </c>
      <c r="AV8" s="1">
        <v>2.0</v>
      </c>
      <c r="AW8" s="1">
        <v>2.0</v>
      </c>
      <c r="AX8" s="1">
        <v>2.0</v>
      </c>
      <c r="AY8" s="1">
        <v>2.0</v>
      </c>
      <c r="AZ8" s="1">
        <v>2.0</v>
      </c>
      <c r="BA8" s="1">
        <v>2.0</v>
      </c>
      <c r="BB8" s="1">
        <v>2.0</v>
      </c>
      <c r="BC8" s="1">
        <v>2.0</v>
      </c>
      <c r="BD8" s="1">
        <v>2.0</v>
      </c>
      <c r="BE8" s="1">
        <v>2.0</v>
      </c>
      <c r="BF8" s="1">
        <v>2.0</v>
      </c>
      <c r="BG8" s="1">
        <v>2.0</v>
      </c>
      <c r="BH8" s="1">
        <v>2.0</v>
      </c>
      <c r="BI8" s="1">
        <v>2.0</v>
      </c>
      <c r="BJ8" s="1">
        <v>2.0</v>
      </c>
      <c r="BK8" s="1">
        <v>2.0</v>
      </c>
      <c r="BL8" s="1">
        <v>2.0</v>
      </c>
      <c r="BM8" s="1">
        <v>2.0</v>
      </c>
      <c r="BN8" s="1">
        <v>2.0</v>
      </c>
      <c r="BO8" s="1">
        <v>2.0</v>
      </c>
      <c r="BP8" s="1">
        <v>2.0</v>
      </c>
      <c r="BQ8" s="1">
        <v>2.0</v>
      </c>
      <c r="BR8" s="1">
        <v>2.0</v>
      </c>
      <c r="BS8" s="1">
        <v>2.0</v>
      </c>
      <c r="BT8" s="1">
        <v>2.0</v>
      </c>
      <c r="BU8" s="1">
        <v>2.0</v>
      </c>
    </row>
    <row r="9">
      <c r="A9" s="1" t="s">
        <v>146</v>
      </c>
      <c r="B9" s="1">
        <v>30.0</v>
      </c>
      <c r="C9" s="1">
        <v>30.0</v>
      </c>
      <c r="D9" s="1">
        <v>30.0</v>
      </c>
      <c r="E9" s="1">
        <v>30.0</v>
      </c>
      <c r="F9" s="1">
        <v>30.0</v>
      </c>
      <c r="G9" s="1">
        <v>30.0</v>
      </c>
      <c r="H9" s="1">
        <v>30.0</v>
      </c>
      <c r="I9" s="1">
        <v>30.0</v>
      </c>
      <c r="J9" s="1">
        <v>30.0</v>
      </c>
      <c r="K9" s="1">
        <v>30.0</v>
      </c>
      <c r="L9" s="1">
        <v>30.0</v>
      </c>
      <c r="M9" s="1">
        <v>30.0</v>
      </c>
      <c r="N9" s="1">
        <v>30.0</v>
      </c>
      <c r="O9" s="1">
        <v>30.0</v>
      </c>
      <c r="P9" s="1">
        <v>30.0</v>
      </c>
      <c r="Q9" s="1">
        <v>30.0</v>
      </c>
      <c r="R9" s="1">
        <v>30.0</v>
      </c>
      <c r="S9" s="1">
        <v>30.0</v>
      </c>
      <c r="T9" s="1">
        <v>30.0</v>
      </c>
      <c r="U9" s="1">
        <v>30.0</v>
      </c>
      <c r="V9" s="1">
        <v>30.0</v>
      </c>
      <c r="W9" s="1">
        <v>30.0</v>
      </c>
      <c r="X9" s="1">
        <v>30.0</v>
      </c>
      <c r="Y9" s="1">
        <v>30.0</v>
      </c>
      <c r="Z9" s="1">
        <v>30.0</v>
      </c>
      <c r="AA9" s="1">
        <v>30.0</v>
      </c>
      <c r="AB9" s="1">
        <v>30.0</v>
      </c>
      <c r="AC9" s="1">
        <v>30.0</v>
      </c>
      <c r="AD9" s="1">
        <v>30.0</v>
      </c>
      <c r="AE9" s="1">
        <v>30.0</v>
      </c>
      <c r="AF9" s="1">
        <v>30.0</v>
      </c>
      <c r="AG9" s="1">
        <v>30.0</v>
      </c>
      <c r="AH9" s="1">
        <v>30.0</v>
      </c>
      <c r="AI9" s="1">
        <v>30.0</v>
      </c>
      <c r="AJ9" s="1">
        <v>30.0</v>
      </c>
      <c r="AK9" s="1">
        <v>30.0</v>
      </c>
      <c r="AL9" s="1">
        <v>30.0</v>
      </c>
      <c r="AM9" s="1">
        <v>30.0</v>
      </c>
      <c r="AN9" s="1">
        <v>30.0</v>
      </c>
      <c r="AO9" s="1">
        <v>30.0</v>
      </c>
      <c r="AP9" s="1">
        <v>30.0</v>
      </c>
      <c r="AQ9" s="1">
        <v>30.0</v>
      </c>
      <c r="AR9" s="1">
        <v>30.0</v>
      </c>
      <c r="AS9" s="1">
        <v>30.0</v>
      </c>
      <c r="AT9" s="1">
        <v>30.0</v>
      </c>
      <c r="AU9" s="1">
        <v>30.0</v>
      </c>
      <c r="AV9" s="1">
        <v>30.0</v>
      </c>
      <c r="AW9" s="1">
        <v>30.0</v>
      </c>
      <c r="AX9" s="1">
        <v>30.0</v>
      </c>
      <c r="AY9" s="1">
        <v>30.0</v>
      </c>
      <c r="AZ9" s="1">
        <v>30.0</v>
      </c>
      <c r="BA9" s="1">
        <v>30.0</v>
      </c>
      <c r="BB9" s="1">
        <v>30.0</v>
      </c>
      <c r="BC9" s="1">
        <v>30.0</v>
      </c>
      <c r="BD9" s="1">
        <v>30.0</v>
      </c>
      <c r="BE9" s="1">
        <v>30.0</v>
      </c>
      <c r="BF9" s="1">
        <v>30.0</v>
      </c>
      <c r="BG9" s="1">
        <v>30.0</v>
      </c>
      <c r="BH9" s="1">
        <v>30.0</v>
      </c>
      <c r="BI9" s="1">
        <v>30.0</v>
      </c>
      <c r="BJ9" s="1">
        <v>30.0</v>
      </c>
      <c r="BK9" s="1">
        <v>30.0</v>
      </c>
      <c r="BL9" s="1">
        <v>30.0</v>
      </c>
      <c r="BM9" s="1">
        <v>30.0</v>
      </c>
      <c r="BN9" s="1">
        <v>30.0</v>
      </c>
      <c r="BO9" s="1">
        <v>30.0</v>
      </c>
      <c r="BP9" s="1">
        <v>30.0</v>
      </c>
      <c r="BQ9" s="1">
        <v>30.0</v>
      </c>
      <c r="BR9" s="1">
        <v>30.0</v>
      </c>
      <c r="BS9" s="1">
        <v>30.0</v>
      </c>
      <c r="BT9" s="1">
        <v>30.0</v>
      </c>
      <c r="BU9" s="1">
        <v>30.0</v>
      </c>
      <c r="BV9" s="1" t="s">
        <v>150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400.0</v>
      </c>
      <c r="P11" s="1">
        <v>401.0</v>
      </c>
      <c r="Q11" s="1">
        <v>402.0</v>
      </c>
      <c r="R11" s="1">
        <v>404.0</v>
      </c>
      <c r="S11" s="1">
        <v>405.0</v>
      </c>
      <c r="T11" s="1">
        <v>406.0</v>
      </c>
      <c r="U11" s="1">
        <v>407.0</v>
      </c>
      <c r="V11" s="1">
        <v>408.0</v>
      </c>
      <c r="W11" s="1">
        <v>409.0</v>
      </c>
      <c r="X11" s="1">
        <v>411.0</v>
      </c>
      <c r="Y11" s="1">
        <v>412.0</v>
      </c>
      <c r="Z11" s="1">
        <v>413.0</v>
      </c>
      <c r="AA11" s="1">
        <v>414.0</v>
      </c>
      <c r="AB11" s="1">
        <v>416.0</v>
      </c>
      <c r="AC11" s="1">
        <v>417.0</v>
      </c>
      <c r="AD11" s="1">
        <v>418.0</v>
      </c>
      <c r="AE11" s="1">
        <v>419.0</v>
      </c>
      <c r="AF11" s="1">
        <v>420.0</v>
      </c>
      <c r="AG11" s="1">
        <v>422.0</v>
      </c>
      <c r="AH11" s="1">
        <v>423.0</v>
      </c>
      <c r="AI11" s="1">
        <v>424.0</v>
      </c>
      <c r="AJ11" s="1">
        <v>425.0</v>
      </c>
      <c r="AK11" s="1">
        <v>427.0</v>
      </c>
      <c r="AL11" s="1">
        <v>428.0</v>
      </c>
      <c r="AM11" s="1">
        <v>429.0</v>
      </c>
      <c r="AN11" s="1">
        <v>430.0</v>
      </c>
      <c r="AO11" s="1">
        <v>432.0</v>
      </c>
      <c r="AP11" s="1">
        <v>433.0</v>
      </c>
      <c r="AQ11" s="1">
        <v>434.0</v>
      </c>
      <c r="AR11" s="1">
        <v>435.0</v>
      </c>
      <c r="AS11" s="1">
        <v>437.0</v>
      </c>
      <c r="AT11" s="1">
        <v>438.0</v>
      </c>
      <c r="AU11" s="1">
        <v>439.0</v>
      </c>
      <c r="AV11" s="1">
        <v>441.0</v>
      </c>
      <c r="AW11" s="1">
        <v>442.0</v>
      </c>
      <c r="AX11" s="1">
        <v>443.0</v>
      </c>
      <c r="AY11" s="1">
        <v>444.0</v>
      </c>
      <c r="AZ11" s="1">
        <v>446.0</v>
      </c>
      <c r="BA11" s="1">
        <v>447.0</v>
      </c>
      <c r="BB11" s="1">
        <v>448.0</v>
      </c>
      <c r="BC11" s="1">
        <v>450.0</v>
      </c>
      <c r="BD11" s="1">
        <v>451.0</v>
      </c>
      <c r="BE11" s="1">
        <v>452.0</v>
      </c>
      <c r="BF11" s="1">
        <v>454.0</v>
      </c>
      <c r="BG11" s="1">
        <v>455.0</v>
      </c>
      <c r="BH11" s="1">
        <v>456.0</v>
      </c>
      <c r="BI11" s="1">
        <v>458.0</v>
      </c>
      <c r="BJ11" s="1">
        <v>459.0</v>
      </c>
      <c r="BK11" s="1">
        <v>460.0</v>
      </c>
      <c r="BL11" s="1">
        <v>462.0</v>
      </c>
      <c r="BM11" s="1">
        <v>463.0</v>
      </c>
      <c r="BN11" s="1">
        <v>464.0</v>
      </c>
      <c r="BO11" s="1">
        <v>466.0</v>
      </c>
      <c r="BP11" s="1">
        <v>467.0</v>
      </c>
      <c r="BQ11" s="1">
        <v>468.0</v>
      </c>
      <c r="BR11" s="1">
        <v>470.0</v>
      </c>
      <c r="BS11" s="1">
        <v>471.0</v>
      </c>
      <c r="BT11" s="1">
        <v>473.0</v>
      </c>
      <c r="BU11" s="1">
        <v>474.0</v>
      </c>
      <c r="BV11" s="1">
        <v>25722.0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12000.0</v>
      </c>
      <c r="P12" s="1">
        <v>12035.0</v>
      </c>
      <c r="Q12" s="1">
        <v>12070.0</v>
      </c>
      <c r="R12" s="1">
        <v>12106.0</v>
      </c>
      <c r="S12" s="1">
        <v>12141.0</v>
      </c>
      <c r="T12" s="1">
        <v>12177.0</v>
      </c>
      <c r="U12" s="1">
        <v>12213.0</v>
      </c>
      <c r="V12" s="1">
        <v>12248.0</v>
      </c>
      <c r="W12" s="1">
        <v>12284.0</v>
      </c>
      <c r="X12" s="1">
        <v>12320.0</v>
      </c>
      <c r="Y12" s="1">
        <v>12356.0</v>
      </c>
      <c r="Z12" s="1">
        <v>12392.0</v>
      </c>
      <c r="AA12" s="1">
        <v>12429.0</v>
      </c>
      <c r="AB12" s="1">
        <v>12465.0</v>
      </c>
      <c r="AC12" s="1">
        <v>12502.0</v>
      </c>
      <c r="AD12" s="1">
        <v>12538.0</v>
      </c>
      <c r="AE12" s="1">
        <v>12575.0</v>
      </c>
      <c r="AF12" s="1">
        <v>12612.0</v>
      </c>
      <c r="AG12" s="1">
        <v>12649.0</v>
      </c>
      <c r="AH12" s="1">
        <v>12686.0</v>
      </c>
      <c r="AI12" s="1">
        <v>12723.0</v>
      </c>
      <c r="AJ12" s="1">
        <v>12760.0</v>
      </c>
      <c r="AK12" s="1">
        <v>12798.0</v>
      </c>
      <c r="AL12" s="1">
        <v>12835.0</v>
      </c>
      <c r="AM12" s="1">
        <v>12873.0</v>
      </c>
      <c r="AN12" s="1">
        <v>12911.0</v>
      </c>
      <c r="AO12" s="1">
        <v>12948.0</v>
      </c>
      <c r="AP12" s="1">
        <v>12986.0</v>
      </c>
      <c r="AQ12" s="1">
        <v>13024.0</v>
      </c>
      <c r="AR12" s="1">
        <v>13063.0</v>
      </c>
      <c r="AS12" s="1">
        <v>13101.0</v>
      </c>
      <c r="AT12" s="1">
        <v>13139.0</v>
      </c>
      <c r="AU12" s="1">
        <v>13178.0</v>
      </c>
      <c r="AV12" s="1">
        <v>13216.0</v>
      </c>
      <c r="AW12" s="1">
        <v>13255.0</v>
      </c>
      <c r="AX12" s="1">
        <v>13294.0</v>
      </c>
      <c r="AY12" s="1">
        <v>13333.0</v>
      </c>
      <c r="AZ12" s="1">
        <v>13372.0</v>
      </c>
      <c r="BA12" s="1">
        <v>13411.0</v>
      </c>
      <c r="BB12" s="1">
        <v>13450.0</v>
      </c>
      <c r="BC12" s="1">
        <v>13490.0</v>
      </c>
      <c r="BD12" s="1">
        <v>13529.0</v>
      </c>
      <c r="BE12" s="1">
        <v>13569.0</v>
      </c>
      <c r="BF12" s="1">
        <v>13609.0</v>
      </c>
      <c r="BG12" s="1">
        <v>13649.0</v>
      </c>
      <c r="BH12" s="1">
        <v>13689.0</v>
      </c>
      <c r="BI12" s="1">
        <v>13729.0</v>
      </c>
      <c r="BJ12" s="1">
        <v>13769.0</v>
      </c>
      <c r="BK12" s="1">
        <v>13809.0</v>
      </c>
      <c r="BL12" s="1">
        <v>13850.0</v>
      </c>
      <c r="BM12" s="1">
        <v>13890.0</v>
      </c>
      <c r="BN12" s="1">
        <v>13931.0</v>
      </c>
      <c r="BO12" s="1">
        <v>13972.0</v>
      </c>
      <c r="BP12" s="1">
        <v>14013.0</v>
      </c>
      <c r="BQ12" s="1">
        <v>14054.0</v>
      </c>
      <c r="BR12" s="1">
        <v>14095.0</v>
      </c>
      <c r="BS12" s="1">
        <v>14136.0</v>
      </c>
      <c r="BT12" s="1">
        <v>14178.0</v>
      </c>
      <c r="BU12" s="1">
        <v>14219.0</v>
      </c>
      <c r="BV12" s="1">
        <v>771650.0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3600.0</v>
      </c>
      <c r="P13" s="1">
        <v>3611.0</v>
      </c>
      <c r="Q13" s="1">
        <v>3621.0</v>
      </c>
      <c r="R13" s="1">
        <v>3632.0</v>
      </c>
      <c r="S13" s="1">
        <v>3642.0</v>
      </c>
      <c r="T13" s="1">
        <v>3653.0</v>
      </c>
      <c r="U13" s="1">
        <v>3664.0</v>
      </c>
      <c r="V13" s="1">
        <v>3674.0</v>
      </c>
      <c r="W13" s="1">
        <v>3685.0</v>
      </c>
      <c r="X13" s="1">
        <v>3696.0</v>
      </c>
      <c r="Y13" s="1">
        <v>3707.0</v>
      </c>
      <c r="Z13" s="1">
        <v>3718.0</v>
      </c>
      <c r="AA13" s="1">
        <v>3729.0</v>
      </c>
      <c r="AB13" s="1">
        <v>3740.0</v>
      </c>
      <c r="AC13" s="1">
        <v>3751.0</v>
      </c>
      <c r="AD13" s="1">
        <v>3762.0</v>
      </c>
      <c r="AE13" s="1">
        <v>3773.0</v>
      </c>
      <c r="AF13" s="1">
        <v>3784.0</v>
      </c>
      <c r="AG13" s="1">
        <v>3795.0</v>
      </c>
      <c r="AH13" s="1">
        <v>3806.0</v>
      </c>
      <c r="AI13" s="1">
        <v>3817.0</v>
      </c>
      <c r="AJ13" s="1">
        <v>3828.0</v>
      </c>
      <c r="AK13" s="1">
        <v>3839.0</v>
      </c>
      <c r="AL13" s="1">
        <v>3851.0</v>
      </c>
      <c r="AM13" s="1">
        <v>3862.0</v>
      </c>
      <c r="AN13" s="1">
        <v>3873.0</v>
      </c>
      <c r="AO13" s="1">
        <v>3885.0</v>
      </c>
      <c r="AP13" s="1">
        <v>3896.0</v>
      </c>
      <c r="AQ13" s="1">
        <v>3907.0</v>
      </c>
      <c r="AR13" s="1">
        <v>3919.0</v>
      </c>
      <c r="AS13" s="1">
        <v>3930.0</v>
      </c>
      <c r="AT13" s="1">
        <v>3942.0</v>
      </c>
      <c r="AU13" s="1">
        <v>3953.0</v>
      </c>
      <c r="AV13" s="1">
        <v>3965.0</v>
      </c>
      <c r="AW13" s="1">
        <v>3977.0</v>
      </c>
      <c r="AX13" s="1">
        <v>3988.0</v>
      </c>
      <c r="AY13" s="1">
        <v>4000.0</v>
      </c>
      <c r="AZ13" s="1">
        <v>4012.0</v>
      </c>
      <c r="BA13" s="1">
        <v>4023.0</v>
      </c>
      <c r="BB13" s="1">
        <v>4035.0</v>
      </c>
      <c r="BC13" s="1">
        <v>4047.0</v>
      </c>
      <c r="BD13" s="1">
        <v>4059.0</v>
      </c>
      <c r="BE13" s="1">
        <v>4071.0</v>
      </c>
      <c r="BF13" s="1">
        <v>4083.0</v>
      </c>
      <c r="BG13" s="1">
        <v>4095.0</v>
      </c>
      <c r="BH13" s="1">
        <v>4107.0</v>
      </c>
      <c r="BI13" s="1">
        <v>4119.0</v>
      </c>
      <c r="BJ13" s="1">
        <v>4131.0</v>
      </c>
      <c r="BK13" s="1">
        <v>4143.0</v>
      </c>
      <c r="BL13" s="1">
        <v>4155.0</v>
      </c>
      <c r="BM13" s="1">
        <v>4167.0</v>
      </c>
      <c r="BN13" s="1">
        <v>4179.0</v>
      </c>
      <c r="BO13" s="1">
        <v>4192.0</v>
      </c>
      <c r="BP13" s="1">
        <v>4204.0</v>
      </c>
      <c r="BQ13" s="1">
        <v>4216.0</v>
      </c>
      <c r="BR13" s="1">
        <v>4229.0</v>
      </c>
      <c r="BS13" s="1">
        <v>4241.0</v>
      </c>
      <c r="BT13" s="1">
        <v>4253.0</v>
      </c>
      <c r="BU13" s="1">
        <v>4266.0</v>
      </c>
      <c r="BV13" s="1">
        <v>231495.0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3600.0</v>
      </c>
      <c r="P15" s="1">
        <v>3611.0</v>
      </c>
      <c r="Q15" s="1">
        <v>3621.0</v>
      </c>
      <c r="R15" s="1">
        <v>3632.0</v>
      </c>
      <c r="S15" s="1">
        <v>3642.0</v>
      </c>
      <c r="T15" s="1">
        <v>3653.0</v>
      </c>
      <c r="U15" s="1">
        <v>3664.0</v>
      </c>
      <c r="V15" s="1">
        <v>3674.0</v>
      </c>
      <c r="W15" s="1">
        <v>3685.0</v>
      </c>
      <c r="X15" s="1">
        <v>3696.0</v>
      </c>
      <c r="Y15" s="1">
        <v>3707.0</v>
      </c>
      <c r="Z15" s="1">
        <v>3718.0</v>
      </c>
      <c r="AA15" s="1">
        <v>3729.0</v>
      </c>
      <c r="AB15" s="1">
        <v>3740.0</v>
      </c>
      <c r="AC15" s="1">
        <v>3751.0</v>
      </c>
      <c r="AD15" s="1">
        <v>3762.0</v>
      </c>
      <c r="AE15" s="1">
        <v>3773.0</v>
      </c>
      <c r="AF15" s="1">
        <v>3784.0</v>
      </c>
      <c r="AG15" s="1">
        <v>3795.0</v>
      </c>
      <c r="AH15" s="1">
        <v>3806.0</v>
      </c>
      <c r="AI15" s="1">
        <v>3817.0</v>
      </c>
      <c r="AJ15" s="1">
        <v>3828.0</v>
      </c>
      <c r="AK15" s="1">
        <v>3839.0</v>
      </c>
      <c r="AL15" s="1">
        <v>3851.0</v>
      </c>
      <c r="AM15" s="1">
        <v>3862.0</v>
      </c>
      <c r="AN15" s="1">
        <v>3873.0</v>
      </c>
      <c r="AO15" s="1">
        <v>3885.0</v>
      </c>
      <c r="AP15" s="1">
        <v>3896.0</v>
      </c>
      <c r="AQ15" s="1">
        <v>3907.0</v>
      </c>
      <c r="AR15" s="1">
        <v>3919.0</v>
      </c>
      <c r="AS15" s="1">
        <v>3930.0</v>
      </c>
      <c r="AT15" s="1">
        <v>3942.0</v>
      </c>
      <c r="AU15" s="1">
        <v>3953.0</v>
      </c>
      <c r="AV15" s="1">
        <v>3965.0</v>
      </c>
      <c r="AW15" s="1">
        <v>3977.0</v>
      </c>
      <c r="AX15" s="1">
        <v>3988.0</v>
      </c>
      <c r="AY15" s="1">
        <v>4000.0</v>
      </c>
      <c r="AZ15" s="1">
        <v>4012.0</v>
      </c>
      <c r="BA15" s="1">
        <v>4023.0</v>
      </c>
      <c r="BB15" s="1">
        <v>4035.0</v>
      </c>
      <c r="BC15" s="1">
        <v>4047.0</v>
      </c>
      <c r="BD15" s="1">
        <v>4059.0</v>
      </c>
      <c r="BE15" s="1">
        <v>4071.0</v>
      </c>
      <c r="BF15" s="1">
        <v>4083.0</v>
      </c>
      <c r="BG15" s="1">
        <v>4095.0</v>
      </c>
      <c r="BH15" s="1">
        <v>4107.0</v>
      </c>
      <c r="BI15" s="1">
        <v>4119.0</v>
      </c>
      <c r="BJ15" s="1">
        <v>4131.0</v>
      </c>
      <c r="BK15" s="1">
        <v>4143.0</v>
      </c>
      <c r="BL15" s="1">
        <v>4155.0</v>
      </c>
      <c r="BM15" s="1">
        <v>4167.0</v>
      </c>
      <c r="BN15" s="1">
        <v>4179.0</v>
      </c>
      <c r="BO15" s="1">
        <v>4192.0</v>
      </c>
      <c r="BP15" s="1">
        <v>4204.0</v>
      </c>
      <c r="BQ15" s="1">
        <v>4216.0</v>
      </c>
      <c r="BR15" s="1">
        <v>4229.0</v>
      </c>
      <c r="BS15" s="1">
        <v>4241.0</v>
      </c>
      <c r="BT15" s="1">
        <v>4253.0</v>
      </c>
      <c r="BU15" s="1">
        <v>4266.0</v>
      </c>
      <c r="BV15" s="1">
        <v>231495.0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8400.0</v>
      </c>
      <c r="P16" s="1">
        <v>8425.0</v>
      </c>
      <c r="Q16" s="1">
        <v>8449.0</v>
      </c>
      <c r="R16" s="1">
        <v>8474.0</v>
      </c>
      <c r="S16" s="1">
        <v>8499.0</v>
      </c>
      <c r="T16" s="1">
        <v>8524.0</v>
      </c>
      <c r="U16" s="1">
        <v>8549.0</v>
      </c>
      <c r="V16" s="1">
        <v>8574.0</v>
      </c>
      <c r="W16" s="1">
        <v>8599.0</v>
      </c>
      <c r="X16" s="1">
        <v>8624.0</v>
      </c>
      <c r="Y16" s="1">
        <v>8649.0</v>
      </c>
      <c r="Z16" s="1">
        <v>8675.0</v>
      </c>
      <c r="AA16" s="1">
        <v>8700.0</v>
      </c>
      <c r="AB16" s="1">
        <v>8726.0</v>
      </c>
      <c r="AC16" s="1">
        <v>8751.0</v>
      </c>
      <c r="AD16" s="1">
        <v>8777.0</v>
      </c>
      <c r="AE16" s="1">
        <v>8803.0</v>
      </c>
      <c r="AF16" s="1">
        <v>8828.0</v>
      </c>
      <c r="AG16" s="1">
        <v>8854.0</v>
      </c>
      <c r="AH16" s="1">
        <v>8880.0</v>
      </c>
      <c r="AI16" s="1">
        <v>8906.0</v>
      </c>
      <c r="AJ16" s="1">
        <v>8932.0</v>
      </c>
      <c r="AK16" s="1">
        <v>8958.0</v>
      </c>
      <c r="AL16" s="1">
        <v>8985.0</v>
      </c>
      <c r="AM16" s="1">
        <v>9011.0</v>
      </c>
      <c r="AN16" s="1">
        <v>9037.0</v>
      </c>
      <c r="AO16" s="1">
        <v>9064.0</v>
      </c>
      <c r="AP16" s="1">
        <v>9090.0</v>
      </c>
      <c r="AQ16" s="1">
        <v>9117.0</v>
      </c>
      <c r="AR16" s="1">
        <v>9144.0</v>
      </c>
      <c r="AS16" s="1">
        <v>9171.0</v>
      </c>
      <c r="AT16" s="1">
        <v>9197.0</v>
      </c>
      <c r="AU16" s="1">
        <v>9224.0</v>
      </c>
      <c r="AV16" s="1">
        <v>9251.0</v>
      </c>
      <c r="AW16" s="1">
        <v>9279.0</v>
      </c>
      <c r="AX16" s="1">
        <v>9306.0</v>
      </c>
      <c r="AY16" s="1">
        <v>9333.0</v>
      </c>
      <c r="AZ16" s="1">
        <v>9360.0</v>
      </c>
      <c r="BA16" s="1">
        <v>9388.0</v>
      </c>
      <c r="BB16" s="1">
        <v>9415.0</v>
      </c>
      <c r="BC16" s="1">
        <v>9443.0</v>
      </c>
      <c r="BD16" s="1">
        <v>9471.0</v>
      </c>
      <c r="BE16" s="1">
        <v>9498.0</v>
      </c>
      <c r="BF16" s="1">
        <v>9526.0</v>
      </c>
      <c r="BG16" s="1">
        <v>9554.0</v>
      </c>
      <c r="BH16" s="1">
        <v>9582.0</v>
      </c>
      <c r="BI16" s="1">
        <v>9610.0</v>
      </c>
      <c r="BJ16" s="1">
        <v>9638.0</v>
      </c>
      <c r="BK16" s="1">
        <v>9666.0</v>
      </c>
      <c r="BL16" s="1">
        <v>9695.0</v>
      </c>
      <c r="BM16" s="1">
        <v>9723.0</v>
      </c>
      <c r="BN16" s="1">
        <v>9752.0</v>
      </c>
      <c r="BO16" s="1">
        <v>9780.0</v>
      </c>
      <c r="BP16" s="1">
        <v>9809.0</v>
      </c>
      <c r="BQ16" s="1">
        <v>9838.0</v>
      </c>
      <c r="BR16" s="1">
        <v>9867.0</v>
      </c>
      <c r="BS16" s="1">
        <v>9895.0</v>
      </c>
      <c r="BT16" s="1">
        <v>9924.0</v>
      </c>
      <c r="BU16" s="1">
        <v>9953.0</v>
      </c>
      <c r="BV16" s="1">
        <v>540155.0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209</v>
      </c>
    </row>
    <row r="2">
      <c r="A2" s="1" t="s">
        <v>210</v>
      </c>
    </row>
    <row r="3">
      <c r="A3" s="1" t="s">
        <v>201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25000.0</v>
      </c>
      <c r="Q6" s="1">
        <v>25073.0</v>
      </c>
      <c r="R6" s="1">
        <v>25147.0</v>
      </c>
      <c r="S6" s="1">
        <v>25220.0</v>
      </c>
      <c r="T6" s="1">
        <v>25294.0</v>
      </c>
      <c r="U6" s="1">
        <v>25368.0</v>
      </c>
      <c r="V6" s="1">
        <v>25443.0</v>
      </c>
      <c r="W6" s="1">
        <v>25517.0</v>
      </c>
      <c r="X6" s="1">
        <v>25592.0</v>
      </c>
      <c r="Y6" s="1">
        <v>25667.0</v>
      </c>
      <c r="Z6" s="1">
        <v>25742.0</v>
      </c>
      <c r="AA6" s="1">
        <v>25818.0</v>
      </c>
      <c r="AB6" s="1">
        <v>25893.0</v>
      </c>
      <c r="AC6" s="1">
        <v>25969.0</v>
      </c>
      <c r="AD6" s="1">
        <v>26045.0</v>
      </c>
      <c r="AE6" s="1">
        <v>26122.0</v>
      </c>
      <c r="AF6" s="1">
        <v>26198.0</v>
      </c>
      <c r="AG6" s="1">
        <v>26275.0</v>
      </c>
      <c r="AH6" s="1">
        <v>26352.0</v>
      </c>
      <c r="AI6" s="1">
        <v>26429.0</v>
      </c>
      <c r="AJ6" s="1">
        <v>26507.0</v>
      </c>
      <c r="AK6" s="1">
        <v>26584.0</v>
      </c>
      <c r="AL6" s="1">
        <v>26662.0</v>
      </c>
      <c r="AM6" s="1">
        <v>26740.0</v>
      </c>
      <c r="AN6" s="1">
        <v>26819.0</v>
      </c>
      <c r="AO6" s="1">
        <v>26897.0</v>
      </c>
      <c r="AP6" s="1">
        <v>26976.0</v>
      </c>
      <c r="AQ6" s="1">
        <v>27055.0</v>
      </c>
      <c r="AR6" s="1">
        <v>27134.0</v>
      </c>
      <c r="AS6" s="1">
        <v>27214.0</v>
      </c>
      <c r="AT6" s="1">
        <v>27293.0</v>
      </c>
      <c r="AU6" s="1">
        <v>27373.0</v>
      </c>
      <c r="AV6" s="1">
        <v>27454.0</v>
      </c>
      <c r="AW6" s="1">
        <v>27534.0</v>
      </c>
      <c r="AX6" s="1">
        <v>27615.0</v>
      </c>
      <c r="AY6" s="1">
        <v>27696.0</v>
      </c>
      <c r="AZ6" s="1">
        <v>27777.0</v>
      </c>
      <c r="BA6" s="1">
        <v>27858.0</v>
      </c>
      <c r="BB6" s="1">
        <v>27940.0</v>
      </c>
      <c r="BC6" s="1">
        <v>28022.0</v>
      </c>
      <c r="BD6" s="1">
        <v>28104.0</v>
      </c>
      <c r="BE6" s="1">
        <v>28186.0</v>
      </c>
      <c r="BF6" s="1">
        <v>28269.0</v>
      </c>
      <c r="BG6" s="1">
        <v>28352.0</v>
      </c>
      <c r="BH6" s="1">
        <v>28435.0</v>
      </c>
      <c r="BI6" s="1">
        <v>28518.0</v>
      </c>
      <c r="BJ6" s="1">
        <v>28601.0</v>
      </c>
      <c r="BK6" s="1">
        <v>28685.0</v>
      </c>
      <c r="BL6" s="1">
        <v>28769.0</v>
      </c>
      <c r="BM6" s="1">
        <v>28854.0</v>
      </c>
      <c r="BN6" s="1">
        <v>28938.0</v>
      </c>
      <c r="BO6" s="1">
        <v>29023.0</v>
      </c>
      <c r="BP6" s="1">
        <v>29108.0</v>
      </c>
      <c r="BQ6" s="1">
        <v>29193.0</v>
      </c>
      <c r="BR6" s="1">
        <v>29279.0</v>
      </c>
      <c r="BS6" s="1">
        <v>29365.0</v>
      </c>
      <c r="BT6" s="1">
        <v>29451.0</v>
      </c>
      <c r="BU6" s="1">
        <v>29537.0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175.0</v>
      </c>
      <c r="R7" s="1">
        <v>176.0</v>
      </c>
      <c r="S7" s="1">
        <v>176.0</v>
      </c>
      <c r="T7" s="1">
        <v>177.0</v>
      </c>
      <c r="U7" s="1">
        <v>177.0</v>
      </c>
      <c r="V7" s="1">
        <v>178.0</v>
      </c>
      <c r="W7" s="1">
        <v>178.0</v>
      </c>
      <c r="X7" s="1">
        <v>179.0</v>
      </c>
      <c r="Y7" s="1">
        <v>179.0</v>
      </c>
      <c r="Z7" s="1">
        <v>180.0</v>
      </c>
      <c r="AA7" s="1">
        <v>180.0</v>
      </c>
      <c r="AB7" s="1">
        <v>181.0</v>
      </c>
      <c r="AC7" s="1">
        <v>181.0</v>
      </c>
      <c r="AD7" s="1">
        <v>182.0</v>
      </c>
      <c r="AE7" s="1">
        <v>182.0</v>
      </c>
      <c r="AF7" s="1">
        <v>183.0</v>
      </c>
      <c r="AG7" s="1">
        <v>183.0</v>
      </c>
      <c r="AH7" s="1">
        <v>184.0</v>
      </c>
      <c r="AI7" s="1">
        <v>184.0</v>
      </c>
      <c r="AJ7" s="1">
        <v>185.0</v>
      </c>
      <c r="AK7" s="1">
        <v>186.0</v>
      </c>
      <c r="AL7" s="1">
        <v>186.0</v>
      </c>
      <c r="AM7" s="1">
        <v>187.0</v>
      </c>
      <c r="AN7" s="1">
        <v>187.0</v>
      </c>
      <c r="AO7" s="1">
        <v>188.0</v>
      </c>
      <c r="AP7" s="1">
        <v>188.0</v>
      </c>
      <c r="AQ7" s="1">
        <v>189.0</v>
      </c>
      <c r="AR7" s="1">
        <v>189.0</v>
      </c>
      <c r="AS7" s="1">
        <v>190.0</v>
      </c>
      <c r="AT7" s="1">
        <v>190.0</v>
      </c>
      <c r="AU7" s="1">
        <v>191.0</v>
      </c>
      <c r="AV7" s="1">
        <v>192.0</v>
      </c>
      <c r="AW7" s="1">
        <v>192.0</v>
      </c>
      <c r="AX7" s="1">
        <v>193.0</v>
      </c>
      <c r="AY7" s="1">
        <v>193.0</v>
      </c>
      <c r="AZ7" s="1">
        <v>194.0</v>
      </c>
      <c r="BA7" s="1">
        <v>194.0</v>
      </c>
      <c r="BB7" s="1">
        <v>195.0</v>
      </c>
      <c r="BC7" s="1">
        <v>196.0</v>
      </c>
      <c r="BD7" s="1">
        <v>196.0</v>
      </c>
      <c r="BE7" s="1">
        <v>197.0</v>
      </c>
      <c r="BF7" s="1">
        <v>197.0</v>
      </c>
      <c r="BG7" s="1">
        <v>198.0</v>
      </c>
      <c r="BH7" s="1">
        <v>198.0</v>
      </c>
      <c r="BI7" s="1">
        <v>199.0</v>
      </c>
      <c r="BJ7" s="1">
        <v>200.0</v>
      </c>
      <c r="BK7" s="1">
        <v>200.0</v>
      </c>
      <c r="BL7" s="1">
        <v>201.0</v>
      </c>
      <c r="BM7" s="1">
        <v>201.0</v>
      </c>
      <c r="BN7" s="1">
        <v>202.0</v>
      </c>
      <c r="BO7" s="1">
        <v>203.0</v>
      </c>
      <c r="BP7" s="1">
        <v>203.0</v>
      </c>
      <c r="BQ7" s="1">
        <v>204.0</v>
      </c>
      <c r="BR7" s="1">
        <v>204.0</v>
      </c>
      <c r="BS7" s="1">
        <v>205.0</v>
      </c>
      <c r="BT7" s="1">
        <v>206.0</v>
      </c>
      <c r="BU7" s="1">
        <v>206.0</v>
      </c>
      <c r="BV7" s="1">
        <v>10839.0</v>
      </c>
    </row>
    <row r="8">
      <c r="A8" s="1" t="s">
        <v>145</v>
      </c>
      <c r="B8" s="1">
        <v>1.3</v>
      </c>
      <c r="C8" s="1">
        <v>1.3</v>
      </c>
      <c r="D8" s="1">
        <v>1.3</v>
      </c>
      <c r="E8" s="1">
        <v>1.3</v>
      </c>
      <c r="F8" s="1">
        <v>1.3</v>
      </c>
      <c r="G8" s="1">
        <v>1.3</v>
      </c>
      <c r="H8" s="1">
        <v>1.3</v>
      </c>
      <c r="I8" s="1">
        <v>1.3</v>
      </c>
      <c r="J8" s="1">
        <v>1.3</v>
      </c>
      <c r="K8" s="1">
        <v>1.3</v>
      </c>
      <c r="L8" s="1">
        <v>1.3</v>
      </c>
      <c r="M8" s="1">
        <v>1.3</v>
      </c>
      <c r="N8" s="1">
        <v>1.3</v>
      </c>
      <c r="O8" s="1">
        <v>1.3</v>
      </c>
      <c r="P8" s="1">
        <v>1.3</v>
      </c>
      <c r="Q8" s="1">
        <v>1.3</v>
      </c>
      <c r="R8" s="1">
        <v>1.3</v>
      </c>
      <c r="S8" s="1">
        <v>1.3</v>
      </c>
      <c r="T8" s="1">
        <v>1.3</v>
      </c>
      <c r="U8" s="1">
        <v>1.3</v>
      </c>
      <c r="V8" s="1">
        <v>1.3</v>
      </c>
      <c r="W8" s="1">
        <v>1.3</v>
      </c>
      <c r="X8" s="1">
        <v>1.3</v>
      </c>
      <c r="Y8" s="1">
        <v>1.3</v>
      </c>
      <c r="Z8" s="1">
        <v>1.3</v>
      </c>
      <c r="AA8" s="1">
        <v>1.3</v>
      </c>
      <c r="AB8" s="1">
        <v>1.3</v>
      </c>
      <c r="AC8" s="1">
        <v>1.3</v>
      </c>
      <c r="AD8" s="1">
        <v>1.3</v>
      </c>
      <c r="AE8" s="1">
        <v>1.3</v>
      </c>
      <c r="AF8" s="1">
        <v>1.3</v>
      </c>
      <c r="AG8" s="1">
        <v>1.3</v>
      </c>
      <c r="AH8" s="1">
        <v>1.3</v>
      </c>
      <c r="AI8" s="1">
        <v>1.3</v>
      </c>
      <c r="AJ8" s="1">
        <v>1.3</v>
      </c>
      <c r="AK8" s="1">
        <v>1.3</v>
      </c>
      <c r="AL8" s="1">
        <v>1.3</v>
      </c>
      <c r="AM8" s="1">
        <v>1.3</v>
      </c>
      <c r="AN8" s="1">
        <v>1.3</v>
      </c>
      <c r="AO8" s="1">
        <v>1.3</v>
      </c>
      <c r="AP8" s="1">
        <v>1.3</v>
      </c>
      <c r="AQ8" s="1">
        <v>1.3</v>
      </c>
      <c r="AR8" s="1">
        <v>1.3</v>
      </c>
      <c r="AS8" s="1">
        <v>1.3</v>
      </c>
      <c r="AT8" s="1">
        <v>1.3</v>
      </c>
      <c r="AU8" s="1">
        <v>1.3</v>
      </c>
      <c r="AV8" s="1">
        <v>1.3</v>
      </c>
      <c r="AW8" s="1">
        <v>1.3</v>
      </c>
      <c r="AX8" s="1">
        <v>1.3</v>
      </c>
      <c r="AY8" s="1">
        <v>1.3</v>
      </c>
      <c r="AZ8" s="1">
        <v>1.3</v>
      </c>
      <c r="BA8" s="1">
        <v>1.3</v>
      </c>
      <c r="BB8" s="1">
        <v>1.3</v>
      </c>
      <c r="BC8" s="1">
        <v>1.3</v>
      </c>
      <c r="BD8" s="1">
        <v>1.3</v>
      </c>
      <c r="BE8" s="1">
        <v>1.3</v>
      </c>
      <c r="BF8" s="1">
        <v>1.3</v>
      </c>
      <c r="BG8" s="1">
        <v>1.3</v>
      </c>
      <c r="BH8" s="1">
        <v>1.3</v>
      </c>
      <c r="BI8" s="1">
        <v>1.3</v>
      </c>
      <c r="BJ8" s="1">
        <v>1.3</v>
      </c>
      <c r="BK8" s="1">
        <v>1.3</v>
      </c>
      <c r="BL8" s="1">
        <v>1.3</v>
      </c>
      <c r="BM8" s="1">
        <v>1.3</v>
      </c>
      <c r="BN8" s="1">
        <v>1.3</v>
      </c>
      <c r="BO8" s="1">
        <v>1.3</v>
      </c>
      <c r="BP8" s="1">
        <v>1.3</v>
      </c>
      <c r="BQ8" s="1">
        <v>1.3</v>
      </c>
      <c r="BR8" s="1">
        <v>1.3</v>
      </c>
      <c r="BS8" s="1">
        <v>1.3</v>
      </c>
      <c r="BT8" s="1">
        <v>1.3</v>
      </c>
      <c r="BU8" s="1">
        <v>1.3</v>
      </c>
    </row>
    <row r="9">
      <c r="A9" s="1" t="s">
        <v>146</v>
      </c>
      <c r="B9" s="1">
        <v>60.0</v>
      </c>
      <c r="C9" s="1">
        <v>60.0</v>
      </c>
      <c r="D9" s="1">
        <v>60.0</v>
      </c>
      <c r="E9" s="1">
        <v>60.0</v>
      </c>
      <c r="F9" s="1">
        <v>60.0</v>
      </c>
      <c r="G9" s="1">
        <v>60.0</v>
      </c>
      <c r="H9" s="1">
        <v>60.0</v>
      </c>
      <c r="I9" s="1">
        <v>60.0</v>
      </c>
      <c r="J9" s="1">
        <v>60.0</v>
      </c>
      <c r="K9" s="1">
        <v>60.0</v>
      </c>
      <c r="L9" s="1">
        <v>60.0</v>
      </c>
      <c r="M9" s="1">
        <v>60.0</v>
      </c>
      <c r="N9" s="1">
        <v>60.0</v>
      </c>
      <c r="O9" s="1">
        <v>60.0</v>
      </c>
      <c r="P9" s="1">
        <v>60.0</v>
      </c>
      <c r="Q9" s="1">
        <v>60.0</v>
      </c>
      <c r="R9" s="1">
        <v>60.0</v>
      </c>
      <c r="S9" s="1">
        <v>60.0</v>
      </c>
      <c r="T9" s="1">
        <v>60.0</v>
      </c>
      <c r="U9" s="1">
        <v>60.0</v>
      </c>
      <c r="V9" s="1">
        <v>60.0</v>
      </c>
      <c r="W9" s="1">
        <v>60.0</v>
      </c>
      <c r="X9" s="1">
        <v>60.0</v>
      </c>
      <c r="Y9" s="1">
        <v>60.0</v>
      </c>
      <c r="Z9" s="1">
        <v>60.0</v>
      </c>
      <c r="AA9" s="1">
        <v>60.0</v>
      </c>
      <c r="AB9" s="1">
        <v>60.0</v>
      </c>
      <c r="AC9" s="1">
        <v>60.0</v>
      </c>
      <c r="AD9" s="1">
        <v>60.0</v>
      </c>
      <c r="AE9" s="1">
        <v>60.0</v>
      </c>
      <c r="AF9" s="1">
        <v>60.0</v>
      </c>
      <c r="AG9" s="1">
        <v>60.0</v>
      </c>
      <c r="AH9" s="1">
        <v>60.0</v>
      </c>
      <c r="AI9" s="1">
        <v>60.0</v>
      </c>
      <c r="AJ9" s="1">
        <v>60.0</v>
      </c>
      <c r="AK9" s="1">
        <v>60.0</v>
      </c>
      <c r="AL9" s="1">
        <v>60.0</v>
      </c>
      <c r="AM9" s="1">
        <v>60.0</v>
      </c>
      <c r="AN9" s="1">
        <v>60.0</v>
      </c>
      <c r="AO9" s="1">
        <v>60.0</v>
      </c>
      <c r="AP9" s="1">
        <v>60.0</v>
      </c>
      <c r="AQ9" s="1">
        <v>60.0</v>
      </c>
      <c r="AR9" s="1">
        <v>60.0</v>
      </c>
      <c r="AS9" s="1">
        <v>60.0</v>
      </c>
      <c r="AT9" s="1">
        <v>60.0</v>
      </c>
      <c r="AU9" s="1">
        <v>60.0</v>
      </c>
      <c r="AV9" s="1">
        <v>60.0</v>
      </c>
      <c r="AW9" s="1">
        <v>60.0</v>
      </c>
      <c r="AX9" s="1">
        <v>60.0</v>
      </c>
      <c r="AY9" s="1">
        <v>60.0</v>
      </c>
      <c r="AZ9" s="1">
        <v>60.0</v>
      </c>
      <c r="BA9" s="1">
        <v>60.0</v>
      </c>
      <c r="BB9" s="1">
        <v>60.0</v>
      </c>
      <c r="BC9" s="1">
        <v>60.0</v>
      </c>
      <c r="BD9" s="1">
        <v>60.0</v>
      </c>
      <c r="BE9" s="1">
        <v>60.0</v>
      </c>
      <c r="BF9" s="1">
        <v>60.0</v>
      </c>
      <c r="BG9" s="1">
        <v>60.0</v>
      </c>
      <c r="BH9" s="1">
        <v>60.0</v>
      </c>
      <c r="BI9" s="1">
        <v>60.0</v>
      </c>
      <c r="BJ9" s="1">
        <v>60.0</v>
      </c>
      <c r="BK9" s="1">
        <v>60.0</v>
      </c>
      <c r="BL9" s="1">
        <v>60.0</v>
      </c>
      <c r="BM9" s="1">
        <v>60.0</v>
      </c>
      <c r="BN9" s="1">
        <v>60.0</v>
      </c>
      <c r="BO9" s="1">
        <v>60.0</v>
      </c>
      <c r="BP9" s="1">
        <v>60.0</v>
      </c>
      <c r="BQ9" s="1">
        <v>60.0</v>
      </c>
      <c r="BR9" s="1">
        <v>60.0</v>
      </c>
      <c r="BS9" s="1">
        <v>60.0</v>
      </c>
      <c r="BT9" s="1">
        <v>60.0</v>
      </c>
      <c r="BU9" s="1">
        <v>60.0</v>
      </c>
      <c r="BV9" s="1" t="s">
        <v>202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325.0</v>
      </c>
      <c r="Q11" s="1">
        <v>326.0</v>
      </c>
      <c r="R11" s="1">
        <v>327.0</v>
      </c>
      <c r="S11" s="1">
        <v>328.0</v>
      </c>
      <c r="T11" s="1">
        <v>329.0</v>
      </c>
      <c r="U11" s="1">
        <v>330.0</v>
      </c>
      <c r="V11" s="1">
        <v>331.0</v>
      </c>
      <c r="W11" s="1">
        <v>332.0</v>
      </c>
      <c r="X11" s="1">
        <v>333.0</v>
      </c>
      <c r="Y11" s="1">
        <v>334.0</v>
      </c>
      <c r="Z11" s="1">
        <v>335.0</v>
      </c>
      <c r="AA11" s="1">
        <v>336.0</v>
      </c>
      <c r="AB11" s="1">
        <v>337.0</v>
      </c>
      <c r="AC11" s="1">
        <v>338.0</v>
      </c>
      <c r="AD11" s="1">
        <v>339.0</v>
      </c>
      <c r="AE11" s="1">
        <v>340.0</v>
      </c>
      <c r="AF11" s="1">
        <v>341.0</v>
      </c>
      <c r="AG11" s="1">
        <v>342.0</v>
      </c>
      <c r="AH11" s="1">
        <v>343.0</v>
      </c>
      <c r="AI11" s="1">
        <v>344.0</v>
      </c>
      <c r="AJ11" s="1">
        <v>345.0</v>
      </c>
      <c r="AK11" s="1">
        <v>346.0</v>
      </c>
      <c r="AL11" s="1">
        <v>347.0</v>
      </c>
      <c r="AM11" s="1">
        <v>348.0</v>
      </c>
      <c r="AN11" s="1">
        <v>349.0</v>
      </c>
      <c r="AO11" s="1">
        <v>350.0</v>
      </c>
      <c r="AP11" s="1">
        <v>351.0</v>
      </c>
      <c r="AQ11" s="1">
        <v>352.0</v>
      </c>
      <c r="AR11" s="1">
        <v>353.0</v>
      </c>
      <c r="AS11" s="1">
        <v>354.0</v>
      </c>
      <c r="AT11" s="1">
        <v>355.0</v>
      </c>
      <c r="AU11" s="1">
        <v>356.0</v>
      </c>
      <c r="AV11" s="1">
        <v>357.0</v>
      </c>
      <c r="AW11" s="1">
        <v>358.0</v>
      </c>
      <c r="AX11" s="1">
        <v>359.0</v>
      </c>
      <c r="AY11" s="1">
        <v>360.0</v>
      </c>
      <c r="AZ11" s="1">
        <v>361.0</v>
      </c>
      <c r="BA11" s="1">
        <v>362.0</v>
      </c>
      <c r="BB11" s="1">
        <v>363.0</v>
      </c>
      <c r="BC11" s="1">
        <v>364.0</v>
      </c>
      <c r="BD11" s="1">
        <v>365.0</v>
      </c>
      <c r="BE11" s="1">
        <v>366.0</v>
      </c>
      <c r="BF11" s="1">
        <v>367.0</v>
      </c>
      <c r="BG11" s="1">
        <v>369.0</v>
      </c>
      <c r="BH11" s="1">
        <v>370.0</v>
      </c>
      <c r="BI11" s="1">
        <v>371.0</v>
      </c>
      <c r="BJ11" s="1">
        <v>372.0</v>
      </c>
      <c r="BK11" s="1">
        <v>373.0</v>
      </c>
      <c r="BL11" s="1">
        <v>374.0</v>
      </c>
      <c r="BM11" s="1">
        <v>375.0</v>
      </c>
      <c r="BN11" s="1">
        <v>376.0</v>
      </c>
      <c r="BO11" s="1">
        <v>377.0</v>
      </c>
      <c r="BP11" s="1">
        <v>378.0</v>
      </c>
      <c r="BQ11" s="1">
        <v>380.0</v>
      </c>
      <c r="BR11" s="1">
        <v>381.0</v>
      </c>
      <c r="BS11" s="1">
        <v>382.0</v>
      </c>
      <c r="BT11" s="1">
        <v>383.0</v>
      </c>
      <c r="BU11" s="1">
        <v>384.0</v>
      </c>
      <c r="BV11" s="1">
        <v>20514.0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19500.0</v>
      </c>
      <c r="Q12" s="1">
        <v>19557.0</v>
      </c>
      <c r="R12" s="1">
        <v>19614.0</v>
      </c>
      <c r="S12" s="1">
        <v>19672.0</v>
      </c>
      <c r="T12" s="1">
        <v>19730.0</v>
      </c>
      <c r="U12" s="1">
        <v>19787.0</v>
      </c>
      <c r="V12" s="1">
        <v>19845.0</v>
      </c>
      <c r="W12" s="1">
        <v>19903.0</v>
      </c>
      <c r="X12" s="1">
        <v>19962.0</v>
      </c>
      <c r="Y12" s="1">
        <v>20020.0</v>
      </c>
      <c r="Z12" s="1">
        <v>20079.0</v>
      </c>
      <c r="AA12" s="1">
        <v>20138.0</v>
      </c>
      <c r="AB12" s="1">
        <v>20197.0</v>
      </c>
      <c r="AC12" s="1">
        <v>20256.0</v>
      </c>
      <c r="AD12" s="1">
        <v>20315.0</v>
      </c>
      <c r="AE12" s="1">
        <v>20375.0</v>
      </c>
      <c r="AF12" s="1">
        <v>20435.0</v>
      </c>
      <c r="AG12" s="1">
        <v>20494.0</v>
      </c>
      <c r="AH12" s="1">
        <v>20554.0</v>
      </c>
      <c r="AI12" s="1">
        <v>20615.0</v>
      </c>
      <c r="AJ12" s="1">
        <v>20675.0</v>
      </c>
      <c r="AK12" s="1">
        <v>20736.0</v>
      </c>
      <c r="AL12" s="1">
        <v>20796.0</v>
      </c>
      <c r="AM12" s="1">
        <v>20857.0</v>
      </c>
      <c r="AN12" s="1">
        <v>20918.0</v>
      </c>
      <c r="AO12" s="1">
        <v>20980.0</v>
      </c>
      <c r="AP12" s="1">
        <v>21041.0</v>
      </c>
      <c r="AQ12" s="1">
        <v>21103.0</v>
      </c>
      <c r="AR12" s="1">
        <v>21165.0</v>
      </c>
      <c r="AS12" s="1">
        <v>21227.0</v>
      </c>
      <c r="AT12" s="1">
        <v>21289.0</v>
      </c>
      <c r="AU12" s="1">
        <v>21351.0</v>
      </c>
      <c r="AV12" s="1">
        <v>21414.0</v>
      </c>
      <c r="AW12" s="1">
        <v>21477.0</v>
      </c>
      <c r="AX12" s="1">
        <v>21540.0</v>
      </c>
      <c r="AY12" s="1">
        <v>21603.0</v>
      </c>
      <c r="AZ12" s="1">
        <v>21666.0</v>
      </c>
      <c r="BA12" s="1">
        <v>21729.0</v>
      </c>
      <c r="BB12" s="1">
        <v>21793.0</v>
      </c>
      <c r="BC12" s="1">
        <v>21857.0</v>
      </c>
      <c r="BD12" s="1">
        <v>21921.0</v>
      </c>
      <c r="BE12" s="1">
        <v>21985.0</v>
      </c>
      <c r="BF12" s="1">
        <v>22050.0</v>
      </c>
      <c r="BG12" s="1">
        <v>22114.0</v>
      </c>
      <c r="BH12" s="1">
        <v>22179.0</v>
      </c>
      <c r="BI12" s="1">
        <v>22244.0</v>
      </c>
      <c r="BJ12" s="1">
        <v>22309.0</v>
      </c>
      <c r="BK12" s="1">
        <v>22375.0</v>
      </c>
      <c r="BL12" s="1">
        <v>22440.0</v>
      </c>
      <c r="BM12" s="1">
        <v>22506.0</v>
      </c>
      <c r="BN12" s="1">
        <v>22572.0</v>
      </c>
      <c r="BO12" s="1">
        <v>22638.0</v>
      </c>
      <c r="BP12" s="1">
        <v>22704.0</v>
      </c>
      <c r="BQ12" s="1">
        <v>22771.0</v>
      </c>
      <c r="BR12" s="1">
        <v>22837.0</v>
      </c>
      <c r="BS12" s="1">
        <v>22904.0</v>
      </c>
      <c r="BT12" s="1">
        <v>22972.0</v>
      </c>
      <c r="BU12" s="1">
        <v>23039.0</v>
      </c>
      <c r="BV12" s="1">
        <v>1230824.0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5850.0</v>
      </c>
      <c r="Q13" s="1">
        <v>5867.0</v>
      </c>
      <c r="R13" s="1">
        <v>5884.0</v>
      </c>
      <c r="S13" s="1">
        <v>5902.0</v>
      </c>
      <c r="T13" s="1">
        <v>5919.0</v>
      </c>
      <c r="U13" s="1">
        <v>5936.0</v>
      </c>
      <c r="V13" s="1">
        <v>5954.0</v>
      </c>
      <c r="W13" s="1">
        <v>5971.0</v>
      </c>
      <c r="X13" s="1">
        <v>5989.0</v>
      </c>
      <c r="Y13" s="1">
        <v>6006.0</v>
      </c>
      <c r="Z13" s="1">
        <v>6024.0</v>
      </c>
      <c r="AA13" s="1">
        <v>6041.0</v>
      </c>
      <c r="AB13" s="1">
        <v>6059.0</v>
      </c>
      <c r="AC13" s="1">
        <v>6077.0</v>
      </c>
      <c r="AD13" s="1">
        <v>6095.0</v>
      </c>
      <c r="AE13" s="1">
        <v>6112.0</v>
      </c>
      <c r="AF13" s="1">
        <v>6130.0</v>
      </c>
      <c r="AG13" s="1">
        <v>6148.0</v>
      </c>
      <c r="AH13" s="1">
        <v>6166.0</v>
      </c>
      <c r="AI13" s="1">
        <v>6184.0</v>
      </c>
      <c r="AJ13" s="1">
        <v>6203.0</v>
      </c>
      <c r="AK13" s="1">
        <v>6221.0</v>
      </c>
      <c r="AL13" s="1">
        <v>6239.0</v>
      </c>
      <c r="AM13" s="1">
        <v>6257.0</v>
      </c>
      <c r="AN13" s="1">
        <v>6276.0</v>
      </c>
      <c r="AO13" s="1">
        <v>6294.0</v>
      </c>
      <c r="AP13" s="1">
        <v>6312.0</v>
      </c>
      <c r="AQ13" s="1">
        <v>6331.0</v>
      </c>
      <c r="AR13" s="1">
        <v>6349.0</v>
      </c>
      <c r="AS13" s="1">
        <v>6368.0</v>
      </c>
      <c r="AT13" s="1">
        <v>6387.0</v>
      </c>
      <c r="AU13" s="1">
        <v>6405.0</v>
      </c>
      <c r="AV13" s="1">
        <v>6424.0</v>
      </c>
      <c r="AW13" s="1">
        <v>6443.0</v>
      </c>
      <c r="AX13" s="1">
        <v>6462.0</v>
      </c>
      <c r="AY13" s="1">
        <v>6481.0</v>
      </c>
      <c r="AZ13" s="1">
        <v>6500.0</v>
      </c>
      <c r="BA13" s="1">
        <v>6519.0</v>
      </c>
      <c r="BB13" s="1">
        <v>6538.0</v>
      </c>
      <c r="BC13" s="1">
        <v>6557.0</v>
      </c>
      <c r="BD13" s="1">
        <v>6576.0</v>
      </c>
      <c r="BE13" s="1">
        <v>6596.0</v>
      </c>
      <c r="BF13" s="1">
        <v>6615.0</v>
      </c>
      <c r="BG13" s="1">
        <v>6634.0</v>
      </c>
      <c r="BH13" s="1">
        <v>6654.0</v>
      </c>
      <c r="BI13" s="1">
        <v>6673.0</v>
      </c>
      <c r="BJ13" s="1">
        <v>6693.0</v>
      </c>
      <c r="BK13" s="1">
        <v>6712.0</v>
      </c>
      <c r="BL13" s="1">
        <v>6732.0</v>
      </c>
      <c r="BM13" s="1">
        <v>6752.0</v>
      </c>
      <c r="BN13" s="1">
        <v>6772.0</v>
      </c>
      <c r="BO13" s="1">
        <v>6791.0</v>
      </c>
      <c r="BP13" s="1">
        <v>6811.0</v>
      </c>
      <c r="BQ13" s="1">
        <v>6831.0</v>
      </c>
      <c r="BR13" s="1">
        <v>6851.0</v>
      </c>
      <c r="BS13" s="1">
        <v>6871.0</v>
      </c>
      <c r="BT13" s="1">
        <v>6891.0</v>
      </c>
      <c r="BU13" s="1">
        <v>6912.0</v>
      </c>
      <c r="BV13" s="1">
        <v>369247.0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5850.0</v>
      </c>
      <c r="Q15" s="1">
        <v>5867.0</v>
      </c>
      <c r="R15" s="1">
        <v>5884.0</v>
      </c>
      <c r="S15" s="1">
        <v>5902.0</v>
      </c>
      <c r="T15" s="1">
        <v>5919.0</v>
      </c>
      <c r="U15" s="1">
        <v>5936.0</v>
      </c>
      <c r="V15" s="1">
        <v>5954.0</v>
      </c>
      <c r="W15" s="1">
        <v>5971.0</v>
      </c>
      <c r="X15" s="1">
        <v>5989.0</v>
      </c>
      <c r="Y15" s="1">
        <v>6006.0</v>
      </c>
      <c r="Z15" s="1">
        <v>6024.0</v>
      </c>
      <c r="AA15" s="1">
        <v>6041.0</v>
      </c>
      <c r="AB15" s="1">
        <v>6059.0</v>
      </c>
      <c r="AC15" s="1">
        <v>6077.0</v>
      </c>
      <c r="AD15" s="1">
        <v>6095.0</v>
      </c>
      <c r="AE15" s="1">
        <v>6112.0</v>
      </c>
      <c r="AF15" s="1">
        <v>6130.0</v>
      </c>
      <c r="AG15" s="1">
        <v>6148.0</v>
      </c>
      <c r="AH15" s="1">
        <v>6166.0</v>
      </c>
      <c r="AI15" s="1">
        <v>6184.0</v>
      </c>
      <c r="AJ15" s="1">
        <v>6203.0</v>
      </c>
      <c r="AK15" s="1">
        <v>6221.0</v>
      </c>
      <c r="AL15" s="1">
        <v>6239.0</v>
      </c>
      <c r="AM15" s="1">
        <v>6257.0</v>
      </c>
      <c r="AN15" s="1">
        <v>6276.0</v>
      </c>
      <c r="AO15" s="1">
        <v>6294.0</v>
      </c>
      <c r="AP15" s="1">
        <v>6312.0</v>
      </c>
      <c r="AQ15" s="1">
        <v>6331.0</v>
      </c>
      <c r="AR15" s="1">
        <v>6349.0</v>
      </c>
      <c r="AS15" s="1">
        <v>6368.0</v>
      </c>
      <c r="AT15" s="1">
        <v>6387.0</v>
      </c>
      <c r="AU15" s="1">
        <v>6405.0</v>
      </c>
      <c r="AV15" s="1">
        <v>6424.0</v>
      </c>
      <c r="AW15" s="1">
        <v>6443.0</v>
      </c>
      <c r="AX15" s="1">
        <v>6462.0</v>
      </c>
      <c r="AY15" s="1">
        <v>6481.0</v>
      </c>
      <c r="AZ15" s="1">
        <v>6500.0</v>
      </c>
      <c r="BA15" s="1">
        <v>6519.0</v>
      </c>
      <c r="BB15" s="1">
        <v>6538.0</v>
      </c>
      <c r="BC15" s="1">
        <v>6557.0</v>
      </c>
      <c r="BD15" s="1">
        <v>6576.0</v>
      </c>
      <c r="BE15" s="1">
        <v>6596.0</v>
      </c>
      <c r="BF15" s="1">
        <v>6615.0</v>
      </c>
      <c r="BG15" s="1">
        <v>6634.0</v>
      </c>
      <c r="BH15" s="1">
        <v>6654.0</v>
      </c>
      <c r="BI15" s="1">
        <v>6673.0</v>
      </c>
      <c r="BJ15" s="1">
        <v>6693.0</v>
      </c>
      <c r="BK15" s="1">
        <v>6712.0</v>
      </c>
      <c r="BL15" s="1">
        <v>6732.0</v>
      </c>
      <c r="BM15" s="1">
        <v>6752.0</v>
      </c>
      <c r="BN15" s="1">
        <v>6772.0</v>
      </c>
      <c r="BO15" s="1">
        <v>6791.0</v>
      </c>
      <c r="BP15" s="1">
        <v>6811.0</v>
      </c>
      <c r="BQ15" s="1">
        <v>6831.0</v>
      </c>
      <c r="BR15" s="1">
        <v>6851.0</v>
      </c>
      <c r="BS15" s="1">
        <v>6871.0</v>
      </c>
      <c r="BT15" s="1">
        <v>6891.0</v>
      </c>
      <c r="BU15" s="1">
        <v>6912.0</v>
      </c>
      <c r="BV15" s="1">
        <v>369247.0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13650.0</v>
      </c>
      <c r="Q16" s="1">
        <v>13690.0</v>
      </c>
      <c r="R16" s="1">
        <v>13730.0</v>
      </c>
      <c r="S16" s="1">
        <v>13770.0</v>
      </c>
      <c r="T16" s="1">
        <v>13811.0</v>
      </c>
      <c r="U16" s="1">
        <v>13851.0</v>
      </c>
      <c r="V16" s="1">
        <v>13892.0</v>
      </c>
      <c r="W16" s="1">
        <v>13932.0</v>
      </c>
      <c r="X16" s="1">
        <v>13973.0</v>
      </c>
      <c r="Y16" s="1">
        <v>14014.0</v>
      </c>
      <c r="Z16" s="1">
        <v>14055.0</v>
      </c>
      <c r="AA16" s="1">
        <v>14096.0</v>
      </c>
      <c r="AB16" s="1">
        <v>14138.0</v>
      </c>
      <c r="AC16" s="1">
        <v>14179.0</v>
      </c>
      <c r="AD16" s="1">
        <v>14221.0</v>
      </c>
      <c r="AE16" s="1">
        <v>14262.0</v>
      </c>
      <c r="AF16" s="1">
        <v>14304.0</v>
      </c>
      <c r="AG16" s="1">
        <v>14346.0</v>
      </c>
      <c r="AH16" s="1">
        <v>14388.0</v>
      </c>
      <c r="AI16" s="1">
        <v>14430.0</v>
      </c>
      <c r="AJ16" s="1">
        <v>14473.0</v>
      </c>
      <c r="AK16" s="1">
        <v>14515.0</v>
      </c>
      <c r="AL16" s="1">
        <v>14557.0</v>
      </c>
      <c r="AM16" s="1">
        <v>14600.0</v>
      </c>
      <c r="AN16" s="1">
        <v>14643.0</v>
      </c>
      <c r="AO16" s="1">
        <v>14686.0</v>
      </c>
      <c r="AP16" s="1">
        <v>14729.0</v>
      </c>
      <c r="AQ16" s="1">
        <v>14772.0</v>
      </c>
      <c r="AR16" s="1">
        <v>14815.0</v>
      </c>
      <c r="AS16" s="1">
        <v>14859.0</v>
      </c>
      <c r="AT16" s="1">
        <v>14902.0</v>
      </c>
      <c r="AU16" s="1">
        <v>14946.0</v>
      </c>
      <c r="AV16" s="1">
        <v>14990.0</v>
      </c>
      <c r="AW16" s="1">
        <v>15034.0</v>
      </c>
      <c r="AX16" s="1">
        <v>15078.0</v>
      </c>
      <c r="AY16" s="1">
        <v>15122.0</v>
      </c>
      <c r="AZ16" s="1">
        <v>15166.0</v>
      </c>
      <c r="BA16" s="1">
        <v>15211.0</v>
      </c>
      <c r="BB16" s="1">
        <v>15255.0</v>
      </c>
      <c r="BC16" s="1">
        <v>15300.0</v>
      </c>
      <c r="BD16" s="1">
        <v>15345.0</v>
      </c>
      <c r="BE16" s="1">
        <v>15390.0</v>
      </c>
      <c r="BF16" s="1">
        <v>15435.0</v>
      </c>
      <c r="BG16" s="1">
        <v>15480.0</v>
      </c>
      <c r="BH16" s="1">
        <v>15525.0</v>
      </c>
      <c r="BI16" s="1">
        <v>15571.0</v>
      </c>
      <c r="BJ16" s="1">
        <v>15616.0</v>
      </c>
      <c r="BK16" s="1">
        <v>15662.0</v>
      </c>
      <c r="BL16" s="1">
        <v>15708.0</v>
      </c>
      <c r="BM16" s="1">
        <v>15754.0</v>
      </c>
      <c r="BN16" s="1">
        <v>15800.0</v>
      </c>
      <c r="BO16" s="1">
        <v>15847.0</v>
      </c>
      <c r="BP16" s="1">
        <v>15893.0</v>
      </c>
      <c r="BQ16" s="1">
        <v>15940.0</v>
      </c>
      <c r="BR16" s="1">
        <v>15986.0</v>
      </c>
      <c r="BS16" s="1">
        <v>16033.0</v>
      </c>
      <c r="BT16" s="1">
        <v>16080.0</v>
      </c>
      <c r="BU16" s="1">
        <v>16127.0</v>
      </c>
      <c r="BV16" s="1">
        <v>861577.0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211</v>
      </c>
    </row>
    <row r="2">
      <c r="A2" s="1" t="s">
        <v>212</v>
      </c>
    </row>
    <row r="3">
      <c r="A3" s="1" t="s">
        <v>213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300000.0</v>
      </c>
      <c r="R6" s="1">
        <v>301171.0</v>
      </c>
      <c r="S6" s="1">
        <v>302347.0</v>
      </c>
      <c r="T6" s="1">
        <v>303527.0</v>
      </c>
      <c r="U6" s="1">
        <v>304712.0</v>
      </c>
      <c r="V6" s="1">
        <v>305902.0</v>
      </c>
      <c r="W6" s="1">
        <v>307096.0</v>
      </c>
      <c r="X6" s="1">
        <v>308295.0</v>
      </c>
      <c r="Y6" s="1">
        <v>309499.0</v>
      </c>
      <c r="Z6" s="1">
        <v>310707.0</v>
      </c>
      <c r="AA6" s="1">
        <v>311920.0</v>
      </c>
      <c r="AB6" s="1">
        <v>313138.0</v>
      </c>
      <c r="AC6" s="1">
        <v>314360.0</v>
      </c>
      <c r="AD6" s="1">
        <v>315587.0</v>
      </c>
      <c r="AE6" s="1">
        <v>316819.0</v>
      </c>
      <c r="AF6" s="1">
        <v>318056.0</v>
      </c>
      <c r="AG6" s="1">
        <v>319298.0</v>
      </c>
      <c r="AH6" s="1">
        <v>320545.0</v>
      </c>
      <c r="AI6" s="1">
        <v>321796.0</v>
      </c>
      <c r="AJ6" s="1">
        <v>323052.0</v>
      </c>
      <c r="AK6" s="1">
        <v>324313.0</v>
      </c>
      <c r="AL6" s="1">
        <v>325580.0</v>
      </c>
      <c r="AM6" s="1">
        <v>326851.0</v>
      </c>
      <c r="AN6" s="1">
        <v>328127.0</v>
      </c>
      <c r="AO6" s="1">
        <v>329408.0</v>
      </c>
      <c r="AP6" s="1">
        <v>330694.0</v>
      </c>
      <c r="AQ6" s="1">
        <v>331985.0</v>
      </c>
      <c r="AR6" s="1">
        <v>333281.0</v>
      </c>
      <c r="AS6" s="1">
        <v>334582.0</v>
      </c>
      <c r="AT6" s="1">
        <v>335888.0</v>
      </c>
      <c r="AU6" s="1">
        <v>337199.0</v>
      </c>
      <c r="AV6" s="1">
        <v>338516.0</v>
      </c>
      <c r="AW6" s="1">
        <v>339837.0</v>
      </c>
      <c r="AX6" s="1">
        <v>341164.0</v>
      </c>
      <c r="AY6" s="1">
        <v>342496.0</v>
      </c>
      <c r="AZ6" s="1">
        <v>343833.0</v>
      </c>
      <c r="BA6" s="1">
        <v>345175.0</v>
      </c>
      <c r="BB6" s="1">
        <v>346523.0</v>
      </c>
      <c r="BC6" s="1">
        <v>347876.0</v>
      </c>
      <c r="BD6" s="1">
        <v>349234.0</v>
      </c>
      <c r="BE6" s="1">
        <v>350597.0</v>
      </c>
      <c r="BF6" s="1">
        <v>351966.0</v>
      </c>
      <c r="BG6" s="1">
        <v>353340.0</v>
      </c>
      <c r="BH6" s="1">
        <v>354720.0</v>
      </c>
      <c r="BI6" s="1">
        <v>356104.0</v>
      </c>
      <c r="BJ6" s="1">
        <v>357495.0</v>
      </c>
      <c r="BK6" s="1">
        <v>358890.0</v>
      </c>
      <c r="BL6" s="1">
        <v>360291.0</v>
      </c>
      <c r="BM6" s="1">
        <v>361698.0</v>
      </c>
      <c r="BN6" s="1">
        <v>363110.0</v>
      </c>
      <c r="BO6" s="1">
        <v>364528.0</v>
      </c>
      <c r="BP6" s="1">
        <v>365951.0</v>
      </c>
      <c r="BQ6" s="1">
        <v>367379.0</v>
      </c>
      <c r="BR6" s="1">
        <v>368814.0</v>
      </c>
      <c r="BS6" s="1">
        <v>370254.0</v>
      </c>
      <c r="BT6" s="1">
        <v>371699.0</v>
      </c>
      <c r="BU6" s="1">
        <v>373150.0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2400.0</v>
      </c>
      <c r="S7" s="1">
        <v>2409.0</v>
      </c>
      <c r="T7" s="1">
        <v>2419.0</v>
      </c>
      <c r="U7" s="1">
        <v>2428.0</v>
      </c>
      <c r="V7" s="1">
        <v>2438.0</v>
      </c>
      <c r="W7" s="1">
        <v>2447.0</v>
      </c>
      <c r="X7" s="1">
        <v>2457.0</v>
      </c>
      <c r="Y7" s="1">
        <v>2466.0</v>
      </c>
      <c r="Z7" s="1">
        <v>2476.0</v>
      </c>
      <c r="AA7" s="1">
        <v>2486.0</v>
      </c>
      <c r="AB7" s="1">
        <v>2495.0</v>
      </c>
      <c r="AC7" s="1">
        <v>2505.0</v>
      </c>
      <c r="AD7" s="1">
        <v>2515.0</v>
      </c>
      <c r="AE7" s="1">
        <v>2525.0</v>
      </c>
      <c r="AF7" s="1">
        <v>2535.0</v>
      </c>
      <c r="AG7" s="1">
        <v>2544.0</v>
      </c>
      <c r="AH7" s="1">
        <v>2554.0</v>
      </c>
      <c r="AI7" s="1">
        <v>2564.0</v>
      </c>
      <c r="AJ7" s="1">
        <v>2574.0</v>
      </c>
      <c r="AK7" s="1">
        <v>2584.0</v>
      </c>
      <c r="AL7" s="1">
        <v>2595.0</v>
      </c>
      <c r="AM7" s="1">
        <v>2605.0</v>
      </c>
      <c r="AN7" s="1">
        <v>2615.0</v>
      </c>
      <c r="AO7" s="1">
        <v>2625.0</v>
      </c>
      <c r="AP7" s="1">
        <v>2635.0</v>
      </c>
      <c r="AQ7" s="1">
        <v>2646.0</v>
      </c>
      <c r="AR7" s="1">
        <v>2656.0</v>
      </c>
      <c r="AS7" s="1">
        <v>2666.0</v>
      </c>
      <c r="AT7" s="1">
        <v>2677.0</v>
      </c>
      <c r="AU7" s="1">
        <v>2687.0</v>
      </c>
      <c r="AV7" s="1">
        <v>2698.0</v>
      </c>
      <c r="AW7" s="1">
        <v>2708.0</v>
      </c>
      <c r="AX7" s="1">
        <v>2719.0</v>
      </c>
      <c r="AY7" s="1">
        <v>2729.0</v>
      </c>
      <c r="AZ7" s="1">
        <v>2740.0</v>
      </c>
      <c r="BA7" s="1">
        <v>2751.0</v>
      </c>
      <c r="BB7" s="1">
        <v>2761.0</v>
      </c>
      <c r="BC7" s="1">
        <v>2772.0</v>
      </c>
      <c r="BD7" s="1">
        <v>2783.0</v>
      </c>
      <c r="BE7" s="1">
        <v>2794.0</v>
      </c>
      <c r="BF7" s="1">
        <v>2805.0</v>
      </c>
      <c r="BG7" s="1">
        <v>2816.0</v>
      </c>
      <c r="BH7" s="1">
        <v>2827.0</v>
      </c>
      <c r="BI7" s="1">
        <v>2838.0</v>
      </c>
      <c r="BJ7" s="1">
        <v>2849.0</v>
      </c>
      <c r="BK7" s="1">
        <v>2860.0</v>
      </c>
      <c r="BL7" s="1">
        <v>2871.0</v>
      </c>
      <c r="BM7" s="1">
        <v>2882.0</v>
      </c>
      <c r="BN7" s="1">
        <v>2894.0</v>
      </c>
      <c r="BO7" s="1">
        <v>2905.0</v>
      </c>
      <c r="BP7" s="1">
        <v>2916.0</v>
      </c>
      <c r="BQ7" s="1">
        <v>2928.0</v>
      </c>
      <c r="BR7" s="1">
        <v>2939.0</v>
      </c>
      <c r="BS7" s="1">
        <v>2951.0</v>
      </c>
      <c r="BT7" s="1">
        <v>2962.0</v>
      </c>
      <c r="BU7" s="1">
        <v>2974.0</v>
      </c>
      <c r="BV7" s="1">
        <v>149898.0</v>
      </c>
    </row>
    <row r="8">
      <c r="A8" s="1" t="s">
        <v>145</v>
      </c>
      <c r="B8" s="1">
        <v>1.8</v>
      </c>
      <c r="C8" s="1">
        <v>1.8</v>
      </c>
      <c r="D8" s="1">
        <v>1.8</v>
      </c>
      <c r="E8" s="1">
        <v>1.8</v>
      </c>
      <c r="F8" s="1">
        <v>1.8</v>
      </c>
      <c r="G8" s="1">
        <v>1.8</v>
      </c>
      <c r="H8" s="1">
        <v>1.8</v>
      </c>
      <c r="I8" s="1">
        <v>1.8</v>
      </c>
      <c r="J8" s="1">
        <v>1.8</v>
      </c>
      <c r="K8" s="1">
        <v>1.8</v>
      </c>
      <c r="L8" s="1">
        <v>1.8</v>
      </c>
      <c r="M8" s="1">
        <v>1.8</v>
      </c>
      <c r="N8" s="1">
        <v>1.8</v>
      </c>
      <c r="O8" s="1">
        <v>1.8</v>
      </c>
      <c r="P8" s="1">
        <v>1.8</v>
      </c>
      <c r="Q8" s="1">
        <v>1.8</v>
      </c>
      <c r="R8" s="1">
        <v>1.8</v>
      </c>
      <c r="S8" s="1">
        <v>1.8</v>
      </c>
      <c r="T8" s="1">
        <v>1.8</v>
      </c>
      <c r="U8" s="1">
        <v>1.8</v>
      </c>
      <c r="V8" s="1">
        <v>1.8</v>
      </c>
      <c r="W8" s="1">
        <v>1.8</v>
      </c>
      <c r="X8" s="1">
        <v>1.8</v>
      </c>
      <c r="Y8" s="1">
        <v>1.8</v>
      </c>
      <c r="Z8" s="1">
        <v>1.8</v>
      </c>
      <c r="AA8" s="1">
        <v>1.8</v>
      </c>
      <c r="AB8" s="1">
        <v>1.8</v>
      </c>
      <c r="AC8" s="1">
        <v>1.8</v>
      </c>
      <c r="AD8" s="1">
        <v>1.8</v>
      </c>
      <c r="AE8" s="1">
        <v>1.8</v>
      </c>
      <c r="AF8" s="1">
        <v>1.8</v>
      </c>
      <c r="AG8" s="1">
        <v>1.8</v>
      </c>
      <c r="AH8" s="1">
        <v>1.8</v>
      </c>
      <c r="AI8" s="1">
        <v>1.8</v>
      </c>
      <c r="AJ8" s="1">
        <v>1.8</v>
      </c>
      <c r="AK8" s="1">
        <v>1.8</v>
      </c>
      <c r="AL8" s="1">
        <v>1.8</v>
      </c>
      <c r="AM8" s="1">
        <v>1.8</v>
      </c>
      <c r="AN8" s="1">
        <v>1.8</v>
      </c>
      <c r="AO8" s="1">
        <v>1.8</v>
      </c>
      <c r="AP8" s="1">
        <v>1.8</v>
      </c>
      <c r="AQ8" s="1">
        <v>1.8</v>
      </c>
      <c r="AR8" s="1">
        <v>1.8</v>
      </c>
      <c r="AS8" s="1">
        <v>1.8</v>
      </c>
      <c r="AT8" s="1">
        <v>1.8</v>
      </c>
      <c r="AU8" s="1">
        <v>1.8</v>
      </c>
      <c r="AV8" s="1">
        <v>1.8</v>
      </c>
      <c r="AW8" s="1">
        <v>1.8</v>
      </c>
      <c r="AX8" s="1">
        <v>1.8</v>
      </c>
      <c r="AY8" s="1">
        <v>1.8</v>
      </c>
      <c r="AZ8" s="1">
        <v>1.8</v>
      </c>
      <c r="BA8" s="1">
        <v>1.8</v>
      </c>
      <c r="BB8" s="1">
        <v>1.8</v>
      </c>
      <c r="BC8" s="1">
        <v>1.8</v>
      </c>
      <c r="BD8" s="1">
        <v>1.8</v>
      </c>
      <c r="BE8" s="1">
        <v>1.8</v>
      </c>
      <c r="BF8" s="1">
        <v>1.8</v>
      </c>
      <c r="BG8" s="1">
        <v>1.8</v>
      </c>
      <c r="BH8" s="1">
        <v>1.8</v>
      </c>
      <c r="BI8" s="1">
        <v>1.8</v>
      </c>
      <c r="BJ8" s="1">
        <v>1.8</v>
      </c>
      <c r="BK8" s="1">
        <v>1.8</v>
      </c>
      <c r="BL8" s="1">
        <v>1.8</v>
      </c>
      <c r="BM8" s="1">
        <v>1.8</v>
      </c>
      <c r="BN8" s="1">
        <v>1.8</v>
      </c>
      <c r="BO8" s="1">
        <v>1.8</v>
      </c>
      <c r="BP8" s="1">
        <v>1.8</v>
      </c>
      <c r="BQ8" s="1">
        <v>1.8</v>
      </c>
      <c r="BR8" s="1">
        <v>1.8</v>
      </c>
      <c r="BS8" s="1">
        <v>1.8</v>
      </c>
      <c r="BT8" s="1">
        <v>1.8</v>
      </c>
      <c r="BU8" s="1">
        <v>1.8</v>
      </c>
    </row>
    <row r="9">
      <c r="A9" s="1" t="s">
        <v>146</v>
      </c>
      <c r="B9" s="1">
        <v>40.0</v>
      </c>
      <c r="C9" s="1">
        <v>40.0</v>
      </c>
      <c r="D9" s="1">
        <v>40.0</v>
      </c>
      <c r="E9" s="1">
        <v>40.0</v>
      </c>
      <c r="F9" s="1">
        <v>40.0</v>
      </c>
      <c r="G9" s="1">
        <v>40.0</v>
      </c>
      <c r="H9" s="1">
        <v>40.0</v>
      </c>
      <c r="I9" s="1">
        <v>40.0</v>
      </c>
      <c r="J9" s="1">
        <v>40.0</v>
      </c>
      <c r="K9" s="1">
        <v>40.0</v>
      </c>
      <c r="L9" s="1">
        <v>40.0</v>
      </c>
      <c r="M9" s="1">
        <v>40.0</v>
      </c>
      <c r="N9" s="1">
        <v>40.0</v>
      </c>
      <c r="O9" s="1">
        <v>40.0</v>
      </c>
      <c r="P9" s="1">
        <v>40.0</v>
      </c>
      <c r="Q9" s="1">
        <v>40.0</v>
      </c>
      <c r="R9" s="1">
        <v>40.0</v>
      </c>
      <c r="S9" s="1">
        <v>40.0</v>
      </c>
      <c r="T9" s="1">
        <v>40.0</v>
      </c>
      <c r="U9" s="1">
        <v>40.0</v>
      </c>
      <c r="V9" s="1">
        <v>40.0</v>
      </c>
      <c r="W9" s="1">
        <v>40.0</v>
      </c>
      <c r="X9" s="1">
        <v>40.0</v>
      </c>
      <c r="Y9" s="1">
        <v>40.0</v>
      </c>
      <c r="Z9" s="1">
        <v>40.0</v>
      </c>
      <c r="AA9" s="1">
        <v>40.0</v>
      </c>
      <c r="AB9" s="1">
        <v>40.0</v>
      </c>
      <c r="AC9" s="1">
        <v>40.0</v>
      </c>
      <c r="AD9" s="1">
        <v>40.0</v>
      </c>
      <c r="AE9" s="1">
        <v>40.0</v>
      </c>
      <c r="AF9" s="1">
        <v>40.0</v>
      </c>
      <c r="AG9" s="1">
        <v>40.0</v>
      </c>
      <c r="AH9" s="1">
        <v>40.0</v>
      </c>
      <c r="AI9" s="1">
        <v>40.0</v>
      </c>
      <c r="AJ9" s="1">
        <v>40.0</v>
      </c>
      <c r="AK9" s="1">
        <v>40.0</v>
      </c>
      <c r="AL9" s="1">
        <v>40.0</v>
      </c>
      <c r="AM9" s="1">
        <v>40.0</v>
      </c>
      <c r="AN9" s="1">
        <v>40.0</v>
      </c>
      <c r="AO9" s="1">
        <v>40.0</v>
      </c>
      <c r="AP9" s="1">
        <v>40.0</v>
      </c>
      <c r="AQ9" s="1">
        <v>40.0</v>
      </c>
      <c r="AR9" s="1">
        <v>40.0</v>
      </c>
      <c r="AS9" s="1">
        <v>40.0</v>
      </c>
      <c r="AT9" s="1">
        <v>40.0</v>
      </c>
      <c r="AU9" s="1">
        <v>40.0</v>
      </c>
      <c r="AV9" s="1">
        <v>40.0</v>
      </c>
      <c r="AW9" s="1">
        <v>40.0</v>
      </c>
      <c r="AX9" s="1">
        <v>40.0</v>
      </c>
      <c r="AY9" s="1">
        <v>40.0</v>
      </c>
      <c r="AZ9" s="1">
        <v>40.0</v>
      </c>
      <c r="BA9" s="1">
        <v>40.0</v>
      </c>
      <c r="BB9" s="1">
        <v>40.0</v>
      </c>
      <c r="BC9" s="1">
        <v>40.0</v>
      </c>
      <c r="BD9" s="1">
        <v>40.0</v>
      </c>
      <c r="BE9" s="1">
        <v>40.0</v>
      </c>
      <c r="BF9" s="1">
        <v>40.0</v>
      </c>
      <c r="BG9" s="1">
        <v>40.0</v>
      </c>
      <c r="BH9" s="1">
        <v>40.0</v>
      </c>
      <c r="BI9" s="1">
        <v>40.0</v>
      </c>
      <c r="BJ9" s="1">
        <v>40.0</v>
      </c>
      <c r="BK9" s="1">
        <v>40.0</v>
      </c>
      <c r="BL9" s="1">
        <v>40.0</v>
      </c>
      <c r="BM9" s="1">
        <v>40.0</v>
      </c>
      <c r="BN9" s="1">
        <v>40.0</v>
      </c>
      <c r="BO9" s="1">
        <v>40.0</v>
      </c>
      <c r="BP9" s="1">
        <v>40.0</v>
      </c>
      <c r="BQ9" s="1">
        <v>40.0</v>
      </c>
      <c r="BR9" s="1">
        <v>40.0</v>
      </c>
      <c r="BS9" s="1">
        <v>40.0</v>
      </c>
      <c r="BT9" s="1">
        <v>40.0</v>
      </c>
      <c r="BU9" s="1">
        <v>40.0</v>
      </c>
      <c r="BV9" s="1" t="s">
        <v>148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5400.0</v>
      </c>
      <c r="R11" s="1">
        <v>5421.0</v>
      </c>
      <c r="S11" s="1">
        <v>5442.0</v>
      </c>
      <c r="T11" s="1">
        <v>5463.0</v>
      </c>
      <c r="U11" s="1">
        <v>5485.0</v>
      </c>
      <c r="V11" s="1">
        <v>5506.0</v>
      </c>
      <c r="W11" s="1">
        <v>5528.0</v>
      </c>
      <c r="X11" s="1">
        <v>5549.0</v>
      </c>
      <c r="Y11" s="1">
        <v>5571.0</v>
      </c>
      <c r="Z11" s="1">
        <v>5593.0</v>
      </c>
      <c r="AA11" s="1">
        <v>5615.0</v>
      </c>
      <c r="AB11" s="1">
        <v>5636.0</v>
      </c>
      <c r="AC11" s="1">
        <v>5658.0</v>
      </c>
      <c r="AD11" s="1">
        <v>5681.0</v>
      </c>
      <c r="AE11" s="1">
        <v>5703.0</v>
      </c>
      <c r="AF11" s="1">
        <v>5725.0</v>
      </c>
      <c r="AG11" s="1">
        <v>5747.0</v>
      </c>
      <c r="AH11" s="1">
        <v>5770.0</v>
      </c>
      <c r="AI11" s="1">
        <v>5792.0</v>
      </c>
      <c r="AJ11" s="1">
        <v>5815.0</v>
      </c>
      <c r="AK11" s="1">
        <v>5838.0</v>
      </c>
      <c r="AL11" s="1">
        <v>5860.0</v>
      </c>
      <c r="AM11" s="1">
        <v>5883.0</v>
      </c>
      <c r="AN11" s="1">
        <v>5906.0</v>
      </c>
      <c r="AO11" s="1">
        <v>5929.0</v>
      </c>
      <c r="AP11" s="1">
        <v>5952.0</v>
      </c>
      <c r="AQ11" s="1">
        <v>5976.0</v>
      </c>
      <c r="AR11" s="1">
        <v>5999.0</v>
      </c>
      <c r="AS11" s="1">
        <v>6022.0</v>
      </c>
      <c r="AT11" s="1">
        <v>6046.0</v>
      </c>
      <c r="AU11" s="1">
        <v>6070.0</v>
      </c>
      <c r="AV11" s="1">
        <v>6093.0</v>
      </c>
      <c r="AW11" s="1">
        <v>6117.0</v>
      </c>
      <c r="AX11" s="1">
        <v>6141.0</v>
      </c>
      <c r="AY11" s="1">
        <v>6165.0</v>
      </c>
      <c r="AZ11" s="1">
        <v>6189.0</v>
      </c>
      <c r="BA11" s="1">
        <v>6213.0</v>
      </c>
      <c r="BB11" s="1">
        <v>6237.0</v>
      </c>
      <c r="BC11" s="1">
        <v>6262.0</v>
      </c>
      <c r="BD11" s="1">
        <v>6286.0</v>
      </c>
      <c r="BE11" s="1">
        <v>6311.0</v>
      </c>
      <c r="BF11" s="1">
        <v>6335.0</v>
      </c>
      <c r="BG11" s="1">
        <v>6360.0</v>
      </c>
      <c r="BH11" s="1">
        <v>6385.0</v>
      </c>
      <c r="BI11" s="1">
        <v>6410.0</v>
      </c>
      <c r="BJ11" s="1">
        <v>6435.0</v>
      </c>
      <c r="BK11" s="1">
        <v>6460.0</v>
      </c>
      <c r="BL11" s="1">
        <v>6485.0</v>
      </c>
      <c r="BM11" s="1">
        <v>6511.0</v>
      </c>
      <c r="BN11" s="1">
        <v>6536.0</v>
      </c>
      <c r="BO11" s="1">
        <v>6561.0</v>
      </c>
      <c r="BP11" s="1">
        <v>6587.0</v>
      </c>
      <c r="BQ11" s="1">
        <v>6613.0</v>
      </c>
      <c r="BR11" s="1">
        <v>6639.0</v>
      </c>
      <c r="BS11" s="1">
        <v>6665.0</v>
      </c>
      <c r="BT11" s="1">
        <v>6691.0</v>
      </c>
      <c r="BU11" s="1">
        <v>6717.0</v>
      </c>
      <c r="BV11" s="1">
        <v>343987.0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216000.0</v>
      </c>
      <c r="R12" s="1">
        <v>216843.0</v>
      </c>
      <c r="S12" s="1">
        <v>217690.0</v>
      </c>
      <c r="T12" s="1">
        <v>218540.0</v>
      </c>
      <c r="U12" s="1">
        <v>219393.0</v>
      </c>
      <c r="V12" s="1">
        <v>220249.0</v>
      </c>
      <c r="W12" s="1">
        <v>221109.0</v>
      </c>
      <c r="X12" s="1">
        <v>221972.0</v>
      </c>
      <c r="Y12" s="1">
        <v>222839.0</v>
      </c>
      <c r="Z12" s="1">
        <v>223709.0</v>
      </c>
      <c r="AA12" s="1">
        <v>224582.0</v>
      </c>
      <c r="AB12" s="1">
        <v>225459.0</v>
      </c>
      <c r="AC12" s="1">
        <v>226339.0</v>
      </c>
      <c r="AD12" s="1">
        <v>227223.0</v>
      </c>
      <c r="AE12" s="1">
        <v>228110.0</v>
      </c>
      <c r="AF12" s="1">
        <v>229001.0</v>
      </c>
      <c r="AG12" s="1">
        <v>229895.0</v>
      </c>
      <c r="AH12" s="1">
        <v>230792.0</v>
      </c>
      <c r="AI12" s="1">
        <v>231693.0</v>
      </c>
      <c r="AJ12" s="1">
        <v>232598.0</v>
      </c>
      <c r="AK12" s="1">
        <v>233506.0</v>
      </c>
      <c r="AL12" s="1">
        <v>234417.0</v>
      </c>
      <c r="AM12" s="1">
        <v>235332.0</v>
      </c>
      <c r="AN12" s="1">
        <v>236251.0</v>
      </c>
      <c r="AO12" s="1">
        <v>237174.0</v>
      </c>
      <c r="AP12" s="1">
        <v>238099.0</v>
      </c>
      <c r="AQ12" s="1">
        <v>239029.0</v>
      </c>
      <c r="AR12" s="1">
        <v>239962.0</v>
      </c>
      <c r="AS12" s="1">
        <v>240899.0</v>
      </c>
      <c r="AT12" s="1">
        <v>241839.0</v>
      </c>
      <c r="AU12" s="1">
        <v>242784.0</v>
      </c>
      <c r="AV12" s="1">
        <v>243731.0</v>
      </c>
      <c r="AW12" s="1">
        <v>244683.0</v>
      </c>
      <c r="AX12" s="1">
        <v>245638.0</v>
      </c>
      <c r="AY12" s="1">
        <v>246597.0</v>
      </c>
      <c r="AZ12" s="1">
        <v>247560.0</v>
      </c>
      <c r="BA12" s="1">
        <v>248526.0</v>
      </c>
      <c r="BB12" s="1">
        <v>249497.0</v>
      </c>
      <c r="BC12" s="1">
        <v>250471.0</v>
      </c>
      <c r="BD12" s="1">
        <v>251448.0</v>
      </c>
      <c r="BE12" s="1">
        <v>252430.0</v>
      </c>
      <c r="BF12" s="1">
        <v>253416.0</v>
      </c>
      <c r="BG12" s="1">
        <v>254405.0</v>
      </c>
      <c r="BH12" s="1">
        <v>255398.0</v>
      </c>
      <c r="BI12" s="1">
        <v>256395.0</v>
      </c>
      <c r="BJ12" s="1">
        <v>257396.0</v>
      </c>
      <c r="BK12" s="1">
        <v>258401.0</v>
      </c>
      <c r="BL12" s="1">
        <v>259410.0</v>
      </c>
      <c r="BM12" s="1">
        <v>260423.0</v>
      </c>
      <c r="BN12" s="1">
        <v>261439.0</v>
      </c>
      <c r="BO12" s="1">
        <v>262460.0</v>
      </c>
      <c r="BP12" s="1">
        <v>263485.0</v>
      </c>
      <c r="BQ12" s="1">
        <v>264513.0</v>
      </c>
      <c r="BR12" s="1">
        <v>265546.0</v>
      </c>
      <c r="BS12" s="1">
        <v>266583.0</v>
      </c>
      <c r="BT12" s="1">
        <v>267623.0</v>
      </c>
      <c r="BU12" s="1">
        <v>268668.0</v>
      </c>
      <c r="BV12" s="1">
        <v>1.375947E7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64800.0</v>
      </c>
      <c r="R13" s="1">
        <v>65053.0</v>
      </c>
      <c r="S13" s="1">
        <v>65307.0</v>
      </c>
      <c r="T13" s="1">
        <v>65562.0</v>
      </c>
      <c r="U13" s="1">
        <v>65818.0</v>
      </c>
      <c r="V13" s="1">
        <v>66075.0</v>
      </c>
      <c r="W13" s="1">
        <v>66333.0</v>
      </c>
      <c r="X13" s="1">
        <v>66592.0</v>
      </c>
      <c r="Y13" s="1">
        <v>66852.0</v>
      </c>
      <c r="Z13" s="1">
        <v>67113.0</v>
      </c>
      <c r="AA13" s="1">
        <v>67375.0</v>
      </c>
      <c r="AB13" s="1">
        <v>67638.0</v>
      </c>
      <c r="AC13" s="1">
        <v>67902.0</v>
      </c>
      <c r="AD13" s="1">
        <v>68167.0</v>
      </c>
      <c r="AE13" s="1">
        <v>68433.0</v>
      </c>
      <c r="AF13" s="1">
        <v>68700.0</v>
      </c>
      <c r="AG13" s="1">
        <v>68968.0</v>
      </c>
      <c r="AH13" s="1">
        <v>69238.0</v>
      </c>
      <c r="AI13" s="1">
        <v>69508.0</v>
      </c>
      <c r="AJ13" s="1">
        <v>69779.0</v>
      </c>
      <c r="AK13" s="1">
        <v>70052.0</v>
      </c>
      <c r="AL13" s="1">
        <v>70325.0</v>
      </c>
      <c r="AM13" s="1">
        <v>70600.0</v>
      </c>
      <c r="AN13" s="1">
        <v>70875.0</v>
      </c>
      <c r="AO13" s="1">
        <v>71152.0</v>
      </c>
      <c r="AP13" s="1">
        <v>71430.0</v>
      </c>
      <c r="AQ13" s="1">
        <v>71709.0</v>
      </c>
      <c r="AR13" s="1">
        <v>71989.0</v>
      </c>
      <c r="AS13" s="1">
        <v>72270.0</v>
      </c>
      <c r="AT13" s="1">
        <v>72552.0</v>
      </c>
      <c r="AU13" s="1">
        <v>72835.0</v>
      </c>
      <c r="AV13" s="1">
        <v>73119.0</v>
      </c>
      <c r="AW13" s="1">
        <v>73405.0</v>
      </c>
      <c r="AX13" s="1">
        <v>73691.0</v>
      </c>
      <c r="AY13" s="1">
        <v>73979.0</v>
      </c>
      <c r="AZ13" s="1">
        <v>74268.0</v>
      </c>
      <c r="BA13" s="1">
        <v>74558.0</v>
      </c>
      <c r="BB13" s="1">
        <v>74849.0</v>
      </c>
      <c r="BC13" s="1">
        <v>75141.0</v>
      </c>
      <c r="BD13" s="1">
        <v>75435.0</v>
      </c>
      <c r="BE13" s="1">
        <v>75729.0</v>
      </c>
      <c r="BF13" s="1">
        <v>76025.0</v>
      </c>
      <c r="BG13" s="1">
        <v>76321.0</v>
      </c>
      <c r="BH13" s="1">
        <v>76619.0</v>
      </c>
      <c r="BI13" s="1">
        <v>76919.0</v>
      </c>
      <c r="BJ13" s="1">
        <v>77219.0</v>
      </c>
      <c r="BK13" s="1">
        <v>77520.0</v>
      </c>
      <c r="BL13" s="1">
        <v>77823.0</v>
      </c>
      <c r="BM13" s="1">
        <v>78127.0</v>
      </c>
      <c r="BN13" s="1">
        <v>78432.0</v>
      </c>
      <c r="BO13" s="1">
        <v>78738.0</v>
      </c>
      <c r="BP13" s="1">
        <v>79045.0</v>
      </c>
      <c r="BQ13" s="1">
        <v>79354.0</v>
      </c>
      <c r="BR13" s="1">
        <v>79664.0</v>
      </c>
      <c r="BS13" s="1">
        <v>79975.0</v>
      </c>
      <c r="BT13" s="1">
        <v>80287.0</v>
      </c>
      <c r="BU13" s="1">
        <v>80600.0</v>
      </c>
      <c r="BV13" s="1">
        <v>4127841.0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64800.0</v>
      </c>
      <c r="R15" s="1">
        <v>65053.0</v>
      </c>
      <c r="S15" s="1">
        <v>65307.0</v>
      </c>
      <c r="T15" s="1">
        <v>65562.0</v>
      </c>
      <c r="U15" s="1">
        <v>65818.0</v>
      </c>
      <c r="V15" s="1">
        <v>66075.0</v>
      </c>
      <c r="W15" s="1">
        <v>66333.0</v>
      </c>
      <c r="X15" s="1">
        <v>66592.0</v>
      </c>
      <c r="Y15" s="1">
        <v>66852.0</v>
      </c>
      <c r="Z15" s="1">
        <v>67113.0</v>
      </c>
      <c r="AA15" s="1">
        <v>67375.0</v>
      </c>
      <c r="AB15" s="1">
        <v>67638.0</v>
      </c>
      <c r="AC15" s="1">
        <v>67902.0</v>
      </c>
      <c r="AD15" s="1">
        <v>68167.0</v>
      </c>
      <c r="AE15" s="1">
        <v>68433.0</v>
      </c>
      <c r="AF15" s="1">
        <v>68700.0</v>
      </c>
      <c r="AG15" s="1">
        <v>68968.0</v>
      </c>
      <c r="AH15" s="1">
        <v>69238.0</v>
      </c>
      <c r="AI15" s="1">
        <v>69508.0</v>
      </c>
      <c r="AJ15" s="1">
        <v>69779.0</v>
      </c>
      <c r="AK15" s="1">
        <v>70052.0</v>
      </c>
      <c r="AL15" s="1">
        <v>70325.0</v>
      </c>
      <c r="AM15" s="1">
        <v>70600.0</v>
      </c>
      <c r="AN15" s="1">
        <v>70875.0</v>
      </c>
      <c r="AO15" s="1">
        <v>71152.0</v>
      </c>
      <c r="AP15" s="1">
        <v>71430.0</v>
      </c>
      <c r="AQ15" s="1">
        <v>71709.0</v>
      </c>
      <c r="AR15" s="1">
        <v>71989.0</v>
      </c>
      <c r="AS15" s="1">
        <v>72270.0</v>
      </c>
      <c r="AT15" s="1">
        <v>72552.0</v>
      </c>
      <c r="AU15" s="1">
        <v>72835.0</v>
      </c>
      <c r="AV15" s="1">
        <v>73119.0</v>
      </c>
      <c r="AW15" s="1">
        <v>73405.0</v>
      </c>
      <c r="AX15" s="1">
        <v>73691.0</v>
      </c>
      <c r="AY15" s="1">
        <v>73979.0</v>
      </c>
      <c r="AZ15" s="1">
        <v>74268.0</v>
      </c>
      <c r="BA15" s="1">
        <v>74558.0</v>
      </c>
      <c r="BB15" s="1">
        <v>74849.0</v>
      </c>
      <c r="BC15" s="1">
        <v>75141.0</v>
      </c>
      <c r="BD15" s="1">
        <v>75435.0</v>
      </c>
      <c r="BE15" s="1">
        <v>75729.0</v>
      </c>
      <c r="BF15" s="1">
        <v>76025.0</v>
      </c>
      <c r="BG15" s="1">
        <v>76321.0</v>
      </c>
      <c r="BH15" s="1">
        <v>76619.0</v>
      </c>
      <c r="BI15" s="1">
        <v>76919.0</v>
      </c>
      <c r="BJ15" s="1">
        <v>77219.0</v>
      </c>
      <c r="BK15" s="1">
        <v>77520.0</v>
      </c>
      <c r="BL15" s="1">
        <v>77823.0</v>
      </c>
      <c r="BM15" s="1">
        <v>78127.0</v>
      </c>
      <c r="BN15" s="1">
        <v>78432.0</v>
      </c>
      <c r="BO15" s="1">
        <v>78738.0</v>
      </c>
      <c r="BP15" s="1">
        <v>79045.0</v>
      </c>
      <c r="BQ15" s="1">
        <v>79354.0</v>
      </c>
      <c r="BR15" s="1">
        <v>79664.0</v>
      </c>
      <c r="BS15" s="1">
        <v>79975.0</v>
      </c>
      <c r="BT15" s="1">
        <v>80287.0</v>
      </c>
      <c r="BU15" s="1">
        <v>80600.0</v>
      </c>
      <c r="BV15" s="1">
        <v>4127841.0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151200.0</v>
      </c>
      <c r="R16" s="1">
        <v>151790.0</v>
      </c>
      <c r="S16" s="1">
        <v>152383.0</v>
      </c>
      <c r="T16" s="1">
        <v>152978.0</v>
      </c>
      <c r="U16" s="1">
        <v>153575.0</v>
      </c>
      <c r="V16" s="1">
        <v>154175.0</v>
      </c>
      <c r="W16" s="1">
        <v>154776.0</v>
      </c>
      <c r="X16" s="1">
        <v>155381.0</v>
      </c>
      <c r="Y16" s="1">
        <v>155987.0</v>
      </c>
      <c r="Z16" s="1">
        <v>156596.0</v>
      </c>
      <c r="AA16" s="1">
        <v>157208.0</v>
      </c>
      <c r="AB16" s="1">
        <v>157821.0</v>
      </c>
      <c r="AC16" s="1">
        <v>158438.0</v>
      </c>
      <c r="AD16" s="1">
        <v>159056.0</v>
      </c>
      <c r="AE16" s="1">
        <v>159677.0</v>
      </c>
      <c r="AF16" s="1">
        <v>160300.0</v>
      </c>
      <c r="AG16" s="1">
        <v>160926.0</v>
      </c>
      <c r="AH16" s="1">
        <v>161554.0</v>
      </c>
      <c r="AI16" s="1">
        <v>162185.0</v>
      </c>
      <c r="AJ16" s="1">
        <v>162818.0</v>
      </c>
      <c r="AK16" s="1">
        <v>163454.0</v>
      </c>
      <c r="AL16" s="1">
        <v>164092.0</v>
      </c>
      <c r="AM16" s="1">
        <v>164733.0</v>
      </c>
      <c r="AN16" s="1">
        <v>165376.0</v>
      </c>
      <c r="AO16" s="1">
        <v>166021.0</v>
      </c>
      <c r="AP16" s="1">
        <v>166670.0</v>
      </c>
      <c r="AQ16" s="1">
        <v>167320.0</v>
      </c>
      <c r="AR16" s="1">
        <v>167974.0</v>
      </c>
      <c r="AS16" s="1">
        <v>168629.0</v>
      </c>
      <c r="AT16" s="1">
        <v>169288.0</v>
      </c>
      <c r="AU16" s="1">
        <v>169948.0</v>
      </c>
      <c r="AV16" s="1">
        <v>170612.0</v>
      </c>
      <c r="AW16" s="1">
        <v>171278.0</v>
      </c>
      <c r="AX16" s="1">
        <v>171947.0</v>
      </c>
      <c r="AY16" s="1">
        <v>172618.0</v>
      </c>
      <c r="AZ16" s="1">
        <v>173292.0</v>
      </c>
      <c r="BA16" s="1">
        <v>173968.0</v>
      </c>
      <c r="BB16" s="1">
        <v>174648.0</v>
      </c>
      <c r="BC16" s="1">
        <v>175329.0</v>
      </c>
      <c r="BD16" s="1">
        <v>176014.0</v>
      </c>
      <c r="BE16" s="1">
        <v>176701.0</v>
      </c>
      <c r="BF16" s="1">
        <v>177391.0</v>
      </c>
      <c r="BG16" s="1">
        <v>178083.0</v>
      </c>
      <c r="BH16" s="1">
        <v>178779.0</v>
      </c>
      <c r="BI16" s="1">
        <v>179477.0</v>
      </c>
      <c r="BJ16" s="1">
        <v>180177.0</v>
      </c>
      <c r="BK16" s="1">
        <v>180881.0</v>
      </c>
      <c r="BL16" s="1">
        <v>181587.0</v>
      </c>
      <c r="BM16" s="1">
        <v>182296.0</v>
      </c>
      <c r="BN16" s="1">
        <v>183007.0</v>
      </c>
      <c r="BO16" s="1">
        <v>183722.0</v>
      </c>
      <c r="BP16" s="1">
        <v>184439.0</v>
      </c>
      <c r="BQ16" s="1">
        <v>185159.0</v>
      </c>
      <c r="BR16" s="1">
        <v>185882.0</v>
      </c>
      <c r="BS16" s="1">
        <v>186608.0</v>
      </c>
      <c r="BT16" s="1">
        <v>187336.0</v>
      </c>
      <c r="BU16" s="1">
        <v>188068.0</v>
      </c>
      <c r="BV16" s="1">
        <v>9631629.0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214</v>
      </c>
    </row>
    <row r="2">
      <c r="A2" s="1" t="s">
        <v>175</v>
      </c>
    </row>
    <row r="3">
      <c r="A3" s="1" t="s">
        <v>215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200000.0</v>
      </c>
      <c r="V6" s="1">
        <v>202356.0</v>
      </c>
      <c r="W6" s="1">
        <v>204740.0</v>
      </c>
      <c r="X6" s="1">
        <v>207152.0</v>
      </c>
      <c r="Y6" s="1">
        <v>209592.0</v>
      </c>
      <c r="Z6" s="1">
        <v>212061.0</v>
      </c>
      <c r="AA6" s="1">
        <v>214559.0</v>
      </c>
      <c r="AB6" s="1">
        <v>217086.0</v>
      </c>
      <c r="AC6" s="1">
        <v>219644.0</v>
      </c>
      <c r="AD6" s="1">
        <v>222231.0</v>
      </c>
      <c r="AE6" s="1">
        <v>224849.0</v>
      </c>
      <c r="AF6" s="1">
        <v>227498.0</v>
      </c>
      <c r="AG6" s="1">
        <v>230178.0</v>
      </c>
      <c r="AH6" s="1">
        <v>232889.0</v>
      </c>
      <c r="AI6" s="1">
        <v>235633.0</v>
      </c>
      <c r="AJ6" s="1">
        <v>238408.0</v>
      </c>
      <c r="AK6" s="1">
        <v>241217.0</v>
      </c>
      <c r="AL6" s="1">
        <v>244058.0</v>
      </c>
      <c r="AM6" s="1">
        <v>246933.0</v>
      </c>
      <c r="AN6" s="1">
        <v>249842.0</v>
      </c>
      <c r="AO6" s="1">
        <v>252785.0</v>
      </c>
      <c r="AP6" s="1">
        <v>255763.0</v>
      </c>
      <c r="AQ6" s="1">
        <v>258776.0</v>
      </c>
      <c r="AR6" s="1">
        <v>261824.0</v>
      </c>
      <c r="AS6" s="1">
        <v>264909.0</v>
      </c>
      <c r="AT6" s="1">
        <v>268029.0</v>
      </c>
      <c r="AU6" s="1">
        <v>271187.0</v>
      </c>
      <c r="AV6" s="1">
        <v>274381.0</v>
      </c>
      <c r="AW6" s="1">
        <v>277613.0</v>
      </c>
      <c r="AX6" s="1">
        <v>280884.0</v>
      </c>
      <c r="AY6" s="1">
        <v>284193.0</v>
      </c>
      <c r="AZ6" s="1">
        <v>287540.0</v>
      </c>
      <c r="BA6" s="1">
        <v>290928.0</v>
      </c>
      <c r="BB6" s="1">
        <v>294355.0</v>
      </c>
      <c r="BC6" s="1">
        <v>297822.0</v>
      </c>
      <c r="BD6" s="1">
        <v>301331.0</v>
      </c>
      <c r="BE6" s="1">
        <v>304880.0</v>
      </c>
      <c r="BF6" s="1">
        <v>308472.0</v>
      </c>
      <c r="BG6" s="1">
        <v>312106.0</v>
      </c>
      <c r="BH6" s="1">
        <v>315782.0</v>
      </c>
      <c r="BI6" s="1">
        <v>319502.0</v>
      </c>
      <c r="BJ6" s="1">
        <v>323266.0</v>
      </c>
      <c r="BK6" s="1">
        <v>327074.0</v>
      </c>
      <c r="BL6" s="1">
        <v>330927.0</v>
      </c>
      <c r="BM6" s="1">
        <v>334825.0</v>
      </c>
      <c r="BN6" s="1">
        <v>338769.0</v>
      </c>
      <c r="BO6" s="1">
        <v>342760.0</v>
      </c>
      <c r="BP6" s="1">
        <v>346798.0</v>
      </c>
      <c r="BQ6" s="1">
        <v>350883.0</v>
      </c>
      <c r="BR6" s="1">
        <v>355016.0</v>
      </c>
      <c r="BS6" s="1">
        <v>359199.0</v>
      </c>
      <c r="BT6" s="1">
        <v>363430.0</v>
      </c>
      <c r="BU6" s="1">
        <v>367711.0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2000.0</v>
      </c>
      <c r="W7" s="1">
        <v>2024.0</v>
      </c>
      <c r="X7" s="1">
        <v>2047.0</v>
      </c>
      <c r="Y7" s="1">
        <v>2072.0</v>
      </c>
      <c r="Z7" s="1">
        <v>2096.0</v>
      </c>
      <c r="AA7" s="1">
        <v>2121.0</v>
      </c>
      <c r="AB7" s="1">
        <v>2146.0</v>
      </c>
      <c r="AC7" s="1">
        <v>2171.0</v>
      </c>
      <c r="AD7" s="1">
        <v>2196.0</v>
      </c>
      <c r="AE7" s="1">
        <v>2222.0</v>
      </c>
      <c r="AF7" s="1">
        <v>2248.0</v>
      </c>
      <c r="AG7" s="1">
        <v>2275.0</v>
      </c>
      <c r="AH7" s="1">
        <v>2302.0</v>
      </c>
      <c r="AI7" s="1">
        <v>2329.0</v>
      </c>
      <c r="AJ7" s="1">
        <v>2356.0</v>
      </c>
      <c r="AK7" s="1">
        <v>2384.0</v>
      </c>
      <c r="AL7" s="1">
        <v>2412.0</v>
      </c>
      <c r="AM7" s="1">
        <v>2441.0</v>
      </c>
      <c r="AN7" s="1">
        <v>2469.0</v>
      </c>
      <c r="AO7" s="1">
        <v>2498.0</v>
      </c>
      <c r="AP7" s="1">
        <v>2528.0</v>
      </c>
      <c r="AQ7" s="1">
        <v>2558.0</v>
      </c>
      <c r="AR7" s="1">
        <v>2588.0</v>
      </c>
      <c r="AS7" s="1">
        <v>2618.0</v>
      </c>
      <c r="AT7" s="1">
        <v>2649.0</v>
      </c>
      <c r="AU7" s="1">
        <v>2680.0</v>
      </c>
      <c r="AV7" s="1">
        <v>2712.0</v>
      </c>
      <c r="AW7" s="1">
        <v>2744.0</v>
      </c>
      <c r="AX7" s="1">
        <v>2776.0</v>
      </c>
      <c r="AY7" s="1">
        <v>2809.0</v>
      </c>
      <c r="AZ7" s="1">
        <v>2842.0</v>
      </c>
      <c r="BA7" s="1">
        <v>2875.0</v>
      </c>
      <c r="BB7" s="1">
        <v>2909.0</v>
      </c>
      <c r="BC7" s="1">
        <v>2944.0</v>
      </c>
      <c r="BD7" s="1">
        <v>2978.0</v>
      </c>
      <c r="BE7" s="1">
        <v>3013.0</v>
      </c>
      <c r="BF7" s="1">
        <v>3049.0</v>
      </c>
      <c r="BG7" s="1">
        <v>3085.0</v>
      </c>
      <c r="BH7" s="1">
        <v>3121.0</v>
      </c>
      <c r="BI7" s="1">
        <v>3158.0</v>
      </c>
      <c r="BJ7" s="1">
        <v>3195.0</v>
      </c>
      <c r="BK7" s="1">
        <v>3233.0</v>
      </c>
      <c r="BL7" s="1">
        <v>3271.0</v>
      </c>
      <c r="BM7" s="1">
        <v>3309.0</v>
      </c>
      <c r="BN7" s="1">
        <v>3348.0</v>
      </c>
      <c r="BO7" s="1">
        <v>3388.0</v>
      </c>
      <c r="BP7" s="1">
        <v>3428.0</v>
      </c>
      <c r="BQ7" s="1">
        <v>3468.0</v>
      </c>
      <c r="BR7" s="1">
        <v>3509.0</v>
      </c>
      <c r="BS7" s="1">
        <v>3550.0</v>
      </c>
      <c r="BT7" s="1">
        <v>3592.0</v>
      </c>
      <c r="BU7" s="1">
        <v>3634.0</v>
      </c>
      <c r="BV7" s="1">
        <v>142369.0</v>
      </c>
    </row>
    <row r="8">
      <c r="A8" s="1" t="s">
        <v>145</v>
      </c>
      <c r="B8" s="1">
        <v>2.0</v>
      </c>
      <c r="C8" s="1">
        <v>2.0</v>
      </c>
      <c r="D8" s="1">
        <v>2.0</v>
      </c>
      <c r="E8" s="1">
        <v>2.0</v>
      </c>
      <c r="F8" s="1">
        <v>2.0</v>
      </c>
      <c r="G8" s="1">
        <v>2.0</v>
      </c>
      <c r="H8" s="1">
        <v>2.0</v>
      </c>
      <c r="I8" s="1">
        <v>2.0</v>
      </c>
      <c r="J8" s="1">
        <v>2.0</v>
      </c>
      <c r="K8" s="1">
        <v>2.0</v>
      </c>
      <c r="L8" s="1">
        <v>2.0</v>
      </c>
      <c r="M8" s="1">
        <v>2.0</v>
      </c>
      <c r="N8" s="1">
        <v>2.0</v>
      </c>
      <c r="O8" s="1">
        <v>2.0</v>
      </c>
      <c r="P8" s="1">
        <v>2.0</v>
      </c>
      <c r="Q8" s="1">
        <v>2.0</v>
      </c>
      <c r="R8" s="1">
        <v>2.0</v>
      </c>
      <c r="S8" s="1">
        <v>2.0</v>
      </c>
      <c r="T8" s="1">
        <v>2.0</v>
      </c>
      <c r="U8" s="1">
        <v>2.0</v>
      </c>
      <c r="V8" s="1">
        <v>2.0</v>
      </c>
      <c r="W8" s="1">
        <v>2.0</v>
      </c>
      <c r="X8" s="1">
        <v>2.0</v>
      </c>
      <c r="Y8" s="1">
        <v>2.0</v>
      </c>
      <c r="Z8" s="1">
        <v>2.0</v>
      </c>
      <c r="AA8" s="1">
        <v>2.0</v>
      </c>
      <c r="AB8" s="1">
        <v>2.0</v>
      </c>
      <c r="AC8" s="1">
        <v>2.0</v>
      </c>
      <c r="AD8" s="1">
        <v>2.0</v>
      </c>
      <c r="AE8" s="1">
        <v>2.0</v>
      </c>
      <c r="AF8" s="1">
        <v>2.0</v>
      </c>
      <c r="AG8" s="1">
        <v>2.0</v>
      </c>
      <c r="AH8" s="1">
        <v>2.0</v>
      </c>
      <c r="AI8" s="1">
        <v>2.0</v>
      </c>
      <c r="AJ8" s="1">
        <v>2.0</v>
      </c>
      <c r="AK8" s="1">
        <v>2.0</v>
      </c>
      <c r="AL8" s="1">
        <v>2.0</v>
      </c>
      <c r="AM8" s="1">
        <v>2.0</v>
      </c>
      <c r="AN8" s="1">
        <v>2.0</v>
      </c>
      <c r="AO8" s="1">
        <v>2.0</v>
      </c>
      <c r="AP8" s="1">
        <v>2.0</v>
      </c>
      <c r="AQ8" s="1">
        <v>2.0</v>
      </c>
      <c r="AR8" s="1">
        <v>2.0</v>
      </c>
      <c r="AS8" s="1">
        <v>2.0</v>
      </c>
      <c r="AT8" s="1">
        <v>2.0</v>
      </c>
      <c r="AU8" s="1">
        <v>2.0</v>
      </c>
      <c r="AV8" s="1">
        <v>2.0</v>
      </c>
      <c r="AW8" s="1">
        <v>2.0</v>
      </c>
      <c r="AX8" s="1">
        <v>2.0</v>
      </c>
      <c r="AY8" s="1">
        <v>2.0</v>
      </c>
      <c r="AZ8" s="1">
        <v>2.0</v>
      </c>
      <c r="BA8" s="1">
        <v>2.0</v>
      </c>
      <c r="BB8" s="1">
        <v>2.0</v>
      </c>
      <c r="BC8" s="1">
        <v>2.0</v>
      </c>
      <c r="BD8" s="1">
        <v>2.0</v>
      </c>
      <c r="BE8" s="1">
        <v>2.0</v>
      </c>
      <c r="BF8" s="1">
        <v>2.0</v>
      </c>
      <c r="BG8" s="1">
        <v>2.0</v>
      </c>
      <c r="BH8" s="1">
        <v>2.0</v>
      </c>
      <c r="BI8" s="1">
        <v>2.0</v>
      </c>
      <c r="BJ8" s="1">
        <v>2.0</v>
      </c>
      <c r="BK8" s="1">
        <v>2.0</v>
      </c>
      <c r="BL8" s="1">
        <v>2.0</v>
      </c>
      <c r="BM8" s="1">
        <v>2.0</v>
      </c>
      <c r="BN8" s="1">
        <v>2.0</v>
      </c>
      <c r="BO8" s="1">
        <v>2.0</v>
      </c>
      <c r="BP8" s="1">
        <v>2.0</v>
      </c>
      <c r="BQ8" s="1">
        <v>2.0</v>
      </c>
      <c r="BR8" s="1">
        <v>2.0</v>
      </c>
      <c r="BS8" s="1">
        <v>2.0</v>
      </c>
      <c r="BT8" s="1">
        <v>2.0</v>
      </c>
      <c r="BU8" s="1">
        <v>2.0</v>
      </c>
    </row>
    <row r="9">
      <c r="A9" s="1" t="s">
        <v>146</v>
      </c>
      <c r="B9" s="1">
        <v>110.0</v>
      </c>
      <c r="C9" s="1">
        <v>110.0</v>
      </c>
      <c r="D9" s="1">
        <v>110.0</v>
      </c>
      <c r="E9" s="1">
        <v>110.0</v>
      </c>
      <c r="F9" s="1">
        <v>110.0</v>
      </c>
      <c r="G9" s="1">
        <v>110.0</v>
      </c>
      <c r="H9" s="1">
        <v>110.0</v>
      </c>
      <c r="I9" s="1">
        <v>110.0</v>
      </c>
      <c r="J9" s="1">
        <v>110.0</v>
      </c>
      <c r="K9" s="1">
        <v>110.0</v>
      </c>
      <c r="L9" s="1">
        <v>110.0</v>
      </c>
      <c r="M9" s="1">
        <v>110.0</v>
      </c>
      <c r="N9" s="1">
        <v>110.0</v>
      </c>
      <c r="O9" s="1">
        <v>110.0</v>
      </c>
      <c r="P9" s="1">
        <v>110.0</v>
      </c>
      <c r="Q9" s="1">
        <v>110.0</v>
      </c>
      <c r="R9" s="1">
        <v>110.0</v>
      </c>
      <c r="S9" s="1">
        <v>110.0</v>
      </c>
      <c r="T9" s="1">
        <v>110.0</v>
      </c>
      <c r="U9" s="1">
        <v>110.0</v>
      </c>
      <c r="V9" s="1">
        <v>110.0</v>
      </c>
      <c r="W9" s="1">
        <v>110.0</v>
      </c>
      <c r="X9" s="1">
        <v>110.0</v>
      </c>
      <c r="Y9" s="1">
        <v>110.0</v>
      </c>
      <c r="Z9" s="1">
        <v>110.0</v>
      </c>
      <c r="AA9" s="1">
        <v>110.0</v>
      </c>
      <c r="AB9" s="1">
        <v>110.0</v>
      </c>
      <c r="AC9" s="1">
        <v>110.0</v>
      </c>
      <c r="AD9" s="1">
        <v>110.0</v>
      </c>
      <c r="AE9" s="1">
        <v>110.0</v>
      </c>
      <c r="AF9" s="1">
        <v>110.0</v>
      </c>
      <c r="AG9" s="1">
        <v>110.0</v>
      </c>
      <c r="AH9" s="1">
        <v>110.0</v>
      </c>
      <c r="AI9" s="1">
        <v>110.0</v>
      </c>
      <c r="AJ9" s="1">
        <v>110.0</v>
      </c>
      <c r="AK9" s="1">
        <v>110.0</v>
      </c>
      <c r="AL9" s="1">
        <v>110.0</v>
      </c>
      <c r="AM9" s="1">
        <v>110.0</v>
      </c>
      <c r="AN9" s="1">
        <v>110.0</v>
      </c>
      <c r="AO9" s="1">
        <v>110.0</v>
      </c>
      <c r="AP9" s="1">
        <v>110.0</v>
      </c>
      <c r="AQ9" s="1">
        <v>110.0</v>
      </c>
      <c r="AR9" s="1">
        <v>110.0</v>
      </c>
      <c r="AS9" s="1">
        <v>110.0</v>
      </c>
      <c r="AT9" s="1">
        <v>110.0</v>
      </c>
      <c r="AU9" s="1">
        <v>110.0</v>
      </c>
      <c r="AV9" s="1">
        <v>110.0</v>
      </c>
      <c r="AW9" s="1">
        <v>110.0</v>
      </c>
      <c r="AX9" s="1">
        <v>110.0</v>
      </c>
      <c r="AY9" s="1">
        <v>110.0</v>
      </c>
      <c r="AZ9" s="1">
        <v>110.0</v>
      </c>
      <c r="BA9" s="1">
        <v>110.0</v>
      </c>
      <c r="BB9" s="1">
        <v>110.0</v>
      </c>
      <c r="BC9" s="1">
        <v>110.0</v>
      </c>
      <c r="BD9" s="1">
        <v>110.0</v>
      </c>
      <c r="BE9" s="1">
        <v>110.0</v>
      </c>
      <c r="BF9" s="1">
        <v>110.0</v>
      </c>
      <c r="BG9" s="1">
        <v>110.0</v>
      </c>
      <c r="BH9" s="1">
        <v>110.0</v>
      </c>
      <c r="BI9" s="1">
        <v>110.0</v>
      </c>
      <c r="BJ9" s="1">
        <v>110.0</v>
      </c>
      <c r="BK9" s="1">
        <v>110.0</v>
      </c>
      <c r="BL9" s="1">
        <v>110.0</v>
      </c>
      <c r="BM9" s="1">
        <v>110.0</v>
      </c>
      <c r="BN9" s="1">
        <v>110.0</v>
      </c>
      <c r="BO9" s="1">
        <v>110.0</v>
      </c>
      <c r="BP9" s="1">
        <v>110.0</v>
      </c>
      <c r="BQ9" s="1">
        <v>110.0</v>
      </c>
      <c r="BR9" s="1">
        <v>110.0</v>
      </c>
      <c r="BS9" s="1">
        <v>110.0</v>
      </c>
      <c r="BT9" s="1">
        <v>110.0</v>
      </c>
      <c r="BU9" s="1">
        <v>110.0</v>
      </c>
      <c r="BV9" s="1" t="s">
        <v>177</v>
      </c>
    </row>
    <row r="10">
      <c r="A10" s="1" t="s">
        <v>149</v>
      </c>
      <c r="B10" s="1">
        <v>20.0</v>
      </c>
      <c r="C10" s="1">
        <v>20.0</v>
      </c>
      <c r="D10" s="1">
        <v>20.0</v>
      </c>
      <c r="E10" s="1">
        <v>20.0</v>
      </c>
      <c r="F10" s="1">
        <v>20.0</v>
      </c>
      <c r="G10" s="1">
        <v>20.0</v>
      </c>
      <c r="H10" s="1">
        <v>20.0</v>
      </c>
      <c r="I10" s="1">
        <v>20.0</v>
      </c>
      <c r="J10" s="1">
        <v>20.0</v>
      </c>
      <c r="K10" s="1">
        <v>20.0</v>
      </c>
      <c r="L10" s="1">
        <v>20.0</v>
      </c>
      <c r="M10" s="1">
        <v>20.0</v>
      </c>
      <c r="N10" s="1">
        <v>20.0</v>
      </c>
      <c r="O10" s="1">
        <v>20.0</v>
      </c>
      <c r="P10" s="1">
        <v>20.0</v>
      </c>
      <c r="Q10" s="1">
        <v>20.0</v>
      </c>
      <c r="R10" s="1">
        <v>20.0</v>
      </c>
      <c r="S10" s="1">
        <v>20.0</v>
      </c>
      <c r="T10" s="1">
        <v>20.0</v>
      </c>
      <c r="U10" s="1">
        <v>20.0</v>
      </c>
      <c r="V10" s="1">
        <v>20.0</v>
      </c>
      <c r="W10" s="1">
        <v>20.0</v>
      </c>
      <c r="X10" s="1">
        <v>20.0</v>
      </c>
      <c r="Y10" s="1">
        <v>20.0</v>
      </c>
      <c r="Z10" s="1">
        <v>20.0</v>
      </c>
      <c r="AA10" s="1">
        <v>20.0</v>
      </c>
      <c r="AB10" s="1">
        <v>20.0</v>
      </c>
      <c r="AC10" s="1">
        <v>20.0</v>
      </c>
      <c r="AD10" s="1">
        <v>20.0</v>
      </c>
      <c r="AE10" s="1">
        <v>20.0</v>
      </c>
      <c r="AF10" s="1">
        <v>20.0</v>
      </c>
      <c r="AG10" s="1">
        <v>20.0</v>
      </c>
      <c r="AH10" s="1">
        <v>20.0</v>
      </c>
      <c r="AI10" s="1">
        <v>20.0</v>
      </c>
      <c r="AJ10" s="1">
        <v>20.0</v>
      </c>
      <c r="AK10" s="1">
        <v>20.0</v>
      </c>
      <c r="AL10" s="1">
        <v>20.0</v>
      </c>
      <c r="AM10" s="1">
        <v>20.0</v>
      </c>
      <c r="AN10" s="1">
        <v>20.0</v>
      </c>
      <c r="AO10" s="1">
        <v>20.0</v>
      </c>
      <c r="AP10" s="1">
        <v>20.0</v>
      </c>
      <c r="AQ10" s="1">
        <v>20.0</v>
      </c>
      <c r="AR10" s="1">
        <v>20.0</v>
      </c>
      <c r="AS10" s="1">
        <v>20.0</v>
      </c>
      <c r="AT10" s="1">
        <v>20.0</v>
      </c>
      <c r="AU10" s="1">
        <v>20.0</v>
      </c>
      <c r="AV10" s="1">
        <v>20.0</v>
      </c>
      <c r="AW10" s="1">
        <v>20.0</v>
      </c>
      <c r="AX10" s="1">
        <v>20.0</v>
      </c>
      <c r="AY10" s="1">
        <v>20.0</v>
      </c>
      <c r="AZ10" s="1">
        <v>20.0</v>
      </c>
      <c r="BA10" s="1">
        <v>20.0</v>
      </c>
      <c r="BB10" s="1">
        <v>20.0</v>
      </c>
      <c r="BC10" s="1">
        <v>20.0</v>
      </c>
      <c r="BD10" s="1">
        <v>20.0</v>
      </c>
      <c r="BE10" s="1">
        <v>20.0</v>
      </c>
      <c r="BF10" s="1">
        <v>20.0</v>
      </c>
      <c r="BG10" s="1">
        <v>20.0</v>
      </c>
      <c r="BH10" s="1">
        <v>20.0</v>
      </c>
      <c r="BI10" s="1">
        <v>20.0</v>
      </c>
      <c r="BJ10" s="1">
        <v>20.0</v>
      </c>
      <c r="BK10" s="1">
        <v>20.0</v>
      </c>
      <c r="BL10" s="1">
        <v>20.0</v>
      </c>
      <c r="BM10" s="1">
        <v>20.0</v>
      </c>
      <c r="BN10" s="1">
        <v>20.0</v>
      </c>
      <c r="BO10" s="1">
        <v>20.0</v>
      </c>
      <c r="BP10" s="1">
        <v>20.0</v>
      </c>
      <c r="BQ10" s="1">
        <v>20.0</v>
      </c>
      <c r="BR10" s="1">
        <v>20.0</v>
      </c>
      <c r="BS10" s="1">
        <v>20.0</v>
      </c>
      <c r="BT10" s="1">
        <v>20.0</v>
      </c>
      <c r="BU10" s="1">
        <v>20.0</v>
      </c>
      <c r="BV10" s="1" t="s">
        <v>178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4000.0</v>
      </c>
      <c r="V11" s="1">
        <v>4047.0</v>
      </c>
      <c r="W11" s="1">
        <v>4095.0</v>
      </c>
      <c r="X11" s="1">
        <v>4143.0</v>
      </c>
      <c r="Y11" s="1">
        <v>4192.0</v>
      </c>
      <c r="Z11" s="1">
        <v>4241.0</v>
      </c>
      <c r="AA11" s="1">
        <v>4291.0</v>
      </c>
      <c r="AB11" s="1">
        <v>4342.0</v>
      </c>
      <c r="AC11" s="1">
        <v>4393.0</v>
      </c>
      <c r="AD11" s="1">
        <v>4445.0</v>
      </c>
      <c r="AE11" s="1">
        <v>4497.0</v>
      </c>
      <c r="AF11" s="1">
        <v>4550.0</v>
      </c>
      <c r="AG11" s="1">
        <v>4604.0</v>
      </c>
      <c r="AH11" s="1">
        <v>4658.0</v>
      </c>
      <c r="AI11" s="1">
        <v>4713.0</v>
      </c>
      <c r="AJ11" s="1">
        <v>4768.0</v>
      </c>
      <c r="AK11" s="1">
        <v>4824.0</v>
      </c>
      <c r="AL11" s="1">
        <v>4881.0</v>
      </c>
      <c r="AM11" s="1">
        <v>4939.0</v>
      </c>
      <c r="AN11" s="1">
        <v>4997.0</v>
      </c>
      <c r="AO11" s="1">
        <v>5056.0</v>
      </c>
      <c r="AP11" s="1">
        <v>5115.0</v>
      </c>
      <c r="AQ11" s="1">
        <v>5176.0</v>
      </c>
      <c r="AR11" s="1">
        <v>5236.0</v>
      </c>
      <c r="AS11" s="1">
        <v>5298.0</v>
      </c>
      <c r="AT11" s="1">
        <v>5361.0</v>
      </c>
      <c r="AU11" s="1">
        <v>5424.0</v>
      </c>
      <c r="AV11" s="1">
        <v>5488.0</v>
      </c>
      <c r="AW11" s="1">
        <v>5552.0</v>
      </c>
      <c r="AX11" s="1">
        <v>5618.0</v>
      </c>
      <c r="AY11" s="1">
        <v>5684.0</v>
      </c>
      <c r="AZ11" s="1">
        <v>5751.0</v>
      </c>
      <c r="BA11" s="1">
        <v>5819.0</v>
      </c>
      <c r="BB11" s="1">
        <v>5887.0</v>
      </c>
      <c r="BC11" s="1">
        <v>5956.0</v>
      </c>
      <c r="BD11" s="1">
        <v>6027.0</v>
      </c>
      <c r="BE11" s="1">
        <v>6098.0</v>
      </c>
      <c r="BF11" s="1">
        <v>6169.0</v>
      </c>
      <c r="BG11" s="1">
        <v>6242.0</v>
      </c>
      <c r="BH11" s="1">
        <v>6316.0</v>
      </c>
      <c r="BI11" s="1">
        <v>6390.0</v>
      </c>
      <c r="BJ11" s="1">
        <v>6465.0</v>
      </c>
      <c r="BK11" s="1">
        <v>6541.0</v>
      </c>
      <c r="BL11" s="1">
        <v>6619.0</v>
      </c>
      <c r="BM11" s="1">
        <v>6697.0</v>
      </c>
      <c r="BN11" s="1">
        <v>6775.0</v>
      </c>
      <c r="BO11" s="1">
        <v>6855.0</v>
      </c>
      <c r="BP11" s="1">
        <v>6936.0</v>
      </c>
      <c r="BQ11" s="1">
        <v>7018.0</v>
      </c>
      <c r="BR11" s="1">
        <v>7100.0</v>
      </c>
      <c r="BS11" s="1">
        <v>7184.0</v>
      </c>
      <c r="BT11" s="1">
        <v>7269.0</v>
      </c>
      <c r="BU11" s="1">
        <v>7354.0</v>
      </c>
      <c r="BV11" s="1">
        <v>292093.0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440000.0</v>
      </c>
      <c r="V12" s="1">
        <v>445183.0</v>
      </c>
      <c r="W12" s="1">
        <v>450427.0</v>
      </c>
      <c r="X12" s="1">
        <v>455733.0</v>
      </c>
      <c r="Y12" s="1">
        <v>461102.0</v>
      </c>
      <c r="Z12" s="1">
        <v>466534.0</v>
      </c>
      <c r="AA12" s="1">
        <v>472030.0</v>
      </c>
      <c r="AB12" s="1">
        <v>477590.0</v>
      </c>
      <c r="AC12" s="1">
        <v>483216.0</v>
      </c>
      <c r="AD12" s="1">
        <v>488908.0</v>
      </c>
      <c r="AE12" s="1">
        <v>494668.0</v>
      </c>
      <c r="AF12" s="1">
        <v>500495.0</v>
      </c>
      <c r="AG12" s="1">
        <v>506391.0</v>
      </c>
      <c r="AH12" s="1">
        <v>512356.0</v>
      </c>
      <c r="AI12" s="1">
        <v>518392.0</v>
      </c>
      <c r="AJ12" s="1">
        <v>524498.0</v>
      </c>
      <c r="AK12" s="1">
        <v>530677.0</v>
      </c>
      <c r="AL12" s="1">
        <v>536928.0</v>
      </c>
      <c r="AM12" s="1">
        <v>543253.0</v>
      </c>
      <c r="AN12" s="1">
        <v>549653.0</v>
      </c>
      <c r="AO12" s="1">
        <v>556128.0</v>
      </c>
      <c r="AP12" s="1">
        <v>562679.0</v>
      </c>
      <c r="AQ12" s="1">
        <v>569307.0</v>
      </c>
      <c r="AR12" s="1">
        <v>576014.0</v>
      </c>
      <c r="AS12" s="1">
        <v>582799.0</v>
      </c>
      <c r="AT12" s="1">
        <v>589664.0</v>
      </c>
      <c r="AU12" s="1">
        <v>596611.0</v>
      </c>
      <c r="AV12" s="1">
        <v>603639.0</v>
      </c>
      <c r="AW12" s="1">
        <v>610750.0</v>
      </c>
      <c r="AX12" s="1">
        <v>617944.0</v>
      </c>
      <c r="AY12" s="1">
        <v>625224.0</v>
      </c>
      <c r="AZ12" s="1">
        <v>632589.0</v>
      </c>
      <c r="BA12" s="1">
        <v>640041.0</v>
      </c>
      <c r="BB12" s="1">
        <v>647580.0</v>
      </c>
      <c r="BC12" s="1">
        <v>655209.0</v>
      </c>
      <c r="BD12" s="1">
        <v>662927.0</v>
      </c>
      <c r="BE12" s="1">
        <v>670736.0</v>
      </c>
      <c r="BF12" s="1">
        <v>678638.0</v>
      </c>
      <c r="BG12" s="1">
        <v>686632.0</v>
      </c>
      <c r="BH12" s="1">
        <v>694721.0</v>
      </c>
      <c r="BI12" s="1">
        <v>702904.0</v>
      </c>
      <c r="BJ12" s="1">
        <v>711185.0</v>
      </c>
      <c r="BK12" s="1">
        <v>719562.0</v>
      </c>
      <c r="BL12" s="1">
        <v>728039.0</v>
      </c>
      <c r="BM12" s="1">
        <v>736615.0</v>
      </c>
      <c r="BN12" s="1">
        <v>745292.0</v>
      </c>
      <c r="BO12" s="1">
        <v>754072.0</v>
      </c>
      <c r="BP12" s="1">
        <v>762955.0</v>
      </c>
      <c r="BQ12" s="1">
        <v>771943.0</v>
      </c>
      <c r="BR12" s="1">
        <v>781036.0</v>
      </c>
      <c r="BS12" s="1">
        <v>790237.0</v>
      </c>
      <c r="BT12" s="1">
        <v>799546.0</v>
      </c>
      <c r="BU12" s="1">
        <v>808964.0</v>
      </c>
      <c r="BV12" s="1">
        <v>3.2130215E7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88000.0</v>
      </c>
      <c r="V13" s="1">
        <v>89037.0</v>
      </c>
      <c r="W13" s="1">
        <v>90085.0</v>
      </c>
      <c r="X13" s="1">
        <v>91147.0</v>
      </c>
      <c r="Y13" s="1">
        <v>92220.0</v>
      </c>
      <c r="Z13" s="1">
        <v>93307.0</v>
      </c>
      <c r="AA13" s="1">
        <v>94406.0</v>
      </c>
      <c r="AB13" s="1">
        <v>95518.0</v>
      </c>
      <c r="AC13" s="1">
        <v>96643.0</v>
      </c>
      <c r="AD13" s="1">
        <v>97782.0</v>
      </c>
      <c r="AE13" s="1">
        <v>98934.0</v>
      </c>
      <c r="AF13" s="1">
        <v>100099.0</v>
      </c>
      <c r="AG13" s="1">
        <v>101278.0</v>
      </c>
      <c r="AH13" s="1">
        <v>102471.0</v>
      </c>
      <c r="AI13" s="1">
        <v>103678.0</v>
      </c>
      <c r="AJ13" s="1">
        <v>104900.0</v>
      </c>
      <c r="AK13" s="1">
        <v>106135.0</v>
      </c>
      <c r="AL13" s="1">
        <v>107386.0</v>
      </c>
      <c r="AM13" s="1">
        <v>108651.0</v>
      </c>
      <c r="AN13" s="1">
        <v>109931.0</v>
      </c>
      <c r="AO13" s="1">
        <v>111226.0</v>
      </c>
      <c r="AP13" s="1">
        <v>112536.0</v>
      </c>
      <c r="AQ13" s="1">
        <v>113861.0</v>
      </c>
      <c r="AR13" s="1">
        <v>115203.0</v>
      </c>
      <c r="AS13" s="1">
        <v>116560.0</v>
      </c>
      <c r="AT13" s="1">
        <v>117933.0</v>
      </c>
      <c r="AU13" s="1">
        <v>119322.0</v>
      </c>
      <c r="AV13" s="1">
        <v>120728.0</v>
      </c>
      <c r="AW13" s="1">
        <v>122150.0</v>
      </c>
      <c r="AX13" s="1">
        <v>123589.0</v>
      </c>
      <c r="AY13" s="1">
        <v>125045.0</v>
      </c>
      <c r="AZ13" s="1">
        <v>126518.0</v>
      </c>
      <c r="BA13" s="1">
        <v>128008.0</v>
      </c>
      <c r="BB13" s="1">
        <v>129516.0</v>
      </c>
      <c r="BC13" s="1">
        <v>131042.0</v>
      </c>
      <c r="BD13" s="1">
        <v>132585.0</v>
      </c>
      <c r="BE13" s="1">
        <v>134147.0</v>
      </c>
      <c r="BF13" s="1">
        <v>135728.0</v>
      </c>
      <c r="BG13" s="1">
        <v>137326.0</v>
      </c>
      <c r="BH13" s="1">
        <v>138944.0</v>
      </c>
      <c r="BI13" s="1">
        <v>140581.0</v>
      </c>
      <c r="BJ13" s="1">
        <v>142237.0</v>
      </c>
      <c r="BK13" s="1">
        <v>143912.0</v>
      </c>
      <c r="BL13" s="1">
        <v>145608.0</v>
      </c>
      <c r="BM13" s="1">
        <v>147323.0</v>
      </c>
      <c r="BN13" s="1">
        <v>149058.0</v>
      </c>
      <c r="BO13" s="1">
        <v>150814.0</v>
      </c>
      <c r="BP13" s="1">
        <v>152591.0</v>
      </c>
      <c r="BQ13" s="1">
        <v>154389.0</v>
      </c>
      <c r="BR13" s="1">
        <v>156207.0</v>
      </c>
      <c r="BS13" s="1">
        <v>158047.0</v>
      </c>
      <c r="BT13" s="1">
        <v>159909.0</v>
      </c>
      <c r="BU13" s="1">
        <v>161793.0</v>
      </c>
      <c r="BV13" s="1">
        <v>6426043.0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2000.0</v>
      </c>
      <c r="V14" s="1">
        <v>2000.0</v>
      </c>
      <c r="W14" s="1">
        <v>2000.0</v>
      </c>
      <c r="X14" s="1">
        <v>2000.0</v>
      </c>
      <c r="Y14" s="1">
        <v>2000.0</v>
      </c>
      <c r="Z14" s="1">
        <v>2000.0</v>
      </c>
      <c r="AA14" s="1">
        <v>2000.0</v>
      </c>
      <c r="AB14" s="1">
        <v>2000.0</v>
      </c>
      <c r="AC14" s="1">
        <v>2000.0</v>
      </c>
      <c r="AD14" s="1">
        <v>2000.0</v>
      </c>
      <c r="AE14" s="1">
        <v>2000.0</v>
      </c>
      <c r="AF14" s="1">
        <v>2000.0</v>
      </c>
      <c r="AG14" s="1">
        <v>2000.0</v>
      </c>
      <c r="AH14" s="1">
        <v>2000.0</v>
      </c>
      <c r="AI14" s="1">
        <v>2000.0</v>
      </c>
      <c r="AJ14" s="1">
        <v>2000.0</v>
      </c>
      <c r="AK14" s="1">
        <v>2000.0</v>
      </c>
      <c r="AL14" s="1">
        <v>2000.0</v>
      </c>
      <c r="AM14" s="1">
        <v>2000.0</v>
      </c>
      <c r="AN14" s="1">
        <v>2000.0</v>
      </c>
      <c r="AO14" s="1">
        <v>2000.0</v>
      </c>
      <c r="AP14" s="1">
        <v>2000.0</v>
      </c>
      <c r="AQ14" s="1">
        <v>2000.0</v>
      </c>
      <c r="AR14" s="1">
        <v>2000.0</v>
      </c>
      <c r="AS14" s="1">
        <v>2000.0</v>
      </c>
      <c r="AT14" s="1">
        <v>2000.0</v>
      </c>
      <c r="AU14" s="1">
        <v>2000.0</v>
      </c>
      <c r="AV14" s="1">
        <v>2000.0</v>
      </c>
      <c r="AW14" s="1">
        <v>2000.0</v>
      </c>
      <c r="AX14" s="1">
        <v>2000.0</v>
      </c>
      <c r="AY14" s="1">
        <v>2000.0</v>
      </c>
      <c r="AZ14" s="1">
        <v>2000.0</v>
      </c>
      <c r="BA14" s="1">
        <v>2000.0</v>
      </c>
      <c r="BB14" s="1">
        <v>2000.0</v>
      </c>
      <c r="BC14" s="1">
        <v>2000.0</v>
      </c>
      <c r="BD14" s="1">
        <v>2000.0</v>
      </c>
      <c r="BE14" s="1">
        <v>2000.0</v>
      </c>
      <c r="BF14" s="1">
        <v>2000.0</v>
      </c>
      <c r="BG14" s="1">
        <v>2000.0</v>
      </c>
      <c r="BH14" s="1">
        <v>2000.0</v>
      </c>
      <c r="BI14" s="1">
        <v>2000.0</v>
      </c>
      <c r="BJ14" s="1">
        <v>2000.0</v>
      </c>
      <c r="BK14" s="1">
        <v>2000.0</v>
      </c>
      <c r="BL14" s="1">
        <v>2000.0</v>
      </c>
      <c r="BM14" s="1">
        <v>2000.0</v>
      </c>
      <c r="BN14" s="1">
        <v>2000.0</v>
      </c>
      <c r="BO14" s="1">
        <v>2000.0</v>
      </c>
      <c r="BP14" s="1">
        <v>2000.0</v>
      </c>
      <c r="BQ14" s="1">
        <v>2000.0</v>
      </c>
      <c r="BR14" s="1">
        <v>2000.0</v>
      </c>
      <c r="BS14" s="1">
        <v>2000.0</v>
      </c>
      <c r="BT14" s="1">
        <v>2000.0</v>
      </c>
      <c r="BU14" s="1">
        <v>2000.0</v>
      </c>
      <c r="BV14" s="1">
        <v>106000.0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90000.0</v>
      </c>
      <c r="V15" s="1">
        <v>91037.0</v>
      </c>
      <c r="W15" s="1">
        <v>92085.0</v>
      </c>
      <c r="X15" s="1">
        <v>93147.0</v>
      </c>
      <c r="Y15" s="1">
        <v>94220.0</v>
      </c>
      <c r="Z15" s="1">
        <v>95307.0</v>
      </c>
      <c r="AA15" s="1">
        <v>96406.0</v>
      </c>
      <c r="AB15" s="1">
        <v>97518.0</v>
      </c>
      <c r="AC15" s="1">
        <v>98643.0</v>
      </c>
      <c r="AD15" s="1">
        <v>99782.0</v>
      </c>
      <c r="AE15" s="1">
        <v>100934.0</v>
      </c>
      <c r="AF15" s="1">
        <v>102099.0</v>
      </c>
      <c r="AG15" s="1">
        <v>103278.0</v>
      </c>
      <c r="AH15" s="1">
        <v>104471.0</v>
      </c>
      <c r="AI15" s="1">
        <v>105678.0</v>
      </c>
      <c r="AJ15" s="1">
        <v>106900.0</v>
      </c>
      <c r="AK15" s="1">
        <v>108135.0</v>
      </c>
      <c r="AL15" s="1">
        <v>109386.0</v>
      </c>
      <c r="AM15" s="1">
        <v>110651.0</v>
      </c>
      <c r="AN15" s="1">
        <v>111931.0</v>
      </c>
      <c r="AO15" s="1">
        <v>113226.0</v>
      </c>
      <c r="AP15" s="1">
        <v>114536.0</v>
      </c>
      <c r="AQ15" s="1">
        <v>115861.0</v>
      </c>
      <c r="AR15" s="1">
        <v>117203.0</v>
      </c>
      <c r="AS15" s="1">
        <v>118560.0</v>
      </c>
      <c r="AT15" s="1">
        <v>119933.0</v>
      </c>
      <c r="AU15" s="1">
        <v>121322.0</v>
      </c>
      <c r="AV15" s="1">
        <v>122728.0</v>
      </c>
      <c r="AW15" s="1">
        <v>124150.0</v>
      </c>
      <c r="AX15" s="1">
        <v>125589.0</v>
      </c>
      <c r="AY15" s="1">
        <v>127045.0</v>
      </c>
      <c r="AZ15" s="1">
        <v>128518.0</v>
      </c>
      <c r="BA15" s="1">
        <v>130008.0</v>
      </c>
      <c r="BB15" s="1">
        <v>131516.0</v>
      </c>
      <c r="BC15" s="1">
        <v>133042.0</v>
      </c>
      <c r="BD15" s="1">
        <v>134585.0</v>
      </c>
      <c r="BE15" s="1">
        <v>136147.0</v>
      </c>
      <c r="BF15" s="1">
        <v>137728.0</v>
      </c>
      <c r="BG15" s="1">
        <v>139326.0</v>
      </c>
      <c r="BH15" s="1">
        <v>140944.0</v>
      </c>
      <c r="BI15" s="1">
        <v>142581.0</v>
      </c>
      <c r="BJ15" s="1">
        <v>144237.0</v>
      </c>
      <c r="BK15" s="1">
        <v>145912.0</v>
      </c>
      <c r="BL15" s="1">
        <v>147608.0</v>
      </c>
      <c r="BM15" s="1">
        <v>149323.0</v>
      </c>
      <c r="BN15" s="1">
        <v>151058.0</v>
      </c>
      <c r="BO15" s="1">
        <v>152814.0</v>
      </c>
      <c r="BP15" s="1">
        <v>154591.0</v>
      </c>
      <c r="BQ15" s="1">
        <v>156389.0</v>
      </c>
      <c r="BR15" s="1">
        <v>158207.0</v>
      </c>
      <c r="BS15" s="1">
        <v>160047.0</v>
      </c>
      <c r="BT15" s="1">
        <v>161909.0</v>
      </c>
      <c r="BU15" s="1">
        <v>163793.0</v>
      </c>
      <c r="BV15" s="1">
        <v>6532043.0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352000.0</v>
      </c>
      <c r="V16" s="1">
        <v>356147.0</v>
      </c>
      <c r="W16" s="1">
        <v>360342.0</v>
      </c>
      <c r="X16" s="1">
        <v>364587.0</v>
      </c>
      <c r="Y16" s="1">
        <v>368882.0</v>
      </c>
      <c r="Z16" s="1">
        <v>373227.0</v>
      </c>
      <c r="AA16" s="1">
        <v>377624.0</v>
      </c>
      <c r="AB16" s="1">
        <v>382072.0</v>
      </c>
      <c r="AC16" s="1">
        <v>386573.0</v>
      </c>
      <c r="AD16" s="1">
        <v>391127.0</v>
      </c>
      <c r="AE16" s="1">
        <v>395734.0</v>
      </c>
      <c r="AF16" s="1">
        <v>400396.0</v>
      </c>
      <c r="AG16" s="1">
        <v>405113.0</v>
      </c>
      <c r="AH16" s="1">
        <v>409885.0</v>
      </c>
      <c r="AI16" s="1">
        <v>414713.0</v>
      </c>
      <c r="AJ16" s="1">
        <v>419599.0</v>
      </c>
      <c r="AK16" s="1">
        <v>424541.0</v>
      </c>
      <c r="AL16" s="1">
        <v>429543.0</v>
      </c>
      <c r="AM16" s="1">
        <v>434603.0</v>
      </c>
      <c r="AN16" s="1">
        <v>439722.0</v>
      </c>
      <c r="AO16" s="1">
        <v>444902.0</v>
      </c>
      <c r="AP16" s="1">
        <v>450143.0</v>
      </c>
      <c r="AQ16" s="1">
        <v>455446.0</v>
      </c>
      <c r="AR16" s="1">
        <v>460811.0</v>
      </c>
      <c r="AS16" s="1">
        <v>466239.0</v>
      </c>
      <c r="AT16" s="1">
        <v>471732.0</v>
      </c>
      <c r="AU16" s="1">
        <v>477289.0</v>
      </c>
      <c r="AV16" s="1">
        <v>482911.0</v>
      </c>
      <c r="AW16" s="1">
        <v>488600.0</v>
      </c>
      <c r="AX16" s="1">
        <v>494355.0</v>
      </c>
      <c r="AY16" s="1">
        <v>500179.0</v>
      </c>
      <c r="AZ16" s="1">
        <v>506071.0</v>
      </c>
      <c r="BA16" s="1">
        <v>512033.0</v>
      </c>
      <c r="BB16" s="1">
        <v>518064.0</v>
      </c>
      <c r="BC16" s="1">
        <v>524167.0</v>
      </c>
      <c r="BD16" s="1">
        <v>530342.0</v>
      </c>
      <c r="BE16" s="1">
        <v>536589.0</v>
      </c>
      <c r="BF16" s="1">
        <v>542910.0</v>
      </c>
      <c r="BG16" s="1">
        <v>549306.0</v>
      </c>
      <c r="BH16" s="1">
        <v>555777.0</v>
      </c>
      <c r="BI16" s="1">
        <v>562324.0</v>
      </c>
      <c r="BJ16" s="1">
        <v>568948.0</v>
      </c>
      <c r="BK16" s="1">
        <v>575650.0</v>
      </c>
      <c r="BL16" s="1">
        <v>582431.0</v>
      </c>
      <c r="BM16" s="1">
        <v>589292.0</v>
      </c>
      <c r="BN16" s="1">
        <v>596234.0</v>
      </c>
      <c r="BO16" s="1">
        <v>603258.0</v>
      </c>
      <c r="BP16" s="1">
        <v>610364.0</v>
      </c>
      <c r="BQ16" s="1">
        <v>617554.0</v>
      </c>
      <c r="BR16" s="1">
        <v>624829.0</v>
      </c>
      <c r="BS16" s="1">
        <v>632189.0</v>
      </c>
      <c r="BT16" s="1">
        <v>639637.0</v>
      </c>
      <c r="BU16" s="1">
        <v>647171.0</v>
      </c>
      <c r="BV16" s="1">
        <v>2.5704172E7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216</v>
      </c>
    </row>
    <row r="2">
      <c r="A2" s="1" t="s">
        <v>194</v>
      </c>
    </row>
    <row r="3">
      <c r="A3" s="1" t="s">
        <v>217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300000.0</v>
      </c>
      <c r="AC6" s="1">
        <v>302651.0</v>
      </c>
      <c r="AD6" s="1">
        <v>305326.0</v>
      </c>
      <c r="AE6" s="1">
        <v>308025.0</v>
      </c>
      <c r="AF6" s="1">
        <v>310747.0</v>
      </c>
      <c r="AG6" s="1">
        <v>313493.0</v>
      </c>
      <c r="AH6" s="1">
        <v>316264.0</v>
      </c>
      <c r="AI6" s="1">
        <v>319059.0</v>
      </c>
      <c r="AJ6" s="1">
        <v>321879.0</v>
      </c>
      <c r="AK6" s="1">
        <v>324724.0</v>
      </c>
      <c r="AL6" s="1">
        <v>327594.0</v>
      </c>
      <c r="AM6" s="1">
        <v>330489.0</v>
      </c>
      <c r="AN6" s="1">
        <v>333410.0</v>
      </c>
      <c r="AO6" s="1">
        <v>336357.0</v>
      </c>
      <c r="AP6" s="1">
        <v>339329.0</v>
      </c>
      <c r="AQ6" s="1">
        <v>342328.0</v>
      </c>
      <c r="AR6" s="1">
        <v>345354.0</v>
      </c>
      <c r="AS6" s="1">
        <v>348406.0</v>
      </c>
      <c r="AT6" s="1">
        <v>351485.0</v>
      </c>
      <c r="AU6" s="1">
        <v>354592.0</v>
      </c>
      <c r="AV6" s="1">
        <v>357726.0</v>
      </c>
      <c r="AW6" s="1">
        <v>360887.0</v>
      </c>
      <c r="AX6" s="1">
        <v>364077.0</v>
      </c>
      <c r="AY6" s="1">
        <v>367294.0</v>
      </c>
      <c r="AZ6" s="1">
        <v>370540.0</v>
      </c>
      <c r="BA6" s="1">
        <v>373815.0</v>
      </c>
      <c r="BB6" s="1">
        <v>377119.0</v>
      </c>
      <c r="BC6" s="1">
        <v>380452.0</v>
      </c>
      <c r="BD6" s="1">
        <v>383814.0</v>
      </c>
      <c r="BE6" s="1">
        <v>387207.0</v>
      </c>
      <c r="BF6" s="1">
        <v>390629.0</v>
      </c>
      <c r="BG6" s="1">
        <v>394081.0</v>
      </c>
      <c r="BH6" s="1">
        <v>397564.0</v>
      </c>
      <c r="BI6" s="1">
        <v>401078.0</v>
      </c>
      <c r="BJ6" s="1">
        <v>404622.0</v>
      </c>
      <c r="BK6" s="1">
        <v>408198.0</v>
      </c>
      <c r="BL6" s="1">
        <v>411806.0</v>
      </c>
      <c r="BM6" s="1">
        <v>415446.0</v>
      </c>
      <c r="BN6" s="1">
        <v>419117.0</v>
      </c>
      <c r="BO6" s="1">
        <v>422822.0</v>
      </c>
      <c r="BP6" s="1">
        <v>426558.0</v>
      </c>
      <c r="BQ6" s="1">
        <v>430328.0</v>
      </c>
      <c r="BR6" s="1">
        <v>434132.0</v>
      </c>
      <c r="BS6" s="1">
        <v>437968.0</v>
      </c>
      <c r="BT6" s="1">
        <v>441839.0</v>
      </c>
      <c r="BU6" s="1">
        <v>445744.0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2700.0</v>
      </c>
      <c r="AD7" s="1">
        <v>2724.0</v>
      </c>
      <c r="AE7" s="1">
        <v>2748.0</v>
      </c>
      <c r="AF7" s="1">
        <v>2772.0</v>
      </c>
      <c r="AG7" s="1">
        <v>2797.0</v>
      </c>
      <c r="AH7" s="1">
        <v>2821.0</v>
      </c>
      <c r="AI7" s="1">
        <v>2846.0</v>
      </c>
      <c r="AJ7" s="1">
        <v>2872.0</v>
      </c>
      <c r="AK7" s="1">
        <v>2897.0</v>
      </c>
      <c r="AL7" s="1">
        <v>2923.0</v>
      </c>
      <c r="AM7" s="1">
        <v>2948.0</v>
      </c>
      <c r="AN7" s="1">
        <v>2974.0</v>
      </c>
      <c r="AO7" s="1">
        <v>3001.0</v>
      </c>
      <c r="AP7" s="1">
        <v>3027.0</v>
      </c>
      <c r="AQ7" s="1">
        <v>3054.0</v>
      </c>
      <c r="AR7" s="1">
        <v>3081.0</v>
      </c>
      <c r="AS7" s="1">
        <v>3108.0</v>
      </c>
      <c r="AT7" s="1">
        <v>3136.0</v>
      </c>
      <c r="AU7" s="1">
        <v>3163.0</v>
      </c>
      <c r="AV7" s="1">
        <v>3191.0</v>
      </c>
      <c r="AW7" s="1">
        <v>3220.0</v>
      </c>
      <c r="AX7" s="1">
        <v>3248.0</v>
      </c>
      <c r="AY7" s="1">
        <v>3277.0</v>
      </c>
      <c r="AZ7" s="1">
        <v>3306.0</v>
      </c>
      <c r="BA7" s="1">
        <v>3335.0</v>
      </c>
      <c r="BB7" s="1">
        <v>3364.0</v>
      </c>
      <c r="BC7" s="1">
        <v>3394.0</v>
      </c>
      <c r="BD7" s="1">
        <v>3424.0</v>
      </c>
      <c r="BE7" s="1">
        <v>3454.0</v>
      </c>
      <c r="BF7" s="1">
        <v>3485.0</v>
      </c>
      <c r="BG7" s="1">
        <v>3516.0</v>
      </c>
      <c r="BH7" s="1">
        <v>3547.0</v>
      </c>
      <c r="BI7" s="1">
        <v>3578.0</v>
      </c>
      <c r="BJ7" s="1">
        <v>3610.0</v>
      </c>
      <c r="BK7" s="1">
        <v>3642.0</v>
      </c>
      <c r="BL7" s="1">
        <v>3674.0</v>
      </c>
      <c r="BM7" s="1">
        <v>3706.0</v>
      </c>
      <c r="BN7" s="1">
        <v>3739.0</v>
      </c>
      <c r="BO7" s="1">
        <v>3772.0</v>
      </c>
      <c r="BP7" s="1">
        <v>3805.0</v>
      </c>
      <c r="BQ7" s="1">
        <v>3839.0</v>
      </c>
      <c r="BR7" s="1">
        <v>3873.0</v>
      </c>
      <c r="BS7" s="1">
        <v>3907.0</v>
      </c>
      <c r="BT7" s="1">
        <v>3942.0</v>
      </c>
      <c r="BU7" s="1">
        <v>3977.0</v>
      </c>
      <c r="BV7" s="1">
        <v>148416.0</v>
      </c>
    </row>
    <row r="8">
      <c r="A8" s="1" t="s">
        <v>145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  <c r="T8" s="1">
        <v>1.0</v>
      </c>
      <c r="U8" s="1">
        <v>1.0</v>
      </c>
      <c r="V8" s="1">
        <v>1.0</v>
      </c>
      <c r="W8" s="1">
        <v>1.0</v>
      </c>
      <c r="X8" s="1">
        <v>1.0</v>
      </c>
      <c r="Y8" s="1">
        <v>1.0</v>
      </c>
      <c r="Z8" s="1">
        <v>1.0</v>
      </c>
      <c r="AA8" s="1">
        <v>1.0</v>
      </c>
      <c r="AB8" s="1">
        <v>1.0</v>
      </c>
      <c r="AC8" s="1">
        <v>1.0</v>
      </c>
      <c r="AD8" s="1">
        <v>1.0</v>
      </c>
      <c r="AE8" s="1">
        <v>1.0</v>
      </c>
      <c r="AF8" s="1">
        <v>1.0</v>
      </c>
      <c r="AG8" s="1">
        <v>1.0</v>
      </c>
      <c r="AH8" s="1">
        <v>1.0</v>
      </c>
      <c r="AI8" s="1">
        <v>1.0</v>
      </c>
      <c r="AJ8" s="1">
        <v>1.0</v>
      </c>
      <c r="AK8" s="1">
        <v>1.0</v>
      </c>
      <c r="AL8" s="1">
        <v>1.0</v>
      </c>
      <c r="AM8" s="1">
        <v>1.0</v>
      </c>
      <c r="AN8" s="1">
        <v>1.0</v>
      </c>
      <c r="AO8" s="1">
        <v>1.0</v>
      </c>
      <c r="AP8" s="1">
        <v>1.0</v>
      </c>
      <c r="AQ8" s="1">
        <v>1.0</v>
      </c>
      <c r="AR8" s="1">
        <v>1.0</v>
      </c>
      <c r="AS8" s="1">
        <v>1.0</v>
      </c>
      <c r="AT8" s="1">
        <v>1.0</v>
      </c>
      <c r="AU8" s="1">
        <v>1.0</v>
      </c>
      <c r="AV8" s="1">
        <v>1.0</v>
      </c>
      <c r="AW8" s="1">
        <v>1.0</v>
      </c>
      <c r="AX8" s="1">
        <v>1.0</v>
      </c>
      <c r="AY8" s="1">
        <v>1.0</v>
      </c>
      <c r="AZ8" s="1">
        <v>1.0</v>
      </c>
      <c r="BA8" s="1">
        <v>1.0</v>
      </c>
      <c r="BB8" s="1">
        <v>1.0</v>
      </c>
      <c r="BC8" s="1">
        <v>1.0</v>
      </c>
      <c r="BD8" s="1">
        <v>1.0</v>
      </c>
      <c r="BE8" s="1">
        <v>1.0</v>
      </c>
      <c r="BF8" s="1">
        <v>1.0</v>
      </c>
      <c r="BG8" s="1">
        <v>1.0</v>
      </c>
      <c r="BH8" s="1">
        <v>1.0</v>
      </c>
      <c r="BI8" s="1">
        <v>1.0</v>
      </c>
      <c r="BJ8" s="1">
        <v>1.0</v>
      </c>
      <c r="BK8" s="1">
        <v>1.0</v>
      </c>
      <c r="BL8" s="1">
        <v>1.0</v>
      </c>
      <c r="BM8" s="1">
        <v>1.0</v>
      </c>
      <c r="BN8" s="1">
        <v>1.0</v>
      </c>
      <c r="BO8" s="1">
        <v>1.0</v>
      </c>
      <c r="BP8" s="1">
        <v>1.0</v>
      </c>
      <c r="BQ8" s="1">
        <v>1.0</v>
      </c>
      <c r="BR8" s="1">
        <v>1.0</v>
      </c>
      <c r="BS8" s="1">
        <v>1.0</v>
      </c>
      <c r="BT8" s="1">
        <v>1.0</v>
      </c>
      <c r="BU8" s="1">
        <v>1.0</v>
      </c>
    </row>
    <row r="9">
      <c r="A9" s="1" t="s">
        <v>146</v>
      </c>
      <c r="B9" s="1">
        <v>150.0</v>
      </c>
      <c r="C9" s="1">
        <v>150.0</v>
      </c>
      <c r="D9" s="1">
        <v>150.0</v>
      </c>
      <c r="E9" s="1">
        <v>150.0</v>
      </c>
      <c r="F9" s="1">
        <v>150.0</v>
      </c>
      <c r="G9" s="1">
        <v>150.0</v>
      </c>
      <c r="H9" s="1">
        <v>150.0</v>
      </c>
      <c r="I9" s="1">
        <v>150.0</v>
      </c>
      <c r="J9" s="1">
        <v>150.0</v>
      </c>
      <c r="K9" s="1">
        <v>150.0</v>
      </c>
      <c r="L9" s="1">
        <v>150.0</v>
      </c>
      <c r="M9" s="1">
        <v>150.0</v>
      </c>
      <c r="N9" s="1">
        <v>150.0</v>
      </c>
      <c r="O9" s="1">
        <v>150.0</v>
      </c>
      <c r="P9" s="1">
        <v>150.0</v>
      </c>
      <c r="Q9" s="1">
        <v>150.0</v>
      </c>
      <c r="R9" s="1">
        <v>150.0</v>
      </c>
      <c r="S9" s="1">
        <v>150.0</v>
      </c>
      <c r="T9" s="1">
        <v>150.0</v>
      </c>
      <c r="U9" s="1">
        <v>150.0</v>
      </c>
      <c r="V9" s="1">
        <v>150.0</v>
      </c>
      <c r="W9" s="1">
        <v>150.0</v>
      </c>
      <c r="X9" s="1">
        <v>150.0</v>
      </c>
      <c r="Y9" s="1">
        <v>150.0</v>
      </c>
      <c r="Z9" s="1">
        <v>150.0</v>
      </c>
      <c r="AA9" s="1">
        <v>150.0</v>
      </c>
      <c r="AB9" s="1">
        <v>150.0</v>
      </c>
      <c r="AC9" s="1">
        <v>150.0</v>
      </c>
      <c r="AD9" s="1">
        <v>150.0</v>
      </c>
      <c r="AE9" s="1">
        <v>150.0</v>
      </c>
      <c r="AF9" s="1">
        <v>150.0</v>
      </c>
      <c r="AG9" s="1">
        <v>150.0</v>
      </c>
      <c r="AH9" s="1">
        <v>150.0</v>
      </c>
      <c r="AI9" s="1">
        <v>150.0</v>
      </c>
      <c r="AJ9" s="1">
        <v>150.0</v>
      </c>
      <c r="AK9" s="1">
        <v>150.0</v>
      </c>
      <c r="AL9" s="1">
        <v>150.0</v>
      </c>
      <c r="AM9" s="1">
        <v>150.0</v>
      </c>
      <c r="AN9" s="1">
        <v>150.0</v>
      </c>
      <c r="AO9" s="1">
        <v>150.0</v>
      </c>
      <c r="AP9" s="1">
        <v>150.0</v>
      </c>
      <c r="AQ9" s="1">
        <v>150.0</v>
      </c>
      <c r="AR9" s="1">
        <v>150.0</v>
      </c>
      <c r="AS9" s="1">
        <v>150.0</v>
      </c>
      <c r="AT9" s="1">
        <v>150.0</v>
      </c>
      <c r="AU9" s="1">
        <v>150.0</v>
      </c>
      <c r="AV9" s="1">
        <v>150.0</v>
      </c>
      <c r="AW9" s="1">
        <v>150.0</v>
      </c>
      <c r="AX9" s="1">
        <v>150.0</v>
      </c>
      <c r="AY9" s="1">
        <v>150.0</v>
      </c>
      <c r="AZ9" s="1">
        <v>150.0</v>
      </c>
      <c r="BA9" s="1">
        <v>150.0</v>
      </c>
      <c r="BB9" s="1">
        <v>150.0</v>
      </c>
      <c r="BC9" s="1">
        <v>150.0</v>
      </c>
      <c r="BD9" s="1">
        <v>150.0</v>
      </c>
      <c r="BE9" s="1">
        <v>150.0</v>
      </c>
      <c r="BF9" s="1">
        <v>150.0</v>
      </c>
      <c r="BG9" s="1">
        <v>150.0</v>
      </c>
      <c r="BH9" s="1">
        <v>150.0</v>
      </c>
      <c r="BI9" s="1">
        <v>150.0</v>
      </c>
      <c r="BJ9" s="1">
        <v>150.0</v>
      </c>
      <c r="BK9" s="1">
        <v>150.0</v>
      </c>
      <c r="BL9" s="1">
        <v>150.0</v>
      </c>
      <c r="BM9" s="1">
        <v>150.0</v>
      </c>
      <c r="BN9" s="1">
        <v>150.0</v>
      </c>
      <c r="BO9" s="1">
        <v>150.0</v>
      </c>
      <c r="BP9" s="1">
        <v>150.0</v>
      </c>
      <c r="BQ9" s="1">
        <v>150.0</v>
      </c>
      <c r="BR9" s="1">
        <v>150.0</v>
      </c>
      <c r="BS9" s="1">
        <v>150.0</v>
      </c>
      <c r="BT9" s="1">
        <v>150.0</v>
      </c>
      <c r="BU9" s="1">
        <v>150.0</v>
      </c>
      <c r="BV9" s="1" t="s">
        <v>195</v>
      </c>
    </row>
    <row r="10">
      <c r="A10" s="1" t="s">
        <v>149</v>
      </c>
      <c r="B10" s="1">
        <v>20.0</v>
      </c>
      <c r="C10" s="1">
        <v>20.0</v>
      </c>
      <c r="D10" s="1">
        <v>20.0</v>
      </c>
      <c r="E10" s="1">
        <v>20.0</v>
      </c>
      <c r="F10" s="1">
        <v>20.0</v>
      </c>
      <c r="G10" s="1">
        <v>20.0</v>
      </c>
      <c r="H10" s="1">
        <v>20.0</v>
      </c>
      <c r="I10" s="1">
        <v>20.0</v>
      </c>
      <c r="J10" s="1">
        <v>20.0</v>
      </c>
      <c r="K10" s="1">
        <v>20.0</v>
      </c>
      <c r="L10" s="1">
        <v>20.0</v>
      </c>
      <c r="M10" s="1">
        <v>20.0</v>
      </c>
      <c r="N10" s="1">
        <v>20.0</v>
      </c>
      <c r="O10" s="1">
        <v>20.0</v>
      </c>
      <c r="P10" s="1">
        <v>20.0</v>
      </c>
      <c r="Q10" s="1">
        <v>20.0</v>
      </c>
      <c r="R10" s="1">
        <v>20.0</v>
      </c>
      <c r="S10" s="1">
        <v>20.0</v>
      </c>
      <c r="T10" s="1">
        <v>20.0</v>
      </c>
      <c r="U10" s="1">
        <v>20.0</v>
      </c>
      <c r="V10" s="1">
        <v>20.0</v>
      </c>
      <c r="W10" s="1">
        <v>20.0</v>
      </c>
      <c r="X10" s="1">
        <v>20.0</v>
      </c>
      <c r="Y10" s="1">
        <v>20.0</v>
      </c>
      <c r="Z10" s="1">
        <v>20.0</v>
      </c>
      <c r="AA10" s="1">
        <v>20.0</v>
      </c>
      <c r="AB10" s="1">
        <v>20.0</v>
      </c>
      <c r="AC10" s="1">
        <v>20.0</v>
      </c>
      <c r="AD10" s="1">
        <v>20.0</v>
      </c>
      <c r="AE10" s="1">
        <v>20.0</v>
      </c>
      <c r="AF10" s="1">
        <v>20.0</v>
      </c>
      <c r="AG10" s="1">
        <v>20.0</v>
      </c>
      <c r="AH10" s="1">
        <v>20.0</v>
      </c>
      <c r="AI10" s="1">
        <v>20.0</v>
      </c>
      <c r="AJ10" s="1">
        <v>20.0</v>
      </c>
      <c r="AK10" s="1">
        <v>20.0</v>
      </c>
      <c r="AL10" s="1">
        <v>20.0</v>
      </c>
      <c r="AM10" s="1">
        <v>20.0</v>
      </c>
      <c r="AN10" s="1">
        <v>20.0</v>
      </c>
      <c r="AO10" s="1">
        <v>20.0</v>
      </c>
      <c r="AP10" s="1">
        <v>20.0</v>
      </c>
      <c r="AQ10" s="1">
        <v>20.0</v>
      </c>
      <c r="AR10" s="1">
        <v>20.0</v>
      </c>
      <c r="AS10" s="1">
        <v>20.0</v>
      </c>
      <c r="AT10" s="1">
        <v>20.0</v>
      </c>
      <c r="AU10" s="1">
        <v>20.0</v>
      </c>
      <c r="AV10" s="1">
        <v>20.0</v>
      </c>
      <c r="AW10" s="1">
        <v>20.0</v>
      </c>
      <c r="AX10" s="1">
        <v>20.0</v>
      </c>
      <c r="AY10" s="1">
        <v>20.0</v>
      </c>
      <c r="AZ10" s="1">
        <v>20.0</v>
      </c>
      <c r="BA10" s="1">
        <v>20.0</v>
      </c>
      <c r="BB10" s="1">
        <v>20.0</v>
      </c>
      <c r="BC10" s="1">
        <v>20.0</v>
      </c>
      <c r="BD10" s="1">
        <v>20.0</v>
      </c>
      <c r="BE10" s="1">
        <v>20.0</v>
      </c>
      <c r="BF10" s="1">
        <v>20.0</v>
      </c>
      <c r="BG10" s="1">
        <v>20.0</v>
      </c>
      <c r="BH10" s="1">
        <v>20.0</v>
      </c>
      <c r="BI10" s="1">
        <v>20.0</v>
      </c>
      <c r="BJ10" s="1">
        <v>20.0</v>
      </c>
      <c r="BK10" s="1">
        <v>20.0</v>
      </c>
      <c r="BL10" s="1">
        <v>20.0</v>
      </c>
      <c r="BM10" s="1">
        <v>20.0</v>
      </c>
      <c r="BN10" s="1">
        <v>20.0</v>
      </c>
      <c r="BO10" s="1">
        <v>20.0</v>
      </c>
      <c r="BP10" s="1">
        <v>20.0</v>
      </c>
      <c r="BQ10" s="1">
        <v>20.0</v>
      </c>
      <c r="BR10" s="1">
        <v>20.0</v>
      </c>
      <c r="BS10" s="1">
        <v>20.0</v>
      </c>
      <c r="BT10" s="1">
        <v>20.0</v>
      </c>
      <c r="BU10" s="1">
        <v>20.0</v>
      </c>
      <c r="BV10" s="1" t="s">
        <v>178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3000.0</v>
      </c>
      <c r="AC11" s="1">
        <v>3027.0</v>
      </c>
      <c r="AD11" s="1">
        <v>3053.0</v>
      </c>
      <c r="AE11" s="1">
        <v>3080.0</v>
      </c>
      <c r="AF11" s="1">
        <v>3107.0</v>
      </c>
      <c r="AG11" s="1">
        <v>3135.0</v>
      </c>
      <c r="AH11" s="1">
        <v>3163.0</v>
      </c>
      <c r="AI11" s="1">
        <v>3191.0</v>
      </c>
      <c r="AJ11" s="1">
        <v>3219.0</v>
      </c>
      <c r="AK11" s="1">
        <v>3247.0</v>
      </c>
      <c r="AL11" s="1">
        <v>3276.0</v>
      </c>
      <c r="AM11" s="1">
        <v>3305.0</v>
      </c>
      <c r="AN11" s="1">
        <v>3334.0</v>
      </c>
      <c r="AO11" s="1">
        <v>3364.0</v>
      </c>
      <c r="AP11" s="1">
        <v>3393.0</v>
      </c>
      <c r="AQ11" s="1">
        <v>3423.0</v>
      </c>
      <c r="AR11" s="1">
        <v>3454.0</v>
      </c>
      <c r="AS11" s="1">
        <v>3484.0</v>
      </c>
      <c r="AT11" s="1">
        <v>3515.0</v>
      </c>
      <c r="AU11" s="1">
        <v>3546.0</v>
      </c>
      <c r="AV11" s="1">
        <v>3577.0</v>
      </c>
      <c r="AW11" s="1">
        <v>3609.0</v>
      </c>
      <c r="AX11" s="1">
        <v>3641.0</v>
      </c>
      <c r="AY11" s="1">
        <v>3673.0</v>
      </c>
      <c r="AZ11" s="1">
        <v>3705.0</v>
      </c>
      <c r="BA11" s="1">
        <v>3738.0</v>
      </c>
      <c r="BB11" s="1">
        <v>3771.0</v>
      </c>
      <c r="BC11" s="1">
        <v>3805.0</v>
      </c>
      <c r="BD11" s="1">
        <v>3838.0</v>
      </c>
      <c r="BE11" s="1">
        <v>3872.0</v>
      </c>
      <c r="BF11" s="1">
        <v>3906.0</v>
      </c>
      <c r="BG11" s="1">
        <v>3941.0</v>
      </c>
      <c r="BH11" s="1">
        <v>3976.0</v>
      </c>
      <c r="BI11" s="1">
        <v>4011.0</v>
      </c>
      <c r="BJ11" s="1">
        <v>4046.0</v>
      </c>
      <c r="BK11" s="1">
        <v>4082.0</v>
      </c>
      <c r="BL11" s="1">
        <v>4118.0</v>
      </c>
      <c r="BM11" s="1">
        <v>4154.0</v>
      </c>
      <c r="BN11" s="1">
        <v>4191.0</v>
      </c>
      <c r="BO11" s="1">
        <v>4228.0</v>
      </c>
      <c r="BP11" s="1">
        <v>4266.0</v>
      </c>
      <c r="BQ11" s="1">
        <v>4303.0</v>
      </c>
      <c r="BR11" s="1">
        <v>4341.0</v>
      </c>
      <c r="BS11" s="1">
        <v>4380.0</v>
      </c>
      <c r="BT11" s="1">
        <v>4418.0</v>
      </c>
      <c r="BU11" s="1">
        <v>4457.0</v>
      </c>
      <c r="BV11" s="1">
        <v>169364.0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450000.0</v>
      </c>
      <c r="AC12" s="1">
        <v>453977.0</v>
      </c>
      <c r="AD12" s="1">
        <v>457989.0</v>
      </c>
      <c r="AE12" s="1">
        <v>462037.0</v>
      </c>
      <c r="AF12" s="1">
        <v>466121.0</v>
      </c>
      <c r="AG12" s="1">
        <v>470240.0</v>
      </c>
      <c r="AH12" s="1">
        <v>474396.0</v>
      </c>
      <c r="AI12" s="1">
        <v>478589.0</v>
      </c>
      <c r="AJ12" s="1">
        <v>482819.0</v>
      </c>
      <c r="AK12" s="1">
        <v>487086.0</v>
      </c>
      <c r="AL12" s="1">
        <v>491391.0</v>
      </c>
      <c r="AM12" s="1">
        <v>495734.0</v>
      </c>
      <c r="AN12" s="1">
        <v>500115.0</v>
      </c>
      <c r="AO12" s="1">
        <v>504535.0</v>
      </c>
      <c r="AP12" s="1">
        <v>508994.0</v>
      </c>
      <c r="AQ12" s="1">
        <v>513492.0</v>
      </c>
      <c r="AR12" s="1">
        <v>518031.0</v>
      </c>
      <c r="AS12" s="1">
        <v>522609.0</v>
      </c>
      <c r="AT12" s="1">
        <v>527228.0</v>
      </c>
      <c r="AU12" s="1">
        <v>531887.0</v>
      </c>
      <c r="AV12" s="1">
        <v>536588.0</v>
      </c>
      <c r="AW12" s="1">
        <v>541331.0</v>
      </c>
      <c r="AX12" s="1">
        <v>546115.0</v>
      </c>
      <c r="AY12" s="1">
        <v>550941.0</v>
      </c>
      <c r="AZ12" s="1">
        <v>555811.0</v>
      </c>
      <c r="BA12" s="1">
        <v>560723.0</v>
      </c>
      <c r="BB12" s="1">
        <v>565679.0</v>
      </c>
      <c r="BC12" s="1">
        <v>570678.0</v>
      </c>
      <c r="BD12" s="1">
        <v>575722.0</v>
      </c>
      <c r="BE12" s="1">
        <v>580810.0</v>
      </c>
      <c r="BF12" s="1">
        <v>585943.0</v>
      </c>
      <c r="BG12" s="1">
        <v>591122.0</v>
      </c>
      <c r="BH12" s="1">
        <v>596346.0</v>
      </c>
      <c r="BI12" s="1">
        <v>601617.0</v>
      </c>
      <c r="BJ12" s="1">
        <v>606934.0</v>
      </c>
      <c r="BK12" s="1">
        <v>612298.0</v>
      </c>
      <c r="BL12" s="1">
        <v>617709.0</v>
      </c>
      <c r="BM12" s="1">
        <v>623169.0</v>
      </c>
      <c r="BN12" s="1">
        <v>628676.0</v>
      </c>
      <c r="BO12" s="1">
        <v>634232.0</v>
      </c>
      <c r="BP12" s="1">
        <v>639838.0</v>
      </c>
      <c r="BQ12" s="1">
        <v>645493.0</v>
      </c>
      <c r="BR12" s="1">
        <v>651197.0</v>
      </c>
      <c r="BS12" s="1">
        <v>656953.0</v>
      </c>
      <c r="BT12" s="1">
        <v>662759.0</v>
      </c>
      <c r="BU12" s="1">
        <v>668616.0</v>
      </c>
      <c r="BV12" s="1">
        <v>2.5404566E7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90000.0</v>
      </c>
      <c r="AC13" s="1">
        <v>90795.0</v>
      </c>
      <c r="AD13" s="1">
        <v>91598.0</v>
      </c>
      <c r="AE13" s="1">
        <v>92407.0</v>
      </c>
      <c r="AF13" s="1">
        <v>93224.0</v>
      </c>
      <c r="AG13" s="1">
        <v>94048.0</v>
      </c>
      <c r="AH13" s="1">
        <v>94879.0</v>
      </c>
      <c r="AI13" s="1">
        <v>95718.0</v>
      </c>
      <c r="AJ13" s="1">
        <v>96564.0</v>
      </c>
      <c r="AK13" s="1">
        <v>97417.0</v>
      </c>
      <c r="AL13" s="1">
        <v>98278.0</v>
      </c>
      <c r="AM13" s="1">
        <v>99147.0</v>
      </c>
      <c r="AN13" s="1">
        <v>100023.0</v>
      </c>
      <c r="AO13" s="1">
        <v>100907.0</v>
      </c>
      <c r="AP13" s="1">
        <v>101799.0</v>
      </c>
      <c r="AQ13" s="1">
        <v>102698.0</v>
      </c>
      <c r="AR13" s="1">
        <v>103606.0</v>
      </c>
      <c r="AS13" s="1">
        <v>104522.0</v>
      </c>
      <c r="AT13" s="1">
        <v>105446.0</v>
      </c>
      <c r="AU13" s="1">
        <v>106377.0</v>
      </c>
      <c r="AV13" s="1">
        <v>107318.0</v>
      </c>
      <c r="AW13" s="1">
        <v>108266.0</v>
      </c>
      <c r="AX13" s="1">
        <v>109223.0</v>
      </c>
      <c r="AY13" s="1">
        <v>110188.0</v>
      </c>
      <c r="AZ13" s="1">
        <v>111162.0</v>
      </c>
      <c r="BA13" s="1">
        <v>112145.0</v>
      </c>
      <c r="BB13" s="1">
        <v>113136.0</v>
      </c>
      <c r="BC13" s="1">
        <v>114136.0</v>
      </c>
      <c r="BD13" s="1">
        <v>115144.0</v>
      </c>
      <c r="BE13" s="1">
        <v>116162.0</v>
      </c>
      <c r="BF13" s="1">
        <v>117189.0</v>
      </c>
      <c r="BG13" s="1">
        <v>118224.0</v>
      </c>
      <c r="BH13" s="1">
        <v>119269.0</v>
      </c>
      <c r="BI13" s="1">
        <v>120323.0</v>
      </c>
      <c r="BJ13" s="1">
        <v>121387.0</v>
      </c>
      <c r="BK13" s="1">
        <v>122460.0</v>
      </c>
      <c r="BL13" s="1">
        <v>123542.0</v>
      </c>
      <c r="BM13" s="1">
        <v>124634.0</v>
      </c>
      <c r="BN13" s="1">
        <v>125735.0</v>
      </c>
      <c r="BO13" s="1">
        <v>126846.0</v>
      </c>
      <c r="BP13" s="1">
        <v>127968.0</v>
      </c>
      <c r="BQ13" s="1">
        <v>129099.0</v>
      </c>
      <c r="BR13" s="1">
        <v>130239.0</v>
      </c>
      <c r="BS13" s="1">
        <v>131391.0</v>
      </c>
      <c r="BT13" s="1">
        <v>132552.0</v>
      </c>
      <c r="BU13" s="1">
        <v>133723.0</v>
      </c>
      <c r="BV13" s="1">
        <v>5080913.0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90000.0</v>
      </c>
      <c r="AC15" s="1">
        <v>90795.0</v>
      </c>
      <c r="AD15" s="1">
        <v>91598.0</v>
      </c>
      <c r="AE15" s="1">
        <v>92407.0</v>
      </c>
      <c r="AF15" s="1">
        <v>93224.0</v>
      </c>
      <c r="AG15" s="1">
        <v>94048.0</v>
      </c>
      <c r="AH15" s="1">
        <v>94879.0</v>
      </c>
      <c r="AI15" s="1">
        <v>95718.0</v>
      </c>
      <c r="AJ15" s="1">
        <v>96564.0</v>
      </c>
      <c r="AK15" s="1">
        <v>97417.0</v>
      </c>
      <c r="AL15" s="1">
        <v>98278.0</v>
      </c>
      <c r="AM15" s="1">
        <v>99147.0</v>
      </c>
      <c r="AN15" s="1">
        <v>100023.0</v>
      </c>
      <c r="AO15" s="1">
        <v>100907.0</v>
      </c>
      <c r="AP15" s="1">
        <v>101799.0</v>
      </c>
      <c r="AQ15" s="1">
        <v>102698.0</v>
      </c>
      <c r="AR15" s="1">
        <v>103606.0</v>
      </c>
      <c r="AS15" s="1">
        <v>104522.0</v>
      </c>
      <c r="AT15" s="1">
        <v>105446.0</v>
      </c>
      <c r="AU15" s="1">
        <v>106377.0</v>
      </c>
      <c r="AV15" s="1">
        <v>107318.0</v>
      </c>
      <c r="AW15" s="1">
        <v>108266.0</v>
      </c>
      <c r="AX15" s="1">
        <v>109223.0</v>
      </c>
      <c r="AY15" s="1">
        <v>110188.0</v>
      </c>
      <c r="AZ15" s="1">
        <v>111162.0</v>
      </c>
      <c r="BA15" s="1">
        <v>112145.0</v>
      </c>
      <c r="BB15" s="1">
        <v>113136.0</v>
      </c>
      <c r="BC15" s="1">
        <v>114136.0</v>
      </c>
      <c r="BD15" s="1">
        <v>115144.0</v>
      </c>
      <c r="BE15" s="1">
        <v>116162.0</v>
      </c>
      <c r="BF15" s="1">
        <v>117189.0</v>
      </c>
      <c r="BG15" s="1">
        <v>118224.0</v>
      </c>
      <c r="BH15" s="1">
        <v>119269.0</v>
      </c>
      <c r="BI15" s="1">
        <v>120323.0</v>
      </c>
      <c r="BJ15" s="1">
        <v>121387.0</v>
      </c>
      <c r="BK15" s="1">
        <v>122460.0</v>
      </c>
      <c r="BL15" s="1">
        <v>123542.0</v>
      </c>
      <c r="BM15" s="1">
        <v>124634.0</v>
      </c>
      <c r="BN15" s="1">
        <v>125735.0</v>
      </c>
      <c r="BO15" s="1">
        <v>126846.0</v>
      </c>
      <c r="BP15" s="1">
        <v>127968.0</v>
      </c>
      <c r="BQ15" s="1">
        <v>129099.0</v>
      </c>
      <c r="BR15" s="1">
        <v>130239.0</v>
      </c>
      <c r="BS15" s="1">
        <v>131391.0</v>
      </c>
      <c r="BT15" s="1">
        <v>132552.0</v>
      </c>
      <c r="BU15" s="1">
        <v>133723.0</v>
      </c>
      <c r="BV15" s="1">
        <v>5080913.0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360000.0</v>
      </c>
      <c r="AC16" s="1">
        <v>363182.0</v>
      </c>
      <c r="AD16" s="1">
        <v>366391.0</v>
      </c>
      <c r="AE16" s="1">
        <v>369630.0</v>
      </c>
      <c r="AF16" s="1">
        <v>372896.0</v>
      </c>
      <c r="AG16" s="1">
        <v>376192.0</v>
      </c>
      <c r="AH16" s="1">
        <v>379517.0</v>
      </c>
      <c r="AI16" s="1">
        <v>382871.0</v>
      </c>
      <c r="AJ16" s="1">
        <v>386255.0</v>
      </c>
      <c r="AK16" s="1">
        <v>389669.0</v>
      </c>
      <c r="AL16" s="1">
        <v>393112.0</v>
      </c>
      <c r="AM16" s="1">
        <v>396587.0</v>
      </c>
      <c r="AN16" s="1">
        <v>400092.0</v>
      </c>
      <c r="AO16" s="1">
        <v>403628.0</v>
      </c>
      <c r="AP16" s="1">
        <v>407195.0</v>
      </c>
      <c r="AQ16" s="1">
        <v>410794.0</v>
      </c>
      <c r="AR16" s="1">
        <v>414424.0</v>
      </c>
      <c r="AS16" s="1">
        <v>418087.0</v>
      </c>
      <c r="AT16" s="1">
        <v>421782.0</v>
      </c>
      <c r="AU16" s="1">
        <v>425510.0</v>
      </c>
      <c r="AV16" s="1">
        <v>429271.0</v>
      </c>
      <c r="AW16" s="1">
        <v>433064.0</v>
      </c>
      <c r="AX16" s="1">
        <v>436892.0</v>
      </c>
      <c r="AY16" s="1">
        <v>440753.0</v>
      </c>
      <c r="AZ16" s="1">
        <v>444649.0</v>
      </c>
      <c r="BA16" s="1">
        <v>448578.0</v>
      </c>
      <c r="BB16" s="1">
        <v>452543.0</v>
      </c>
      <c r="BC16" s="1">
        <v>456542.0</v>
      </c>
      <c r="BD16" s="1">
        <v>460577.0</v>
      </c>
      <c r="BE16" s="1">
        <v>464648.0</v>
      </c>
      <c r="BF16" s="1">
        <v>468755.0</v>
      </c>
      <c r="BG16" s="1">
        <v>472897.0</v>
      </c>
      <c r="BH16" s="1">
        <v>477077.0</v>
      </c>
      <c r="BI16" s="1">
        <v>481293.0</v>
      </c>
      <c r="BJ16" s="1">
        <v>485547.0</v>
      </c>
      <c r="BK16" s="1">
        <v>489838.0</v>
      </c>
      <c r="BL16" s="1">
        <v>494167.0</v>
      </c>
      <c r="BM16" s="1">
        <v>498535.0</v>
      </c>
      <c r="BN16" s="1">
        <v>502941.0</v>
      </c>
      <c r="BO16" s="1">
        <v>507386.0</v>
      </c>
      <c r="BP16" s="1">
        <v>511870.0</v>
      </c>
      <c r="BQ16" s="1">
        <v>516394.0</v>
      </c>
      <c r="BR16" s="1">
        <v>520958.0</v>
      </c>
      <c r="BS16" s="1">
        <v>525562.0</v>
      </c>
      <c r="BT16" s="1">
        <v>530207.0</v>
      </c>
      <c r="BU16" s="1">
        <v>534893.0</v>
      </c>
      <c r="BV16" s="1">
        <v>2.0323653E7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218</v>
      </c>
    </row>
    <row r="2">
      <c r="A2" s="1" t="s">
        <v>219</v>
      </c>
    </row>
    <row r="3">
      <c r="A3" s="1" t="s">
        <v>220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125000.0</v>
      </c>
      <c r="P6" s="1">
        <v>125120.0</v>
      </c>
      <c r="Q6" s="1">
        <v>125240.0</v>
      </c>
      <c r="R6" s="1">
        <v>125360.0</v>
      </c>
      <c r="S6" s="1">
        <v>125480.0</v>
      </c>
      <c r="T6" s="1">
        <v>125600.0</v>
      </c>
      <c r="U6" s="1">
        <v>125720.0</v>
      </c>
      <c r="V6" s="1">
        <v>125841.0</v>
      </c>
      <c r="W6" s="1">
        <v>125961.0</v>
      </c>
      <c r="X6" s="1">
        <v>126082.0</v>
      </c>
      <c r="Y6" s="1">
        <v>126203.0</v>
      </c>
      <c r="Z6" s="1">
        <v>126324.0</v>
      </c>
      <c r="AA6" s="1">
        <v>126445.0</v>
      </c>
      <c r="AB6" s="1">
        <v>126566.0</v>
      </c>
      <c r="AC6" s="1">
        <v>126687.0</v>
      </c>
      <c r="AD6" s="1">
        <v>126808.0</v>
      </c>
      <c r="AE6" s="1">
        <v>126930.0</v>
      </c>
      <c r="AF6" s="1">
        <v>127051.0</v>
      </c>
      <c r="AG6" s="1">
        <v>127173.0</v>
      </c>
      <c r="AH6" s="1">
        <v>127295.0</v>
      </c>
      <c r="AI6" s="1">
        <v>127417.0</v>
      </c>
      <c r="AJ6" s="1">
        <v>127539.0</v>
      </c>
      <c r="AK6" s="1">
        <v>127661.0</v>
      </c>
      <c r="AL6" s="1">
        <v>127783.0</v>
      </c>
      <c r="AM6" s="1">
        <v>127906.0</v>
      </c>
      <c r="AN6" s="1">
        <v>128028.0</v>
      </c>
      <c r="AO6" s="1">
        <v>128151.0</v>
      </c>
      <c r="AP6" s="1">
        <v>128274.0</v>
      </c>
      <c r="AQ6" s="1">
        <v>128397.0</v>
      </c>
      <c r="AR6" s="1">
        <v>128520.0</v>
      </c>
      <c r="AS6" s="1">
        <v>128643.0</v>
      </c>
      <c r="AT6" s="1">
        <v>128766.0</v>
      </c>
      <c r="AU6" s="1">
        <v>128889.0</v>
      </c>
      <c r="AV6" s="1">
        <v>129013.0</v>
      </c>
      <c r="AW6" s="1">
        <v>129137.0</v>
      </c>
      <c r="AX6" s="1">
        <v>129260.0</v>
      </c>
      <c r="AY6" s="1">
        <v>129384.0</v>
      </c>
      <c r="AZ6" s="1">
        <v>129508.0</v>
      </c>
      <c r="BA6" s="1">
        <v>129632.0</v>
      </c>
      <c r="BB6" s="1">
        <v>129756.0</v>
      </c>
      <c r="BC6" s="1">
        <v>129881.0</v>
      </c>
      <c r="BD6" s="1">
        <v>130005.0</v>
      </c>
      <c r="BE6" s="1">
        <v>130130.0</v>
      </c>
      <c r="BF6" s="1">
        <v>130254.0</v>
      </c>
      <c r="BG6" s="1">
        <v>130379.0</v>
      </c>
      <c r="BH6" s="1">
        <v>130504.0</v>
      </c>
      <c r="BI6" s="1">
        <v>130629.0</v>
      </c>
      <c r="BJ6" s="1">
        <v>130754.0</v>
      </c>
      <c r="BK6" s="1">
        <v>130879.0</v>
      </c>
      <c r="BL6" s="1">
        <v>131005.0</v>
      </c>
      <c r="BM6" s="1">
        <v>131130.0</v>
      </c>
      <c r="BN6" s="1">
        <v>131256.0</v>
      </c>
      <c r="BO6" s="1">
        <v>131382.0</v>
      </c>
      <c r="BP6" s="1">
        <v>131507.0</v>
      </c>
      <c r="BQ6" s="1">
        <v>131633.0</v>
      </c>
      <c r="BR6" s="1">
        <v>131760.0</v>
      </c>
      <c r="BS6" s="1">
        <v>131886.0</v>
      </c>
      <c r="BT6" s="1">
        <v>132012.0</v>
      </c>
      <c r="BU6" s="1">
        <v>132139.0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750.0</v>
      </c>
      <c r="Q7" s="1">
        <v>751.0</v>
      </c>
      <c r="R7" s="1">
        <v>751.0</v>
      </c>
      <c r="S7" s="1">
        <v>752.0</v>
      </c>
      <c r="T7" s="1">
        <v>753.0</v>
      </c>
      <c r="U7" s="1">
        <v>754.0</v>
      </c>
      <c r="V7" s="1">
        <v>754.0</v>
      </c>
      <c r="W7" s="1">
        <v>755.0</v>
      </c>
      <c r="X7" s="1">
        <v>756.0</v>
      </c>
      <c r="Y7" s="1">
        <v>756.0</v>
      </c>
      <c r="Z7" s="1">
        <v>757.0</v>
      </c>
      <c r="AA7" s="1">
        <v>758.0</v>
      </c>
      <c r="AB7" s="1">
        <v>759.0</v>
      </c>
      <c r="AC7" s="1">
        <v>759.0</v>
      </c>
      <c r="AD7" s="1">
        <v>760.0</v>
      </c>
      <c r="AE7" s="1">
        <v>761.0</v>
      </c>
      <c r="AF7" s="1">
        <v>762.0</v>
      </c>
      <c r="AG7" s="1">
        <v>762.0</v>
      </c>
      <c r="AH7" s="1">
        <v>763.0</v>
      </c>
      <c r="AI7" s="1">
        <v>764.0</v>
      </c>
      <c r="AJ7" s="1">
        <v>765.0</v>
      </c>
      <c r="AK7" s="1">
        <v>765.0</v>
      </c>
      <c r="AL7" s="1">
        <v>766.0</v>
      </c>
      <c r="AM7" s="1">
        <v>767.0</v>
      </c>
      <c r="AN7" s="1">
        <v>767.0</v>
      </c>
      <c r="AO7" s="1">
        <v>768.0</v>
      </c>
      <c r="AP7" s="1">
        <v>769.0</v>
      </c>
      <c r="AQ7" s="1">
        <v>770.0</v>
      </c>
      <c r="AR7" s="1">
        <v>770.0</v>
      </c>
      <c r="AS7" s="1">
        <v>771.0</v>
      </c>
      <c r="AT7" s="1">
        <v>772.0</v>
      </c>
      <c r="AU7" s="1">
        <v>773.0</v>
      </c>
      <c r="AV7" s="1">
        <v>773.0</v>
      </c>
      <c r="AW7" s="1">
        <v>774.0</v>
      </c>
      <c r="AX7" s="1">
        <v>775.0</v>
      </c>
      <c r="AY7" s="1">
        <v>776.0</v>
      </c>
      <c r="AZ7" s="1">
        <v>776.0</v>
      </c>
      <c r="BA7" s="1">
        <v>777.0</v>
      </c>
      <c r="BB7" s="1">
        <v>778.0</v>
      </c>
      <c r="BC7" s="1">
        <v>779.0</v>
      </c>
      <c r="BD7" s="1">
        <v>779.0</v>
      </c>
      <c r="BE7" s="1">
        <v>780.0</v>
      </c>
      <c r="BF7" s="1">
        <v>781.0</v>
      </c>
      <c r="BG7" s="1">
        <v>782.0</v>
      </c>
      <c r="BH7" s="1">
        <v>782.0</v>
      </c>
      <c r="BI7" s="1">
        <v>783.0</v>
      </c>
      <c r="BJ7" s="1">
        <v>784.0</v>
      </c>
      <c r="BK7" s="1">
        <v>785.0</v>
      </c>
      <c r="BL7" s="1">
        <v>785.0</v>
      </c>
      <c r="BM7" s="1">
        <v>786.0</v>
      </c>
      <c r="BN7" s="1">
        <v>787.0</v>
      </c>
      <c r="BO7" s="1">
        <v>788.0</v>
      </c>
      <c r="BP7" s="1">
        <v>788.0</v>
      </c>
      <c r="BQ7" s="1">
        <v>789.0</v>
      </c>
      <c r="BR7" s="1">
        <v>790.0</v>
      </c>
      <c r="BS7" s="1">
        <v>791.0</v>
      </c>
      <c r="BT7" s="1">
        <v>791.0</v>
      </c>
      <c r="BU7" s="1">
        <v>792.0</v>
      </c>
      <c r="BV7" s="1">
        <v>44709.0</v>
      </c>
    </row>
    <row r="8">
      <c r="A8" s="1" t="s">
        <v>145</v>
      </c>
      <c r="B8" s="1">
        <v>1.3</v>
      </c>
      <c r="C8" s="1">
        <v>1.3</v>
      </c>
      <c r="D8" s="1">
        <v>1.3</v>
      </c>
      <c r="E8" s="1">
        <v>1.3</v>
      </c>
      <c r="F8" s="1">
        <v>1.3</v>
      </c>
      <c r="G8" s="1">
        <v>1.3</v>
      </c>
      <c r="H8" s="1">
        <v>1.3</v>
      </c>
      <c r="I8" s="1">
        <v>1.3</v>
      </c>
      <c r="J8" s="1">
        <v>1.3</v>
      </c>
      <c r="K8" s="1">
        <v>1.3</v>
      </c>
      <c r="L8" s="1">
        <v>1.3</v>
      </c>
      <c r="M8" s="1">
        <v>1.3</v>
      </c>
      <c r="N8" s="1">
        <v>1.3</v>
      </c>
      <c r="O8" s="1">
        <v>1.3</v>
      </c>
      <c r="P8" s="1">
        <v>1.3</v>
      </c>
      <c r="Q8" s="1">
        <v>1.3</v>
      </c>
      <c r="R8" s="1">
        <v>1.3</v>
      </c>
      <c r="S8" s="1">
        <v>1.3</v>
      </c>
      <c r="T8" s="1">
        <v>1.3</v>
      </c>
      <c r="U8" s="1">
        <v>1.3</v>
      </c>
      <c r="V8" s="1">
        <v>1.3</v>
      </c>
      <c r="W8" s="1">
        <v>1.3</v>
      </c>
      <c r="X8" s="1">
        <v>1.3</v>
      </c>
      <c r="Y8" s="1">
        <v>1.3</v>
      </c>
      <c r="Z8" s="1">
        <v>1.3</v>
      </c>
      <c r="AA8" s="1">
        <v>1.3</v>
      </c>
      <c r="AB8" s="1">
        <v>1.3</v>
      </c>
      <c r="AC8" s="1">
        <v>1.3</v>
      </c>
      <c r="AD8" s="1">
        <v>1.3</v>
      </c>
      <c r="AE8" s="1">
        <v>1.3</v>
      </c>
      <c r="AF8" s="1">
        <v>1.3</v>
      </c>
      <c r="AG8" s="1">
        <v>1.3</v>
      </c>
      <c r="AH8" s="1">
        <v>1.3</v>
      </c>
      <c r="AI8" s="1">
        <v>1.3</v>
      </c>
      <c r="AJ8" s="1">
        <v>1.3</v>
      </c>
      <c r="AK8" s="1">
        <v>1.3</v>
      </c>
      <c r="AL8" s="1">
        <v>1.3</v>
      </c>
      <c r="AM8" s="1">
        <v>1.3</v>
      </c>
      <c r="AN8" s="1">
        <v>1.3</v>
      </c>
      <c r="AO8" s="1">
        <v>1.3</v>
      </c>
      <c r="AP8" s="1">
        <v>1.3</v>
      </c>
      <c r="AQ8" s="1">
        <v>1.3</v>
      </c>
      <c r="AR8" s="1">
        <v>1.3</v>
      </c>
      <c r="AS8" s="1">
        <v>1.3</v>
      </c>
      <c r="AT8" s="1">
        <v>1.3</v>
      </c>
      <c r="AU8" s="1">
        <v>1.3</v>
      </c>
      <c r="AV8" s="1">
        <v>1.3</v>
      </c>
      <c r="AW8" s="1">
        <v>1.3</v>
      </c>
      <c r="AX8" s="1">
        <v>1.3</v>
      </c>
      <c r="AY8" s="1">
        <v>1.3</v>
      </c>
      <c r="AZ8" s="1">
        <v>1.3</v>
      </c>
      <c r="BA8" s="1">
        <v>1.3</v>
      </c>
      <c r="BB8" s="1">
        <v>1.3</v>
      </c>
      <c r="BC8" s="1">
        <v>1.3</v>
      </c>
      <c r="BD8" s="1">
        <v>1.3</v>
      </c>
      <c r="BE8" s="1">
        <v>1.3</v>
      </c>
      <c r="BF8" s="1">
        <v>1.3</v>
      </c>
      <c r="BG8" s="1">
        <v>1.3</v>
      </c>
      <c r="BH8" s="1">
        <v>1.3</v>
      </c>
      <c r="BI8" s="1">
        <v>1.3</v>
      </c>
      <c r="BJ8" s="1">
        <v>1.3</v>
      </c>
      <c r="BK8" s="1">
        <v>1.3</v>
      </c>
      <c r="BL8" s="1">
        <v>1.3</v>
      </c>
      <c r="BM8" s="1">
        <v>1.3</v>
      </c>
      <c r="BN8" s="1">
        <v>1.3</v>
      </c>
      <c r="BO8" s="1">
        <v>1.3</v>
      </c>
      <c r="BP8" s="1">
        <v>1.3</v>
      </c>
      <c r="BQ8" s="1">
        <v>1.3</v>
      </c>
      <c r="BR8" s="1">
        <v>1.3</v>
      </c>
      <c r="BS8" s="1">
        <v>1.3</v>
      </c>
      <c r="BT8" s="1">
        <v>1.3</v>
      </c>
      <c r="BU8" s="1">
        <v>1.3</v>
      </c>
    </row>
    <row r="9">
      <c r="A9" s="1" t="s">
        <v>146</v>
      </c>
      <c r="B9" s="1">
        <v>70.0</v>
      </c>
      <c r="C9" s="1">
        <v>70.0</v>
      </c>
      <c r="D9" s="1">
        <v>70.0</v>
      </c>
      <c r="E9" s="1">
        <v>70.0</v>
      </c>
      <c r="F9" s="1">
        <v>70.0</v>
      </c>
      <c r="G9" s="1">
        <v>70.0</v>
      </c>
      <c r="H9" s="1">
        <v>70.0</v>
      </c>
      <c r="I9" s="1">
        <v>70.0</v>
      </c>
      <c r="J9" s="1">
        <v>70.0</v>
      </c>
      <c r="K9" s="1">
        <v>70.0</v>
      </c>
      <c r="L9" s="1">
        <v>70.0</v>
      </c>
      <c r="M9" s="1">
        <v>70.0</v>
      </c>
      <c r="N9" s="1">
        <v>70.0</v>
      </c>
      <c r="O9" s="1">
        <v>70.0</v>
      </c>
      <c r="P9" s="1">
        <v>70.0</v>
      </c>
      <c r="Q9" s="1">
        <v>70.0</v>
      </c>
      <c r="R9" s="1">
        <v>70.0</v>
      </c>
      <c r="S9" s="1">
        <v>70.0</v>
      </c>
      <c r="T9" s="1">
        <v>70.0</v>
      </c>
      <c r="U9" s="1">
        <v>70.0</v>
      </c>
      <c r="V9" s="1">
        <v>70.0</v>
      </c>
      <c r="W9" s="1">
        <v>70.0</v>
      </c>
      <c r="X9" s="1">
        <v>70.0</v>
      </c>
      <c r="Y9" s="1">
        <v>70.0</v>
      </c>
      <c r="Z9" s="1">
        <v>70.0</v>
      </c>
      <c r="AA9" s="1">
        <v>70.0</v>
      </c>
      <c r="AB9" s="1">
        <v>70.0</v>
      </c>
      <c r="AC9" s="1">
        <v>70.0</v>
      </c>
      <c r="AD9" s="1">
        <v>70.0</v>
      </c>
      <c r="AE9" s="1">
        <v>70.0</v>
      </c>
      <c r="AF9" s="1">
        <v>70.0</v>
      </c>
      <c r="AG9" s="1">
        <v>70.0</v>
      </c>
      <c r="AH9" s="1">
        <v>70.0</v>
      </c>
      <c r="AI9" s="1">
        <v>70.0</v>
      </c>
      <c r="AJ9" s="1">
        <v>70.0</v>
      </c>
      <c r="AK9" s="1">
        <v>70.0</v>
      </c>
      <c r="AL9" s="1">
        <v>70.0</v>
      </c>
      <c r="AM9" s="1">
        <v>70.0</v>
      </c>
      <c r="AN9" s="1">
        <v>70.0</v>
      </c>
      <c r="AO9" s="1">
        <v>70.0</v>
      </c>
      <c r="AP9" s="1">
        <v>70.0</v>
      </c>
      <c r="AQ9" s="1">
        <v>70.0</v>
      </c>
      <c r="AR9" s="1">
        <v>70.0</v>
      </c>
      <c r="AS9" s="1">
        <v>70.0</v>
      </c>
      <c r="AT9" s="1">
        <v>70.0</v>
      </c>
      <c r="AU9" s="1">
        <v>70.0</v>
      </c>
      <c r="AV9" s="1">
        <v>70.0</v>
      </c>
      <c r="AW9" s="1">
        <v>70.0</v>
      </c>
      <c r="AX9" s="1">
        <v>70.0</v>
      </c>
      <c r="AY9" s="1">
        <v>70.0</v>
      </c>
      <c r="AZ9" s="1">
        <v>70.0</v>
      </c>
      <c r="BA9" s="1">
        <v>70.0</v>
      </c>
      <c r="BB9" s="1">
        <v>70.0</v>
      </c>
      <c r="BC9" s="1">
        <v>70.0</v>
      </c>
      <c r="BD9" s="1">
        <v>70.0</v>
      </c>
      <c r="BE9" s="1">
        <v>70.0</v>
      </c>
      <c r="BF9" s="1">
        <v>70.0</v>
      </c>
      <c r="BG9" s="1">
        <v>70.0</v>
      </c>
      <c r="BH9" s="1">
        <v>70.0</v>
      </c>
      <c r="BI9" s="1">
        <v>70.0</v>
      </c>
      <c r="BJ9" s="1">
        <v>70.0</v>
      </c>
      <c r="BK9" s="1">
        <v>70.0</v>
      </c>
      <c r="BL9" s="1">
        <v>70.0</v>
      </c>
      <c r="BM9" s="1">
        <v>70.0</v>
      </c>
      <c r="BN9" s="1">
        <v>70.0</v>
      </c>
      <c r="BO9" s="1">
        <v>70.0</v>
      </c>
      <c r="BP9" s="1">
        <v>70.0</v>
      </c>
      <c r="BQ9" s="1">
        <v>70.0</v>
      </c>
      <c r="BR9" s="1">
        <v>70.0</v>
      </c>
      <c r="BS9" s="1">
        <v>70.0</v>
      </c>
      <c r="BT9" s="1">
        <v>70.0</v>
      </c>
      <c r="BU9" s="1">
        <v>70.0</v>
      </c>
      <c r="BV9" s="1" t="s">
        <v>181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1625.0</v>
      </c>
      <c r="P11" s="1">
        <v>1627.0</v>
      </c>
      <c r="Q11" s="1">
        <v>1628.0</v>
      </c>
      <c r="R11" s="1">
        <v>1630.0</v>
      </c>
      <c r="S11" s="1">
        <v>1631.0</v>
      </c>
      <c r="T11" s="1">
        <v>1633.0</v>
      </c>
      <c r="U11" s="1">
        <v>1634.0</v>
      </c>
      <c r="V11" s="1">
        <v>1636.0</v>
      </c>
      <c r="W11" s="1">
        <v>1637.0</v>
      </c>
      <c r="X11" s="1">
        <v>1639.0</v>
      </c>
      <c r="Y11" s="1">
        <v>1641.0</v>
      </c>
      <c r="Z11" s="1">
        <v>1642.0</v>
      </c>
      <c r="AA11" s="1">
        <v>1644.0</v>
      </c>
      <c r="AB11" s="1">
        <v>1645.0</v>
      </c>
      <c r="AC11" s="1">
        <v>1647.0</v>
      </c>
      <c r="AD11" s="1">
        <v>1649.0</v>
      </c>
      <c r="AE11" s="1">
        <v>1650.0</v>
      </c>
      <c r="AF11" s="1">
        <v>1652.0</v>
      </c>
      <c r="AG11" s="1">
        <v>1653.0</v>
      </c>
      <c r="AH11" s="1">
        <v>1655.0</v>
      </c>
      <c r="AI11" s="1">
        <v>1656.0</v>
      </c>
      <c r="AJ11" s="1">
        <v>1658.0</v>
      </c>
      <c r="AK11" s="1">
        <v>1660.0</v>
      </c>
      <c r="AL11" s="1">
        <v>1661.0</v>
      </c>
      <c r="AM11" s="1">
        <v>1663.0</v>
      </c>
      <c r="AN11" s="1">
        <v>1664.0</v>
      </c>
      <c r="AO11" s="1">
        <v>1666.0</v>
      </c>
      <c r="AP11" s="1">
        <v>1668.0</v>
      </c>
      <c r="AQ11" s="1">
        <v>1669.0</v>
      </c>
      <c r="AR11" s="1">
        <v>1671.0</v>
      </c>
      <c r="AS11" s="1">
        <v>1672.0</v>
      </c>
      <c r="AT11" s="1">
        <v>1674.0</v>
      </c>
      <c r="AU11" s="1">
        <v>1676.0</v>
      </c>
      <c r="AV11" s="1">
        <v>1677.0</v>
      </c>
      <c r="AW11" s="1">
        <v>1679.0</v>
      </c>
      <c r="AX11" s="1">
        <v>1680.0</v>
      </c>
      <c r="AY11" s="1">
        <v>1682.0</v>
      </c>
      <c r="AZ11" s="1">
        <v>1684.0</v>
      </c>
      <c r="BA11" s="1">
        <v>1685.0</v>
      </c>
      <c r="BB11" s="1">
        <v>1687.0</v>
      </c>
      <c r="BC11" s="1">
        <v>1688.0</v>
      </c>
      <c r="BD11" s="1">
        <v>1690.0</v>
      </c>
      <c r="BE11" s="1">
        <v>1692.0</v>
      </c>
      <c r="BF11" s="1">
        <v>1693.0</v>
      </c>
      <c r="BG11" s="1">
        <v>1695.0</v>
      </c>
      <c r="BH11" s="1">
        <v>1697.0</v>
      </c>
      <c r="BI11" s="1">
        <v>1698.0</v>
      </c>
      <c r="BJ11" s="1">
        <v>1700.0</v>
      </c>
      <c r="BK11" s="1">
        <v>1701.0</v>
      </c>
      <c r="BL11" s="1">
        <v>1703.0</v>
      </c>
      <c r="BM11" s="1">
        <v>1705.0</v>
      </c>
      <c r="BN11" s="1">
        <v>1706.0</v>
      </c>
      <c r="BO11" s="1">
        <v>1708.0</v>
      </c>
      <c r="BP11" s="1">
        <v>1710.0</v>
      </c>
      <c r="BQ11" s="1">
        <v>1711.0</v>
      </c>
      <c r="BR11" s="1">
        <v>1713.0</v>
      </c>
      <c r="BS11" s="1">
        <v>1715.0</v>
      </c>
      <c r="BT11" s="1">
        <v>1716.0</v>
      </c>
      <c r="BU11" s="1">
        <v>1718.0</v>
      </c>
      <c r="BV11" s="1">
        <v>98588.0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113750.0</v>
      </c>
      <c r="P12" s="1">
        <v>113859.0</v>
      </c>
      <c r="Q12" s="1">
        <v>113968.0</v>
      </c>
      <c r="R12" s="1">
        <v>114077.0</v>
      </c>
      <c r="S12" s="1">
        <v>114187.0</v>
      </c>
      <c r="T12" s="1">
        <v>114296.0</v>
      </c>
      <c r="U12" s="1">
        <v>114405.0</v>
      </c>
      <c r="V12" s="1">
        <v>114515.0</v>
      </c>
      <c r="W12" s="1">
        <v>114625.0</v>
      </c>
      <c r="X12" s="1">
        <v>114735.0</v>
      </c>
      <c r="Y12" s="1">
        <v>114844.0</v>
      </c>
      <c r="Z12" s="1">
        <v>114954.0</v>
      </c>
      <c r="AA12" s="1">
        <v>115065.0</v>
      </c>
      <c r="AB12" s="1">
        <v>115175.0</v>
      </c>
      <c r="AC12" s="1">
        <v>115285.0</v>
      </c>
      <c r="AD12" s="1">
        <v>115396.0</v>
      </c>
      <c r="AE12" s="1">
        <v>115506.0</v>
      </c>
      <c r="AF12" s="1">
        <v>115617.0</v>
      </c>
      <c r="AG12" s="1">
        <v>115728.0</v>
      </c>
      <c r="AH12" s="1">
        <v>115838.0</v>
      </c>
      <c r="AI12" s="1">
        <v>115949.0</v>
      </c>
      <c r="AJ12" s="1">
        <v>116060.0</v>
      </c>
      <c r="AK12" s="1">
        <v>116172.0</v>
      </c>
      <c r="AL12" s="1">
        <v>116283.0</v>
      </c>
      <c r="AM12" s="1">
        <v>116394.0</v>
      </c>
      <c r="AN12" s="1">
        <v>116506.0</v>
      </c>
      <c r="AO12" s="1">
        <v>116617.0</v>
      </c>
      <c r="AP12" s="1">
        <v>116729.0</v>
      </c>
      <c r="AQ12" s="1">
        <v>116841.0</v>
      </c>
      <c r="AR12" s="1">
        <v>116953.0</v>
      </c>
      <c r="AS12" s="1">
        <v>117065.0</v>
      </c>
      <c r="AT12" s="1">
        <v>117177.0</v>
      </c>
      <c r="AU12" s="1">
        <v>117289.0</v>
      </c>
      <c r="AV12" s="1">
        <v>117402.0</v>
      </c>
      <c r="AW12" s="1">
        <v>117514.0</v>
      </c>
      <c r="AX12" s="1">
        <v>117627.0</v>
      </c>
      <c r="AY12" s="1">
        <v>117739.0</v>
      </c>
      <c r="AZ12" s="1">
        <v>117852.0</v>
      </c>
      <c r="BA12" s="1">
        <v>117965.0</v>
      </c>
      <c r="BB12" s="1">
        <v>118078.0</v>
      </c>
      <c r="BC12" s="1">
        <v>118191.0</v>
      </c>
      <c r="BD12" s="1">
        <v>118305.0</v>
      </c>
      <c r="BE12" s="1">
        <v>118418.0</v>
      </c>
      <c r="BF12" s="1">
        <v>118531.0</v>
      </c>
      <c r="BG12" s="1">
        <v>118645.0</v>
      </c>
      <c r="BH12" s="1">
        <v>118759.0</v>
      </c>
      <c r="BI12" s="1">
        <v>118872.0</v>
      </c>
      <c r="BJ12" s="1">
        <v>118986.0</v>
      </c>
      <c r="BK12" s="1">
        <v>119100.0</v>
      </c>
      <c r="BL12" s="1">
        <v>119214.0</v>
      </c>
      <c r="BM12" s="1">
        <v>119328.0</v>
      </c>
      <c r="BN12" s="1">
        <v>119443.0</v>
      </c>
      <c r="BO12" s="1">
        <v>119557.0</v>
      </c>
      <c r="BP12" s="1">
        <v>119672.0</v>
      </c>
      <c r="BQ12" s="1">
        <v>119786.0</v>
      </c>
      <c r="BR12" s="1">
        <v>119901.0</v>
      </c>
      <c r="BS12" s="1">
        <v>120016.0</v>
      </c>
      <c r="BT12" s="1">
        <v>120131.0</v>
      </c>
      <c r="BU12" s="1">
        <v>120246.0</v>
      </c>
      <c r="BV12" s="1">
        <v>6901142.0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34125.0</v>
      </c>
      <c r="P13" s="1">
        <v>34158.0</v>
      </c>
      <c r="Q13" s="1">
        <v>34190.0</v>
      </c>
      <c r="R13" s="1">
        <v>34223.0</v>
      </c>
      <c r="S13" s="1">
        <v>34256.0</v>
      </c>
      <c r="T13" s="1">
        <v>34289.0</v>
      </c>
      <c r="U13" s="1">
        <v>34322.0</v>
      </c>
      <c r="V13" s="1">
        <v>34355.0</v>
      </c>
      <c r="W13" s="1">
        <v>34387.0</v>
      </c>
      <c r="X13" s="1">
        <v>34420.0</v>
      </c>
      <c r="Y13" s="1">
        <v>34453.0</v>
      </c>
      <c r="Z13" s="1">
        <v>34486.0</v>
      </c>
      <c r="AA13" s="1">
        <v>34519.0</v>
      </c>
      <c r="AB13" s="1">
        <v>34552.0</v>
      </c>
      <c r="AC13" s="1">
        <v>34586.0</v>
      </c>
      <c r="AD13" s="1">
        <v>34619.0</v>
      </c>
      <c r="AE13" s="1">
        <v>34652.0</v>
      </c>
      <c r="AF13" s="1">
        <v>34685.0</v>
      </c>
      <c r="AG13" s="1">
        <v>34718.0</v>
      </c>
      <c r="AH13" s="1">
        <v>34752.0</v>
      </c>
      <c r="AI13" s="1">
        <v>34785.0</v>
      </c>
      <c r="AJ13" s="1">
        <v>34818.0</v>
      </c>
      <c r="AK13" s="1">
        <v>34851.0</v>
      </c>
      <c r="AL13" s="1">
        <v>34885.0</v>
      </c>
      <c r="AM13" s="1">
        <v>34918.0</v>
      </c>
      <c r="AN13" s="1">
        <v>34952.0</v>
      </c>
      <c r="AO13" s="1">
        <v>34985.0</v>
      </c>
      <c r="AP13" s="1">
        <v>35019.0</v>
      </c>
      <c r="AQ13" s="1">
        <v>35052.0</v>
      </c>
      <c r="AR13" s="1">
        <v>35086.0</v>
      </c>
      <c r="AS13" s="1">
        <v>35119.0</v>
      </c>
      <c r="AT13" s="1">
        <v>35153.0</v>
      </c>
      <c r="AU13" s="1">
        <v>35187.0</v>
      </c>
      <c r="AV13" s="1">
        <v>35221.0</v>
      </c>
      <c r="AW13" s="1">
        <v>35254.0</v>
      </c>
      <c r="AX13" s="1">
        <v>35288.0</v>
      </c>
      <c r="AY13" s="1">
        <v>35322.0</v>
      </c>
      <c r="AZ13" s="1">
        <v>35356.0</v>
      </c>
      <c r="BA13" s="1">
        <v>35390.0</v>
      </c>
      <c r="BB13" s="1">
        <v>35423.0</v>
      </c>
      <c r="BC13" s="1">
        <v>35457.0</v>
      </c>
      <c r="BD13" s="1">
        <v>35491.0</v>
      </c>
      <c r="BE13" s="1">
        <v>35525.0</v>
      </c>
      <c r="BF13" s="1">
        <v>35559.0</v>
      </c>
      <c r="BG13" s="1">
        <v>35593.0</v>
      </c>
      <c r="BH13" s="1">
        <v>35628.0</v>
      </c>
      <c r="BI13" s="1">
        <v>35662.0</v>
      </c>
      <c r="BJ13" s="1">
        <v>35696.0</v>
      </c>
      <c r="BK13" s="1">
        <v>35730.0</v>
      </c>
      <c r="BL13" s="1">
        <v>35764.0</v>
      </c>
      <c r="BM13" s="1">
        <v>35799.0</v>
      </c>
      <c r="BN13" s="1">
        <v>35833.0</v>
      </c>
      <c r="BO13" s="1">
        <v>35867.0</v>
      </c>
      <c r="BP13" s="1">
        <v>35902.0</v>
      </c>
      <c r="BQ13" s="1">
        <v>35936.0</v>
      </c>
      <c r="BR13" s="1">
        <v>35970.0</v>
      </c>
      <c r="BS13" s="1">
        <v>36005.0</v>
      </c>
      <c r="BT13" s="1">
        <v>36039.0</v>
      </c>
      <c r="BU13" s="1">
        <v>36074.0</v>
      </c>
      <c r="BV13" s="1">
        <v>2070343.0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2000.0</v>
      </c>
      <c r="P14" s="1">
        <v>2000.0</v>
      </c>
      <c r="Q14" s="1">
        <v>2000.0</v>
      </c>
      <c r="R14" s="1">
        <v>2000.0</v>
      </c>
      <c r="S14" s="1">
        <v>2000.0</v>
      </c>
      <c r="T14" s="1">
        <v>2000.0</v>
      </c>
      <c r="U14" s="1">
        <v>2000.0</v>
      </c>
      <c r="V14" s="1">
        <v>2000.0</v>
      </c>
      <c r="W14" s="1">
        <v>2000.0</v>
      </c>
      <c r="X14" s="1">
        <v>2000.0</v>
      </c>
      <c r="Y14" s="1">
        <v>2000.0</v>
      </c>
      <c r="Z14" s="1">
        <v>2000.0</v>
      </c>
      <c r="AA14" s="1">
        <v>2000.0</v>
      </c>
      <c r="AB14" s="1">
        <v>2000.0</v>
      </c>
      <c r="AC14" s="1">
        <v>2000.0</v>
      </c>
      <c r="AD14" s="1">
        <v>2000.0</v>
      </c>
      <c r="AE14" s="1">
        <v>2000.0</v>
      </c>
      <c r="AF14" s="1">
        <v>2000.0</v>
      </c>
      <c r="AG14" s="1">
        <v>2000.0</v>
      </c>
      <c r="AH14" s="1">
        <v>2000.0</v>
      </c>
      <c r="AI14" s="1">
        <v>2000.0</v>
      </c>
      <c r="AJ14" s="1">
        <v>2000.0</v>
      </c>
      <c r="AK14" s="1">
        <v>2000.0</v>
      </c>
      <c r="AL14" s="1">
        <v>2000.0</v>
      </c>
      <c r="AM14" s="1">
        <v>2000.0</v>
      </c>
      <c r="AN14" s="1">
        <v>2000.0</v>
      </c>
      <c r="AO14" s="1">
        <v>2000.0</v>
      </c>
      <c r="AP14" s="1">
        <v>2000.0</v>
      </c>
      <c r="AQ14" s="1">
        <v>2000.0</v>
      </c>
      <c r="AR14" s="1">
        <v>2000.0</v>
      </c>
      <c r="AS14" s="1">
        <v>2000.0</v>
      </c>
      <c r="AT14" s="1">
        <v>2000.0</v>
      </c>
      <c r="AU14" s="1">
        <v>2000.0</v>
      </c>
      <c r="AV14" s="1">
        <v>2000.0</v>
      </c>
      <c r="AW14" s="1">
        <v>2000.0</v>
      </c>
      <c r="AX14" s="1">
        <v>2000.0</v>
      </c>
      <c r="AY14" s="1">
        <v>2000.0</v>
      </c>
      <c r="AZ14" s="1">
        <v>2000.0</v>
      </c>
      <c r="BA14" s="1">
        <v>2000.0</v>
      </c>
      <c r="BB14" s="1">
        <v>2000.0</v>
      </c>
      <c r="BC14" s="1">
        <v>2000.0</v>
      </c>
      <c r="BD14" s="1">
        <v>2000.0</v>
      </c>
      <c r="BE14" s="1">
        <v>2000.0</v>
      </c>
      <c r="BF14" s="1">
        <v>2000.0</v>
      </c>
      <c r="BG14" s="1">
        <v>2000.0</v>
      </c>
      <c r="BH14" s="1">
        <v>2000.0</v>
      </c>
      <c r="BI14" s="1">
        <v>2000.0</v>
      </c>
      <c r="BJ14" s="1">
        <v>2000.0</v>
      </c>
      <c r="BK14" s="1">
        <v>2000.0</v>
      </c>
      <c r="BL14" s="1">
        <v>2000.0</v>
      </c>
      <c r="BM14" s="1">
        <v>2000.0</v>
      </c>
      <c r="BN14" s="1">
        <v>2000.0</v>
      </c>
      <c r="BO14" s="1">
        <v>2000.0</v>
      </c>
      <c r="BP14" s="1">
        <v>2000.0</v>
      </c>
      <c r="BQ14" s="1">
        <v>2000.0</v>
      </c>
      <c r="BR14" s="1">
        <v>2000.0</v>
      </c>
      <c r="BS14" s="1">
        <v>2000.0</v>
      </c>
      <c r="BT14" s="1">
        <v>2000.0</v>
      </c>
      <c r="BU14" s="1">
        <v>2000.0</v>
      </c>
      <c r="BV14" s="1">
        <v>118000.0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36125.0</v>
      </c>
      <c r="P15" s="1">
        <v>36158.0</v>
      </c>
      <c r="Q15" s="1">
        <v>36190.0</v>
      </c>
      <c r="R15" s="1">
        <v>36223.0</v>
      </c>
      <c r="S15" s="1">
        <v>36256.0</v>
      </c>
      <c r="T15" s="1">
        <v>36289.0</v>
      </c>
      <c r="U15" s="1">
        <v>36322.0</v>
      </c>
      <c r="V15" s="1">
        <v>36355.0</v>
      </c>
      <c r="W15" s="1">
        <v>36387.0</v>
      </c>
      <c r="X15" s="1">
        <v>36420.0</v>
      </c>
      <c r="Y15" s="1">
        <v>36453.0</v>
      </c>
      <c r="Z15" s="1">
        <v>36486.0</v>
      </c>
      <c r="AA15" s="1">
        <v>36519.0</v>
      </c>
      <c r="AB15" s="1">
        <v>36552.0</v>
      </c>
      <c r="AC15" s="1">
        <v>36586.0</v>
      </c>
      <c r="AD15" s="1">
        <v>36619.0</v>
      </c>
      <c r="AE15" s="1">
        <v>36652.0</v>
      </c>
      <c r="AF15" s="1">
        <v>36685.0</v>
      </c>
      <c r="AG15" s="1">
        <v>36718.0</v>
      </c>
      <c r="AH15" s="1">
        <v>36752.0</v>
      </c>
      <c r="AI15" s="1">
        <v>36785.0</v>
      </c>
      <c r="AJ15" s="1">
        <v>36818.0</v>
      </c>
      <c r="AK15" s="1">
        <v>36851.0</v>
      </c>
      <c r="AL15" s="1">
        <v>36885.0</v>
      </c>
      <c r="AM15" s="1">
        <v>36918.0</v>
      </c>
      <c r="AN15" s="1">
        <v>36952.0</v>
      </c>
      <c r="AO15" s="1">
        <v>36985.0</v>
      </c>
      <c r="AP15" s="1">
        <v>37019.0</v>
      </c>
      <c r="AQ15" s="1">
        <v>37052.0</v>
      </c>
      <c r="AR15" s="1">
        <v>37086.0</v>
      </c>
      <c r="AS15" s="1">
        <v>37119.0</v>
      </c>
      <c r="AT15" s="1">
        <v>37153.0</v>
      </c>
      <c r="AU15" s="1">
        <v>37187.0</v>
      </c>
      <c r="AV15" s="1">
        <v>37221.0</v>
      </c>
      <c r="AW15" s="1">
        <v>37254.0</v>
      </c>
      <c r="AX15" s="1">
        <v>37288.0</v>
      </c>
      <c r="AY15" s="1">
        <v>37322.0</v>
      </c>
      <c r="AZ15" s="1">
        <v>37356.0</v>
      </c>
      <c r="BA15" s="1">
        <v>37390.0</v>
      </c>
      <c r="BB15" s="1">
        <v>37423.0</v>
      </c>
      <c r="BC15" s="1">
        <v>37457.0</v>
      </c>
      <c r="BD15" s="1">
        <v>37491.0</v>
      </c>
      <c r="BE15" s="1">
        <v>37525.0</v>
      </c>
      <c r="BF15" s="1">
        <v>37559.0</v>
      </c>
      <c r="BG15" s="1">
        <v>37593.0</v>
      </c>
      <c r="BH15" s="1">
        <v>37628.0</v>
      </c>
      <c r="BI15" s="1">
        <v>37662.0</v>
      </c>
      <c r="BJ15" s="1">
        <v>37696.0</v>
      </c>
      <c r="BK15" s="1">
        <v>37730.0</v>
      </c>
      <c r="BL15" s="1">
        <v>37764.0</v>
      </c>
      <c r="BM15" s="1">
        <v>37799.0</v>
      </c>
      <c r="BN15" s="1">
        <v>37833.0</v>
      </c>
      <c r="BO15" s="1">
        <v>37867.0</v>
      </c>
      <c r="BP15" s="1">
        <v>37902.0</v>
      </c>
      <c r="BQ15" s="1">
        <v>37936.0</v>
      </c>
      <c r="BR15" s="1">
        <v>37970.0</v>
      </c>
      <c r="BS15" s="1">
        <v>38005.0</v>
      </c>
      <c r="BT15" s="1">
        <v>38039.0</v>
      </c>
      <c r="BU15" s="1">
        <v>38074.0</v>
      </c>
      <c r="BV15" s="1">
        <v>2188343.0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79625.0</v>
      </c>
      <c r="P16" s="1">
        <v>79701.0</v>
      </c>
      <c r="Q16" s="1">
        <v>79778.0</v>
      </c>
      <c r="R16" s="1">
        <v>79854.0</v>
      </c>
      <c r="S16" s="1">
        <v>79931.0</v>
      </c>
      <c r="T16" s="1">
        <v>80007.0</v>
      </c>
      <c r="U16" s="1">
        <v>80084.0</v>
      </c>
      <c r="V16" s="1">
        <v>80161.0</v>
      </c>
      <c r="W16" s="1">
        <v>80237.0</v>
      </c>
      <c r="X16" s="1">
        <v>80314.0</v>
      </c>
      <c r="Y16" s="1">
        <v>80391.0</v>
      </c>
      <c r="Z16" s="1">
        <v>80468.0</v>
      </c>
      <c r="AA16" s="1">
        <v>80545.0</v>
      </c>
      <c r="AB16" s="1">
        <v>80622.0</v>
      </c>
      <c r="AC16" s="1">
        <v>80700.0</v>
      </c>
      <c r="AD16" s="1">
        <v>80777.0</v>
      </c>
      <c r="AE16" s="1">
        <v>80854.0</v>
      </c>
      <c r="AF16" s="1">
        <v>80932.0</v>
      </c>
      <c r="AG16" s="1">
        <v>81009.0</v>
      </c>
      <c r="AH16" s="1">
        <v>81087.0</v>
      </c>
      <c r="AI16" s="1">
        <v>81165.0</v>
      </c>
      <c r="AJ16" s="1">
        <v>81242.0</v>
      </c>
      <c r="AK16" s="1">
        <v>81320.0</v>
      </c>
      <c r="AL16" s="1">
        <v>81398.0</v>
      </c>
      <c r="AM16" s="1">
        <v>81476.0</v>
      </c>
      <c r="AN16" s="1">
        <v>81554.0</v>
      </c>
      <c r="AO16" s="1">
        <v>81632.0</v>
      </c>
      <c r="AP16" s="1">
        <v>81710.0</v>
      </c>
      <c r="AQ16" s="1">
        <v>81789.0</v>
      </c>
      <c r="AR16" s="1">
        <v>81867.0</v>
      </c>
      <c r="AS16" s="1">
        <v>81945.0</v>
      </c>
      <c r="AT16" s="1">
        <v>82024.0</v>
      </c>
      <c r="AU16" s="1">
        <v>82103.0</v>
      </c>
      <c r="AV16" s="1">
        <v>82181.0</v>
      </c>
      <c r="AW16" s="1">
        <v>82260.0</v>
      </c>
      <c r="AX16" s="1">
        <v>82339.0</v>
      </c>
      <c r="AY16" s="1">
        <v>82418.0</v>
      </c>
      <c r="AZ16" s="1">
        <v>82497.0</v>
      </c>
      <c r="BA16" s="1">
        <v>82576.0</v>
      </c>
      <c r="BB16" s="1">
        <v>82655.0</v>
      </c>
      <c r="BC16" s="1">
        <v>82734.0</v>
      </c>
      <c r="BD16" s="1">
        <v>82813.0</v>
      </c>
      <c r="BE16" s="1">
        <v>82893.0</v>
      </c>
      <c r="BF16" s="1">
        <v>82972.0</v>
      </c>
      <c r="BG16" s="1">
        <v>83051.0</v>
      </c>
      <c r="BH16" s="1">
        <v>83131.0</v>
      </c>
      <c r="BI16" s="1">
        <v>83211.0</v>
      </c>
      <c r="BJ16" s="1">
        <v>83290.0</v>
      </c>
      <c r="BK16" s="1">
        <v>83370.0</v>
      </c>
      <c r="BL16" s="1">
        <v>83450.0</v>
      </c>
      <c r="BM16" s="1">
        <v>83530.0</v>
      </c>
      <c r="BN16" s="1">
        <v>83610.0</v>
      </c>
      <c r="BO16" s="1">
        <v>83690.0</v>
      </c>
      <c r="BP16" s="1">
        <v>83770.0</v>
      </c>
      <c r="BQ16" s="1">
        <v>83850.0</v>
      </c>
      <c r="BR16" s="1">
        <v>83931.0</v>
      </c>
      <c r="BS16" s="1">
        <v>84011.0</v>
      </c>
      <c r="BT16" s="1">
        <v>84092.0</v>
      </c>
      <c r="BU16" s="1">
        <v>84172.0</v>
      </c>
      <c r="BV16" s="1">
        <v>4830799.0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221</v>
      </c>
    </row>
    <row r="2">
      <c r="A2" s="1" t="s">
        <v>222</v>
      </c>
    </row>
    <row r="3">
      <c r="A3" s="1" t="s">
        <v>220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60000.0</v>
      </c>
      <c r="R6" s="1">
        <v>60057.0</v>
      </c>
      <c r="S6" s="1">
        <v>60115.0</v>
      </c>
      <c r="T6" s="1">
        <v>60173.0</v>
      </c>
      <c r="U6" s="1">
        <v>60230.0</v>
      </c>
      <c r="V6" s="1">
        <v>60288.0</v>
      </c>
      <c r="W6" s="1">
        <v>60346.0</v>
      </c>
      <c r="X6" s="1">
        <v>60404.0</v>
      </c>
      <c r="Y6" s="1">
        <v>60461.0</v>
      </c>
      <c r="Z6" s="1">
        <v>60519.0</v>
      </c>
      <c r="AA6" s="1">
        <v>60577.0</v>
      </c>
      <c r="AB6" s="1">
        <v>60635.0</v>
      </c>
      <c r="AC6" s="1">
        <v>60693.0</v>
      </c>
      <c r="AD6" s="1">
        <v>60752.0</v>
      </c>
      <c r="AE6" s="1">
        <v>60810.0</v>
      </c>
      <c r="AF6" s="1">
        <v>60868.0</v>
      </c>
      <c r="AG6" s="1">
        <v>60926.0</v>
      </c>
      <c r="AH6" s="1">
        <v>60985.0</v>
      </c>
      <c r="AI6" s="1">
        <v>61043.0</v>
      </c>
      <c r="AJ6" s="1">
        <v>61102.0</v>
      </c>
      <c r="AK6" s="1">
        <v>61160.0</v>
      </c>
      <c r="AL6" s="1">
        <v>61219.0</v>
      </c>
      <c r="AM6" s="1">
        <v>61277.0</v>
      </c>
      <c r="AN6" s="1">
        <v>61336.0</v>
      </c>
      <c r="AO6" s="1">
        <v>61395.0</v>
      </c>
      <c r="AP6" s="1">
        <v>61454.0</v>
      </c>
      <c r="AQ6" s="1">
        <v>61513.0</v>
      </c>
      <c r="AR6" s="1">
        <v>61571.0</v>
      </c>
      <c r="AS6" s="1">
        <v>61630.0</v>
      </c>
      <c r="AT6" s="1">
        <v>61689.0</v>
      </c>
      <c r="AU6" s="1">
        <v>61749.0</v>
      </c>
      <c r="AV6" s="1">
        <v>61808.0</v>
      </c>
      <c r="AW6" s="1">
        <v>61867.0</v>
      </c>
      <c r="AX6" s="1">
        <v>61926.0</v>
      </c>
      <c r="AY6" s="1">
        <v>61986.0</v>
      </c>
      <c r="AZ6" s="1">
        <v>62045.0</v>
      </c>
      <c r="BA6" s="1">
        <v>62104.0</v>
      </c>
      <c r="BB6" s="1">
        <v>62164.0</v>
      </c>
      <c r="BC6" s="1">
        <v>62223.0</v>
      </c>
      <c r="BD6" s="1">
        <v>62283.0</v>
      </c>
      <c r="BE6" s="1">
        <v>62343.0</v>
      </c>
      <c r="BF6" s="1">
        <v>62402.0</v>
      </c>
      <c r="BG6" s="1">
        <v>62462.0</v>
      </c>
      <c r="BH6" s="1">
        <v>62522.0</v>
      </c>
      <c r="BI6" s="1">
        <v>62582.0</v>
      </c>
      <c r="BJ6" s="1">
        <v>62642.0</v>
      </c>
      <c r="BK6" s="1">
        <v>62702.0</v>
      </c>
      <c r="BL6" s="1">
        <v>62762.0</v>
      </c>
      <c r="BM6" s="1">
        <v>62822.0</v>
      </c>
      <c r="BN6" s="1">
        <v>62882.0</v>
      </c>
      <c r="BO6" s="1">
        <v>62943.0</v>
      </c>
      <c r="BP6" s="1">
        <v>63003.0</v>
      </c>
      <c r="BQ6" s="1">
        <v>63063.0</v>
      </c>
      <c r="BR6" s="1">
        <v>63124.0</v>
      </c>
      <c r="BS6" s="1">
        <v>63184.0</v>
      </c>
      <c r="BT6" s="1">
        <v>63245.0</v>
      </c>
      <c r="BU6" s="1">
        <v>63305.0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360.0</v>
      </c>
      <c r="S7" s="1">
        <v>360.0</v>
      </c>
      <c r="T7" s="1">
        <v>361.0</v>
      </c>
      <c r="U7" s="1">
        <v>361.0</v>
      </c>
      <c r="V7" s="1">
        <v>361.0</v>
      </c>
      <c r="W7" s="1">
        <v>362.0</v>
      </c>
      <c r="X7" s="1">
        <v>362.0</v>
      </c>
      <c r="Y7" s="1">
        <v>362.0</v>
      </c>
      <c r="Z7" s="1">
        <v>363.0</v>
      </c>
      <c r="AA7" s="1">
        <v>363.0</v>
      </c>
      <c r="AB7" s="1">
        <v>363.0</v>
      </c>
      <c r="AC7" s="1">
        <v>364.0</v>
      </c>
      <c r="AD7" s="1">
        <v>364.0</v>
      </c>
      <c r="AE7" s="1">
        <v>365.0</v>
      </c>
      <c r="AF7" s="1">
        <v>365.0</v>
      </c>
      <c r="AG7" s="1">
        <v>365.0</v>
      </c>
      <c r="AH7" s="1">
        <v>366.0</v>
      </c>
      <c r="AI7" s="1">
        <v>366.0</v>
      </c>
      <c r="AJ7" s="1">
        <v>366.0</v>
      </c>
      <c r="AK7" s="1">
        <v>367.0</v>
      </c>
      <c r="AL7" s="1">
        <v>367.0</v>
      </c>
      <c r="AM7" s="1">
        <v>367.0</v>
      </c>
      <c r="AN7" s="1">
        <v>368.0</v>
      </c>
      <c r="AO7" s="1">
        <v>368.0</v>
      </c>
      <c r="AP7" s="1">
        <v>368.0</v>
      </c>
      <c r="AQ7" s="1">
        <v>369.0</v>
      </c>
      <c r="AR7" s="1">
        <v>369.0</v>
      </c>
      <c r="AS7" s="1">
        <v>369.0</v>
      </c>
      <c r="AT7" s="1">
        <v>370.0</v>
      </c>
      <c r="AU7" s="1">
        <v>370.0</v>
      </c>
      <c r="AV7" s="1">
        <v>370.0</v>
      </c>
      <c r="AW7" s="1">
        <v>371.0</v>
      </c>
      <c r="AX7" s="1">
        <v>371.0</v>
      </c>
      <c r="AY7" s="1">
        <v>372.0</v>
      </c>
      <c r="AZ7" s="1">
        <v>372.0</v>
      </c>
      <c r="BA7" s="1">
        <v>372.0</v>
      </c>
      <c r="BB7" s="1">
        <v>373.0</v>
      </c>
      <c r="BC7" s="1">
        <v>373.0</v>
      </c>
      <c r="BD7" s="1">
        <v>373.0</v>
      </c>
      <c r="BE7" s="1">
        <v>374.0</v>
      </c>
      <c r="BF7" s="1">
        <v>374.0</v>
      </c>
      <c r="BG7" s="1">
        <v>374.0</v>
      </c>
      <c r="BH7" s="1">
        <v>375.0</v>
      </c>
      <c r="BI7" s="1">
        <v>375.0</v>
      </c>
      <c r="BJ7" s="1">
        <v>375.0</v>
      </c>
      <c r="BK7" s="1">
        <v>376.0</v>
      </c>
      <c r="BL7" s="1">
        <v>376.0</v>
      </c>
      <c r="BM7" s="1">
        <v>377.0</v>
      </c>
      <c r="BN7" s="1">
        <v>377.0</v>
      </c>
      <c r="BO7" s="1">
        <v>377.0</v>
      </c>
      <c r="BP7" s="1">
        <v>378.0</v>
      </c>
      <c r="BQ7" s="1">
        <v>378.0</v>
      </c>
      <c r="BR7" s="1">
        <v>378.0</v>
      </c>
      <c r="BS7" s="1">
        <v>379.0</v>
      </c>
      <c r="BT7" s="1">
        <v>379.0</v>
      </c>
      <c r="BU7" s="1">
        <v>379.0</v>
      </c>
      <c r="BV7" s="1">
        <v>20700.0</v>
      </c>
    </row>
    <row r="8">
      <c r="A8" s="1" t="s">
        <v>145</v>
      </c>
      <c r="B8" s="1">
        <v>1.2</v>
      </c>
      <c r="C8" s="1">
        <v>1.2</v>
      </c>
      <c r="D8" s="1">
        <v>1.2</v>
      </c>
      <c r="E8" s="1">
        <v>1.2</v>
      </c>
      <c r="F8" s="1">
        <v>1.2</v>
      </c>
      <c r="G8" s="1">
        <v>1.2</v>
      </c>
      <c r="H8" s="1">
        <v>1.2</v>
      </c>
      <c r="I8" s="1">
        <v>1.2</v>
      </c>
      <c r="J8" s="1">
        <v>1.2</v>
      </c>
      <c r="K8" s="1">
        <v>1.2</v>
      </c>
      <c r="L8" s="1">
        <v>1.2</v>
      </c>
      <c r="M8" s="1">
        <v>1.2</v>
      </c>
      <c r="N8" s="1">
        <v>1.2</v>
      </c>
      <c r="O8" s="1">
        <v>1.2</v>
      </c>
      <c r="P8" s="1">
        <v>1.2</v>
      </c>
      <c r="Q8" s="1">
        <v>1.2</v>
      </c>
      <c r="R8" s="1">
        <v>1.2</v>
      </c>
      <c r="S8" s="1">
        <v>1.2</v>
      </c>
      <c r="T8" s="1">
        <v>1.2</v>
      </c>
      <c r="U8" s="1">
        <v>1.2</v>
      </c>
      <c r="V8" s="1">
        <v>1.2</v>
      </c>
      <c r="W8" s="1">
        <v>1.2</v>
      </c>
      <c r="X8" s="1">
        <v>1.2</v>
      </c>
      <c r="Y8" s="1">
        <v>1.2</v>
      </c>
      <c r="Z8" s="1">
        <v>1.2</v>
      </c>
      <c r="AA8" s="1">
        <v>1.2</v>
      </c>
      <c r="AB8" s="1">
        <v>1.2</v>
      </c>
      <c r="AC8" s="1">
        <v>1.2</v>
      </c>
      <c r="AD8" s="1">
        <v>1.2</v>
      </c>
      <c r="AE8" s="1">
        <v>1.2</v>
      </c>
      <c r="AF8" s="1">
        <v>1.2</v>
      </c>
      <c r="AG8" s="1">
        <v>1.2</v>
      </c>
      <c r="AH8" s="1">
        <v>1.2</v>
      </c>
      <c r="AI8" s="1">
        <v>1.2</v>
      </c>
      <c r="AJ8" s="1">
        <v>1.2</v>
      </c>
      <c r="AK8" s="1">
        <v>1.2</v>
      </c>
      <c r="AL8" s="1">
        <v>1.2</v>
      </c>
      <c r="AM8" s="1">
        <v>1.2</v>
      </c>
      <c r="AN8" s="1">
        <v>1.2</v>
      </c>
      <c r="AO8" s="1">
        <v>1.2</v>
      </c>
      <c r="AP8" s="1">
        <v>1.2</v>
      </c>
      <c r="AQ8" s="1">
        <v>1.2</v>
      </c>
      <c r="AR8" s="1">
        <v>1.2</v>
      </c>
      <c r="AS8" s="1">
        <v>1.2</v>
      </c>
      <c r="AT8" s="1">
        <v>1.2</v>
      </c>
      <c r="AU8" s="1">
        <v>1.2</v>
      </c>
      <c r="AV8" s="1">
        <v>1.2</v>
      </c>
      <c r="AW8" s="1">
        <v>1.2</v>
      </c>
      <c r="AX8" s="1">
        <v>1.2</v>
      </c>
      <c r="AY8" s="1">
        <v>1.2</v>
      </c>
      <c r="AZ8" s="1">
        <v>1.2</v>
      </c>
      <c r="BA8" s="1">
        <v>1.2</v>
      </c>
      <c r="BB8" s="1">
        <v>1.2</v>
      </c>
      <c r="BC8" s="1">
        <v>1.2</v>
      </c>
      <c r="BD8" s="1">
        <v>1.2</v>
      </c>
      <c r="BE8" s="1">
        <v>1.2</v>
      </c>
      <c r="BF8" s="1">
        <v>1.2</v>
      </c>
      <c r="BG8" s="1">
        <v>1.2</v>
      </c>
      <c r="BH8" s="1">
        <v>1.2</v>
      </c>
      <c r="BI8" s="1">
        <v>1.2</v>
      </c>
      <c r="BJ8" s="1">
        <v>1.2</v>
      </c>
      <c r="BK8" s="1">
        <v>1.2</v>
      </c>
      <c r="BL8" s="1">
        <v>1.2</v>
      </c>
      <c r="BM8" s="1">
        <v>1.2</v>
      </c>
      <c r="BN8" s="1">
        <v>1.2</v>
      </c>
      <c r="BO8" s="1">
        <v>1.2</v>
      </c>
      <c r="BP8" s="1">
        <v>1.2</v>
      </c>
      <c r="BQ8" s="1">
        <v>1.2</v>
      </c>
      <c r="BR8" s="1">
        <v>1.2</v>
      </c>
      <c r="BS8" s="1">
        <v>1.2</v>
      </c>
      <c r="BT8" s="1">
        <v>1.2</v>
      </c>
      <c r="BU8" s="1">
        <v>1.2</v>
      </c>
    </row>
    <row r="9">
      <c r="A9" s="1" t="s">
        <v>146</v>
      </c>
      <c r="B9" s="1">
        <v>50.0</v>
      </c>
      <c r="C9" s="1">
        <v>50.0</v>
      </c>
      <c r="D9" s="1">
        <v>50.0</v>
      </c>
      <c r="E9" s="1">
        <v>50.0</v>
      </c>
      <c r="F9" s="1">
        <v>50.0</v>
      </c>
      <c r="G9" s="1">
        <v>50.0</v>
      </c>
      <c r="H9" s="1">
        <v>50.0</v>
      </c>
      <c r="I9" s="1">
        <v>50.0</v>
      </c>
      <c r="J9" s="1">
        <v>50.0</v>
      </c>
      <c r="K9" s="1">
        <v>50.0</v>
      </c>
      <c r="L9" s="1">
        <v>50.0</v>
      </c>
      <c r="M9" s="1">
        <v>50.0</v>
      </c>
      <c r="N9" s="1">
        <v>50.0</v>
      </c>
      <c r="O9" s="1">
        <v>50.0</v>
      </c>
      <c r="P9" s="1">
        <v>50.0</v>
      </c>
      <c r="Q9" s="1">
        <v>50.0</v>
      </c>
      <c r="R9" s="1">
        <v>50.0</v>
      </c>
      <c r="S9" s="1">
        <v>50.0</v>
      </c>
      <c r="T9" s="1">
        <v>50.0</v>
      </c>
      <c r="U9" s="1">
        <v>50.0</v>
      </c>
      <c r="V9" s="1">
        <v>50.0</v>
      </c>
      <c r="W9" s="1">
        <v>50.0</v>
      </c>
      <c r="X9" s="1">
        <v>50.0</v>
      </c>
      <c r="Y9" s="1">
        <v>50.0</v>
      </c>
      <c r="Z9" s="1">
        <v>50.0</v>
      </c>
      <c r="AA9" s="1">
        <v>50.0</v>
      </c>
      <c r="AB9" s="1">
        <v>50.0</v>
      </c>
      <c r="AC9" s="1">
        <v>50.0</v>
      </c>
      <c r="AD9" s="1">
        <v>50.0</v>
      </c>
      <c r="AE9" s="1">
        <v>50.0</v>
      </c>
      <c r="AF9" s="1">
        <v>50.0</v>
      </c>
      <c r="AG9" s="1">
        <v>50.0</v>
      </c>
      <c r="AH9" s="1">
        <v>50.0</v>
      </c>
      <c r="AI9" s="1">
        <v>50.0</v>
      </c>
      <c r="AJ9" s="1">
        <v>50.0</v>
      </c>
      <c r="AK9" s="1">
        <v>50.0</v>
      </c>
      <c r="AL9" s="1">
        <v>50.0</v>
      </c>
      <c r="AM9" s="1">
        <v>50.0</v>
      </c>
      <c r="AN9" s="1">
        <v>50.0</v>
      </c>
      <c r="AO9" s="1">
        <v>50.0</v>
      </c>
      <c r="AP9" s="1">
        <v>50.0</v>
      </c>
      <c r="AQ9" s="1">
        <v>50.0</v>
      </c>
      <c r="AR9" s="1">
        <v>50.0</v>
      </c>
      <c r="AS9" s="1">
        <v>50.0</v>
      </c>
      <c r="AT9" s="1">
        <v>50.0</v>
      </c>
      <c r="AU9" s="1">
        <v>50.0</v>
      </c>
      <c r="AV9" s="1">
        <v>50.0</v>
      </c>
      <c r="AW9" s="1">
        <v>50.0</v>
      </c>
      <c r="AX9" s="1">
        <v>50.0</v>
      </c>
      <c r="AY9" s="1">
        <v>50.0</v>
      </c>
      <c r="AZ9" s="1">
        <v>50.0</v>
      </c>
      <c r="BA9" s="1">
        <v>50.0</v>
      </c>
      <c r="BB9" s="1">
        <v>50.0</v>
      </c>
      <c r="BC9" s="1">
        <v>50.0</v>
      </c>
      <c r="BD9" s="1">
        <v>50.0</v>
      </c>
      <c r="BE9" s="1">
        <v>50.0</v>
      </c>
      <c r="BF9" s="1">
        <v>50.0</v>
      </c>
      <c r="BG9" s="1">
        <v>50.0</v>
      </c>
      <c r="BH9" s="1">
        <v>50.0</v>
      </c>
      <c r="BI9" s="1">
        <v>50.0</v>
      </c>
      <c r="BJ9" s="1">
        <v>50.0</v>
      </c>
      <c r="BK9" s="1">
        <v>50.0</v>
      </c>
      <c r="BL9" s="1">
        <v>50.0</v>
      </c>
      <c r="BM9" s="1">
        <v>50.0</v>
      </c>
      <c r="BN9" s="1">
        <v>50.0</v>
      </c>
      <c r="BO9" s="1">
        <v>50.0</v>
      </c>
      <c r="BP9" s="1">
        <v>50.0</v>
      </c>
      <c r="BQ9" s="1">
        <v>50.0</v>
      </c>
      <c r="BR9" s="1">
        <v>50.0</v>
      </c>
      <c r="BS9" s="1">
        <v>50.0</v>
      </c>
      <c r="BT9" s="1">
        <v>50.0</v>
      </c>
      <c r="BU9" s="1">
        <v>50.0</v>
      </c>
      <c r="BV9" s="1" t="s">
        <v>166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720.0</v>
      </c>
      <c r="R11" s="1">
        <v>721.0</v>
      </c>
      <c r="S11" s="1">
        <v>721.0</v>
      </c>
      <c r="T11" s="1">
        <v>722.0</v>
      </c>
      <c r="U11" s="1">
        <v>723.0</v>
      </c>
      <c r="V11" s="1">
        <v>723.0</v>
      </c>
      <c r="W11" s="1">
        <v>724.0</v>
      </c>
      <c r="X11" s="1">
        <v>725.0</v>
      </c>
      <c r="Y11" s="1">
        <v>726.0</v>
      </c>
      <c r="Z11" s="1">
        <v>726.0</v>
      </c>
      <c r="AA11" s="1">
        <v>727.0</v>
      </c>
      <c r="AB11" s="1">
        <v>728.0</v>
      </c>
      <c r="AC11" s="1">
        <v>728.0</v>
      </c>
      <c r="AD11" s="1">
        <v>729.0</v>
      </c>
      <c r="AE11" s="1">
        <v>730.0</v>
      </c>
      <c r="AF11" s="1">
        <v>730.0</v>
      </c>
      <c r="AG11" s="1">
        <v>731.0</v>
      </c>
      <c r="AH11" s="1">
        <v>732.0</v>
      </c>
      <c r="AI11" s="1">
        <v>733.0</v>
      </c>
      <c r="AJ11" s="1">
        <v>733.0</v>
      </c>
      <c r="AK11" s="1">
        <v>734.0</v>
      </c>
      <c r="AL11" s="1">
        <v>735.0</v>
      </c>
      <c r="AM11" s="1">
        <v>735.0</v>
      </c>
      <c r="AN11" s="1">
        <v>736.0</v>
      </c>
      <c r="AO11" s="1">
        <v>737.0</v>
      </c>
      <c r="AP11" s="1">
        <v>737.0</v>
      </c>
      <c r="AQ11" s="1">
        <v>738.0</v>
      </c>
      <c r="AR11" s="1">
        <v>739.0</v>
      </c>
      <c r="AS11" s="1">
        <v>740.0</v>
      </c>
      <c r="AT11" s="1">
        <v>740.0</v>
      </c>
      <c r="AU11" s="1">
        <v>741.0</v>
      </c>
      <c r="AV11" s="1">
        <v>742.0</v>
      </c>
      <c r="AW11" s="1">
        <v>742.0</v>
      </c>
      <c r="AX11" s="1">
        <v>743.0</v>
      </c>
      <c r="AY11" s="1">
        <v>744.0</v>
      </c>
      <c r="AZ11" s="1">
        <v>745.0</v>
      </c>
      <c r="BA11" s="1">
        <v>745.0</v>
      </c>
      <c r="BB11" s="1">
        <v>746.0</v>
      </c>
      <c r="BC11" s="1">
        <v>747.0</v>
      </c>
      <c r="BD11" s="1">
        <v>747.0</v>
      </c>
      <c r="BE11" s="1">
        <v>748.0</v>
      </c>
      <c r="BF11" s="1">
        <v>749.0</v>
      </c>
      <c r="BG11" s="1">
        <v>750.0</v>
      </c>
      <c r="BH11" s="1">
        <v>750.0</v>
      </c>
      <c r="BI11" s="1">
        <v>751.0</v>
      </c>
      <c r="BJ11" s="1">
        <v>752.0</v>
      </c>
      <c r="BK11" s="1">
        <v>752.0</v>
      </c>
      <c r="BL11" s="1">
        <v>753.0</v>
      </c>
      <c r="BM11" s="1">
        <v>754.0</v>
      </c>
      <c r="BN11" s="1">
        <v>755.0</v>
      </c>
      <c r="BO11" s="1">
        <v>755.0</v>
      </c>
      <c r="BP11" s="1">
        <v>756.0</v>
      </c>
      <c r="BQ11" s="1">
        <v>757.0</v>
      </c>
      <c r="BR11" s="1">
        <v>757.0</v>
      </c>
      <c r="BS11" s="1">
        <v>758.0</v>
      </c>
      <c r="BT11" s="1">
        <v>759.0</v>
      </c>
      <c r="BU11" s="1">
        <v>760.0</v>
      </c>
      <c r="BV11" s="1">
        <v>42160.0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36000.0</v>
      </c>
      <c r="R12" s="1">
        <v>36034.0</v>
      </c>
      <c r="S12" s="1">
        <v>36069.0</v>
      </c>
      <c r="T12" s="1">
        <v>36104.0</v>
      </c>
      <c r="U12" s="1">
        <v>36138.0</v>
      </c>
      <c r="V12" s="1">
        <v>36173.0</v>
      </c>
      <c r="W12" s="1">
        <v>36207.0</v>
      </c>
      <c r="X12" s="1">
        <v>36242.0</v>
      </c>
      <c r="Y12" s="1">
        <v>36277.0</v>
      </c>
      <c r="Z12" s="1">
        <v>36312.0</v>
      </c>
      <c r="AA12" s="1">
        <v>36346.0</v>
      </c>
      <c r="AB12" s="1">
        <v>36381.0</v>
      </c>
      <c r="AC12" s="1">
        <v>36416.0</v>
      </c>
      <c r="AD12" s="1">
        <v>36451.0</v>
      </c>
      <c r="AE12" s="1">
        <v>36486.0</v>
      </c>
      <c r="AF12" s="1">
        <v>36521.0</v>
      </c>
      <c r="AG12" s="1">
        <v>36556.0</v>
      </c>
      <c r="AH12" s="1">
        <v>36591.0</v>
      </c>
      <c r="AI12" s="1">
        <v>36626.0</v>
      </c>
      <c r="AJ12" s="1">
        <v>36661.0</v>
      </c>
      <c r="AK12" s="1">
        <v>36696.0</v>
      </c>
      <c r="AL12" s="1">
        <v>36731.0</v>
      </c>
      <c r="AM12" s="1">
        <v>36766.0</v>
      </c>
      <c r="AN12" s="1">
        <v>36802.0</v>
      </c>
      <c r="AO12" s="1">
        <v>36837.0</v>
      </c>
      <c r="AP12" s="1">
        <v>36872.0</v>
      </c>
      <c r="AQ12" s="1">
        <v>36908.0</v>
      </c>
      <c r="AR12" s="1">
        <v>36943.0</v>
      </c>
      <c r="AS12" s="1">
        <v>36978.0</v>
      </c>
      <c r="AT12" s="1">
        <v>37014.0</v>
      </c>
      <c r="AU12" s="1">
        <v>37049.0</v>
      </c>
      <c r="AV12" s="1">
        <v>37085.0</v>
      </c>
      <c r="AW12" s="1">
        <v>37120.0</v>
      </c>
      <c r="AX12" s="1">
        <v>37156.0</v>
      </c>
      <c r="AY12" s="1">
        <v>37191.0</v>
      </c>
      <c r="AZ12" s="1">
        <v>37227.0</v>
      </c>
      <c r="BA12" s="1">
        <v>37263.0</v>
      </c>
      <c r="BB12" s="1">
        <v>37298.0</v>
      </c>
      <c r="BC12" s="1">
        <v>37334.0</v>
      </c>
      <c r="BD12" s="1">
        <v>37370.0</v>
      </c>
      <c r="BE12" s="1">
        <v>37406.0</v>
      </c>
      <c r="BF12" s="1">
        <v>37441.0</v>
      </c>
      <c r="BG12" s="1">
        <v>37477.0</v>
      </c>
      <c r="BH12" s="1">
        <v>37513.0</v>
      </c>
      <c r="BI12" s="1">
        <v>37549.0</v>
      </c>
      <c r="BJ12" s="1">
        <v>37585.0</v>
      </c>
      <c r="BK12" s="1">
        <v>37621.0</v>
      </c>
      <c r="BL12" s="1">
        <v>37657.0</v>
      </c>
      <c r="BM12" s="1">
        <v>37693.0</v>
      </c>
      <c r="BN12" s="1">
        <v>37729.0</v>
      </c>
      <c r="BO12" s="1">
        <v>37766.0</v>
      </c>
      <c r="BP12" s="1">
        <v>37802.0</v>
      </c>
      <c r="BQ12" s="1">
        <v>37838.0</v>
      </c>
      <c r="BR12" s="1">
        <v>37874.0</v>
      </c>
      <c r="BS12" s="1">
        <v>37910.0</v>
      </c>
      <c r="BT12" s="1">
        <v>37947.0</v>
      </c>
      <c r="BU12" s="1">
        <v>37983.0</v>
      </c>
      <c r="BV12" s="1">
        <v>2108022.0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10800.0</v>
      </c>
      <c r="R13" s="1">
        <v>10810.0</v>
      </c>
      <c r="S13" s="1">
        <v>10821.0</v>
      </c>
      <c r="T13" s="1">
        <v>10831.0</v>
      </c>
      <c r="U13" s="1">
        <v>10841.0</v>
      </c>
      <c r="V13" s="1">
        <v>10852.0</v>
      </c>
      <c r="W13" s="1">
        <v>10862.0</v>
      </c>
      <c r="X13" s="1">
        <v>10873.0</v>
      </c>
      <c r="Y13" s="1">
        <v>10883.0</v>
      </c>
      <c r="Z13" s="1">
        <v>10893.0</v>
      </c>
      <c r="AA13" s="1">
        <v>10904.0</v>
      </c>
      <c r="AB13" s="1">
        <v>10914.0</v>
      </c>
      <c r="AC13" s="1">
        <v>10925.0</v>
      </c>
      <c r="AD13" s="1">
        <v>10935.0</v>
      </c>
      <c r="AE13" s="1">
        <v>10946.0</v>
      </c>
      <c r="AF13" s="1">
        <v>10956.0</v>
      </c>
      <c r="AG13" s="1">
        <v>10967.0</v>
      </c>
      <c r="AH13" s="1">
        <v>10977.0</v>
      </c>
      <c r="AI13" s="1">
        <v>10988.0</v>
      </c>
      <c r="AJ13" s="1">
        <v>10998.0</v>
      </c>
      <c r="AK13" s="1">
        <v>11009.0</v>
      </c>
      <c r="AL13" s="1">
        <v>11019.0</v>
      </c>
      <c r="AM13" s="1">
        <v>11030.0</v>
      </c>
      <c r="AN13" s="1">
        <v>11040.0</v>
      </c>
      <c r="AO13" s="1">
        <v>11051.0</v>
      </c>
      <c r="AP13" s="1">
        <v>11062.0</v>
      </c>
      <c r="AQ13" s="1">
        <v>11072.0</v>
      </c>
      <c r="AR13" s="1">
        <v>11083.0</v>
      </c>
      <c r="AS13" s="1">
        <v>11093.0</v>
      </c>
      <c r="AT13" s="1">
        <v>11104.0</v>
      </c>
      <c r="AU13" s="1">
        <v>11115.0</v>
      </c>
      <c r="AV13" s="1">
        <v>11125.0</v>
      </c>
      <c r="AW13" s="1">
        <v>11136.0</v>
      </c>
      <c r="AX13" s="1">
        <v>11147.0</v>
      </c>
      <c r="AY13" s="1">
        <v>11157.0</v>
      </c>
      <c r="AZ13" s="1">
        <v>11168.0</v>
      </c>
      <c r="BA13" s="1">
        <v>11179.0</v>
      </c>
      <c r="BB13" s="1">
        <v>11189.0</v>
      </c>
      <c r="BC13" s="1">
        <v>11200.0</v>
      </c>
      <c r="BD13" s="1">
        <v>11211.0</v>
      </c>
      <c r="BE13" s="1">
        <v>11222.0</v>
      </c>
      <c r="BF13" s="1">
        <v>11232.0</v>
      </c>
      <c r="BG13" s="1">
        <v>11243.0</v>
      </c>
      <c r="BH13" s="1">
        <v>11254.0</v>
      </c>
      <c r="BI13" s="1">
        <v>11265.0</v>
      </c>
      <c r="BJ13" s="1">
        <v>11276.0</v>
      </c>
      <c r="BK13" s="1">
        <v>11286.0</v>
      </c>
      <c r="BL13" s="1">
        <v>11297.0</v>
      </c>
      <c r="BM13" s="1">
        <v>11308.0</v>
      </c>
      <c r="BN13" s="1">
        <v>11319.0</v>
      </c>
      <c r="BO13" s="1">
        <v>11330.0</v>
      </c>
      <c r="BP13" s="1">
        <v>11341.0</v>
      </c>
      <c r="BQ13" s="1">
        <v>11351.0</v>
      </c>
      <c r="BR13" s="1">
        <v>11362.0</v>
      </c>
      <c r="BS13" s="1">
        <v>11373.0</v>
      </c>
      <c r="BT13" s="1">
        <v>11384.0</v>
      </c>
      <c r="BU13" s="1">
        <v>11395.0</v>
      </c>
      <c r="BV13" s="1">
        <v>632407.0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10800.0</v>
      </c>
      <c r="R15" s="1">
        <v>10810.0</v>
      </c>
      <c r="S15" s="1">
        <v>10821.0</v>
      </c>
      <c r="T15" s="1">
        <v>10831.0</v>
      </c>
      <c r="U15" s="1">
        <v>10841.0</v>
      </c>
      <c r="V15" s="1">
        <v>10852.0</v>
      </c>
      <c r="W15" s="1">
        <v>10862.0</v>
      </c>
      <c r="X15" s="1">
        <v>10873.0</v>
      </c>
      <c r="Y15" s="1">
        <v>10883.0</v>
      </c>
      <c r="Z15" s="1">
        <v>10893.0</v>
      </c>
      <c r="AA15" s="1">
        <v>10904.0</v>
      </c>
      <c r="AB15" s="1">
        <v>10914.0</v>
      </c>
      <c r="AC15" s="1">
        <v>10925.0</v>
      </c>
      <c r="AD15" s="1">
        <v>10935.0</v>
      </c>
      <c r="AE15" s="1">
        <v>10946.0</v>
      </c>
      <c r="AF15" s="1">
        <v>10956.0</v>
      </c>
      <c r="AG15" s="1">
        <v>10967.0</v>
      </c>
      <c r="AH15" s="1">
        <v>10977.0</v>
      </c>
      <c r="AI15" s="1">
        <v>10988.0</v>
      </c>
      <c r="AJ15" s="1">
        <v>10998.0</v>
      </c>
      <c r="AK15" s="1">
        <v>11009.0</v>
      </c>
      <c r="AL15" s="1">
        <v>11019.0</v>
      </c>
      <c r="AM15" s="1">
        <v>11030.0</v>
      </c>
      <c r="AN15" s="1">
        <v>11040.0</v>
      </c>
      <c r="AO15" s="1">
        <v>11051.0</v>
      </c>
      <c r="AP15" s="1">
        <v>11062.0</v>
      </c>
      <c r="AQ15" s="1">
        <v>11072.0</v>
      </c>
      <c r="AR15" s="1">
        <v>11083.0</v>
      </c>
      <c r="AS15" s="1">
        <v>11093.0</v>
      </c>
      <c r="AT15" s="1">
        <v>11104.0</v>
      </c>
      <c r="AU15" s="1">
        <v>11115.0</v>
      </c>
      <c r="AV15" s="1">
        <v>11125.0</v>
      </c>
      <c r="AW15" s="1">
        <v>11136.0</v>
      </c>
      <c r="AX15" s="1">
        <v>11147.0</v>
      </c>
      <c r="AY15" s="1">
        <v>11157.0</v>
      </c>
      <c r="AZ15" s="1">
        <v>11168.0</v>
      </c>
      <c r="BA15" s="1">
        <v>11179.0</v>
      </c>
      <c r="BB15" s="1">
        <v>11189.0</v>
      </c>
      <c r="BC15" s="1">
        <v>11200.0</v>
      </c>
      <c r="BD15" s="1">
        <v>11211.0</v>
      </c>
      <c r="BE15" s="1">
        <v>11222.0</v>
      </c>
      <c r="BF15" s="1">
        <v>11232.0</v>
      </c>
      <c r="BG15" s="1">
        <v>11243.0</v>
      </c>
      <c r="BH15" s="1">
        <v>11254.0</v>
      </c>
      <c r="BI15" s="1">
        <v>11265.0</v>
      </c>
      <c r="BJ15" s="1">
        <v>11276.0</v>
      </c>
      <c r="BK15" s="1">
        <v>11286.0</v>
      </c>
      <c r="BL15" s="1">
        <v>11297.0</v>
      </c>
      <c r="BM15" s="1">
        <v>11308.0</v>
      </c>
      <c r="BN15" s="1">
        <v>11319.0</v>
      </c>
      <c r="BO15" s="1">
        <v>11330.0</v>
      </c>
      <c r="BP15" s="1">
        <v>11341.0</v>
      </c>
      <c r="BQ15" s="1">
        <v>11351.0</v>
      </c>
      <c r="BR15" s="1">
        <v>11362.0</v>
      </c>
      <c r="BS15" s="1">
        <v>11373.0</v>
      </c>
      <c r="BT15" s="1">
        <v>11384.0</v>
      </c>
      <c r="BU15" s="1">
        <v>11395.0</v>
      </c>
      <c r="BV15" s="1">
        <v>632407.0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25200.0</v>
      </c>
      <c r="R16" s="1">
        <v>25224.0</v>
      </c>
      <c r="S16" s="1">
        <v>25248.0</v>
      </c>
      <c r="T16" s="1">
        <v>25272.0</v>
      </c>
      <c r="U16" s="1">
        <v>25297.0</v>
      </c>
      <c r="V16" s="1">
        <v>25321.0</v>
      </c>
      <c r="W16" s="1">
        <v>25345.0</v>
      </c>
      <c r="X16" s="1">
        <v>25369.0</v>
      </c>
      <c r="Y16" s="1">
        <v>25394.0</v>
      </c>
      <c r="Z16" s="1">
        <v>25418.0</v>
      </c>
      <c r="AA16" s="1">
        <v>25442.0</v>
      </c>
      <c r="AB16" s="1">
        <v>25467.0</v>
      </c>
      <c r="AC16" s="1">
        <v>25491.0</v>
      </c>
      <c r="AD16" s="1">
        <v>25516.0</v>
      </c>
      <c r="AE16" s="1">
        <v>25540.0</v>
      </c>
      <c r="AF16" s="1">
        <v>25565.0</v>
      </c>
      <c r="AG16" s="1">
        <v>25589.0</v>
      </c>
      <c r="AH16" s="1">
        <v>25614.0</v>
      </c>
      <c r="AI16" s="1">
        <v>25638.0</v>
      </c>
      <c r="AJ16" s="1">
        <v>25663.0</v>
      </c>
      <c r="AK16" s="1">
        <v>25687.0</v>
      </c>
      <c r="AL16" s="1">
        <v>25712.0</v>
      </c>
      <c r="AM16" s="1">
        <v>25736.0</v>
      </c>
      <c r="AN16" s="1">
        <v>25761.0</v>
      </c>
      <c r="AO16" s="1">
        <v>25786.0</v>
      </c>
      <c r="AP16" s="1">
        <v>25811.0</v>
      </c>
      <c r="AQ16" s="1">
        <v>25835.0</v>
      </c>
      <c r="AR16" s="1">
        <v>25860.0</v>
      </c>
      <c r="AS16" s="1">
        <v>25885.0</v>
      </c>
      <c r="AT16" s="1">
        <v>25910.0</v>
      </c>
      <c r="AU16" s="1">
        <v>25934.0</v>
      </c>
      <c r="AV16" s="1">
        <v>25959.0</v>
      </c>
      <c r="AW16" s="1">
        <v>25984.0</v>
      </c>
      <c r="AX16" s="1">
        <v>26009.0</v>
      </c>
      <c r="AY16" s="1">
        <v>26034.0</v>
      </c>
      <c r="AZ16" s="1">
        <v>26059.0</v>
      </c>
      <c r="BA16" s="1">
        <v>26084.0</v>
      </c>
      <c r="BB16" s="1">
        <v>26109.0</v>
      </c>
      <c r="BC16" s="1">
        <v>26134.0</v>
      </c>
      <c r="BD16" s="1">
        <v>26159.0</v>
      </c>
      <c r="BE16" s="1">
        <v>26184.0</v>
      </c>
      <c r="BF16" s="1">
        <v>26209.0</v>
      </c>
      <c r="BG16" s="1">
        <v>26234.0</v>
      </c>
      <c r="BH16" s="1">
        <v>26259.0</v>
      </c>
      <c r="BI16" s="1">
        <v>26284.0</v>
      </c>
      <c r="BJ16" s="1">
        <v>26310.0</v>
      </c>
      <c r="BK16" s="1">
        <v>26335.0</v>
      </c>
      <c r="BL16" s="1">
        <v>26360.0</v>
      </c>
      <c r="BM16" s="1">
        <v>26385.0</v>
      </c>
      <c r="BN16" s="1">
        <v>26411.0</v>
      </c>
      <c r="BO16" s="1">
        <v>26436.0</v>
      </c>
      <c r="BP16" s="1">
        <v>26461.0</v>
      </c>
      <c r="BQ16" s="1">
        <v>26487.0</v>
      </c>
      <c r="BR16" s="1">
        <v>26512.0</v>
      </c>
      <c r="BS16" s="1">
        <v>26537.0</v>
      </c>
      <c r="BT16" s="1">
        <v>26563.0</v>
      </c>
      <c r="BU16" s="1">
        <v>26588.0</v>
      </c>
      <c r="BV16" s="1">
        <v>1475616.0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224</v>
      </c>
    </row>
    <row r="2">
      <c r="A2" s="1" t="s">
        <v>219</v>
      </c>
    </row>
    <row r="3">
      <c r="A3" s="1" t="s">
        <v>220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375000.0</v>
      </c>
      <c r="P6" s="1">
        <v>375359.0</v>
      </c>
      <c r="Q6" s="1">
        <v>375719.0</v>
      </c>
      <c r="R6" s="1">
        <v>376079.0</v>
      </c>
      <c r="S6" s="1">
        <v>376439.0</v>
      </c>
      <c r="T6" s="1">
        <v>376800.0</v>
      </c>
      <c r="U6" s="1">
        <v>377161.0</v>
      </c>
      <c r="V6" s="1">
        <v>377522.0</v>
      </c>
      <c r="W6" s="1">
        <v>377884.0</v>
      </c>
      <c r="X6" s="1">
        <v>378246.0</v>
      </c>
      <c r="Y6" s="1">
        <v>378608.0</v>
      </c>
      <c r="Z6" s="1">
        <v>378971.0</v>
      </c>
      <c r="AA6" s="1">
        <v>379334.0</v>
      </c>
      <c r="AB6" s="1">
        <v>379697.0</v>
      </c>
      <c r="AC6" s="1">
        <v>380061.0</v>
      </c>
      <c r="AD6" s="1">
        <v>380425.0</v>
      </c>
      <c r="AE6" s="1">
        <v>380789.0</v>
      </c>
      <c r="AF6" s="1">
        <v>381154.0</v>
      </c>
      <c r="AG6" s="1">
        <v>381519.0</v>
      </c>
      <c r="AH6" s="1">
        <v>381885.0</v>
      </c>
      <c r="AI6" s="1">
        <v>382251.0</v>
      </c>
      <c r="AJ6" s="1">
        <v>382617.0</v>
      </c>
      <c r="AK6" s="1">
        <v>382984.0</v>
      </c>
      <c r="AL6" s="1">
        <v>383350.0</v>
      </c>
      <c r="AM6" s="1">
        <v>383718.0</v>
      </c>
      <c r="AN6" s="1">
        <v>384085.0</v>
      </c>
      <c r="AO6" s="1">
        <v>384453.0</v>
      </c>
      <c r="AP6" s="1">
        <v>384822.0</v>
      </c>
      <c r="AQ6" s="1">
        <v>385190.0</v>
      </c>
      <c r="AR6" s="1">
        <v>385559.0</v>
      </c>
      <c r="AS6" s="1">
        <v>385929.0</v>
      </c>
      <c r="AT6" s="1">
        <v>386298.0</v>
      </c>
      <c r="AU6" s="1">
        <v>386668.0</v>
      </c>
      <c r="AV6" s="1">
        <v>387039.0</v>
      </c>
      <c r="AW6" s="1">
        <v>387410.0</v>
      </c>
      <c r="AX6" s="1">
        <v>387781.0</v>
      </c>
      <c r="AY6" s="1">
        <v>388152.0</v>
      </c>
      <c r="AZ6" s="1">
        <v>388524.0</v>
      </c>
      <c r="BA6" s="1">
        <v>388896.0</v>
      </c>
      <c r="BB6" s="1">
        <v>389269.0</v>
      </c>
      <c r="BC6" s="1">
        <v>389642.0</v>
      </c>
      <c r="BD6" s="1">
        <v>390015.0</v>
      </c>
      <c r="BE6" s="1">
        <v>390389.0</v>
      </c>
      <c r="BF6" s="1">
        <v>390763.0</v>
      </c>
      <c r="BG6" s="1">
        <v>391137.0</v>
      </c>
      <c r="BH6" s="1">
        <v>391512.0</v>
      </c>
      <c r="BI6" s="1">
        <v>391887.0</v>
      </c>
      <c r="BJ6" s="1">
        <v>392262.0</v>
      </c>
      <c r="BK6" s="1">
        <v>392638.0</v>
      </c>
      <c r="BL6" s="1">
        <v>393014.0</v>
      </c>
      <c r="BM6" s="1">
        <v>393391.0</v>
      </c>
      <c r="BN6" s="1">
        <v>393768.0</v>
      </c>
      <c r="BO6" s="1">
        <v>394145.0</v>
      </c>
      <c r="BP6" s="1">
        <v>394522.0</v>
      </c>
      <c r="BQ6" s="1">
        <v>394900.0</v>
      </c>
      <c r="BR6" s="1">
        <v>395279.0</v>
      </c>
      <c r="BS6" s="1">
        <v>395657.0</v>
      </c>
      <c r="BT6" s="1">
        <v>396036.0</v>
      </c>
      <c r="BU6" s="1">
        <v>396416.0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2250.0</v>
      </c>
      <c r="Q7" s="1">
        <v>2252.0</v>
      </c>
      <c r="R7" s="1">
        <v>2254.0</v>
      </c>
      <c r="S7" s="1">
        <v>2256.0</v>
      </c>
      <c r="T7" s="1">
        <v>2259.0</v>
      </c>
      <c r="U7" s="1">
        <v>2261.0</v>
      </c>
      <c r="V7" s="1">
        <v>2263.0</v>
      </c>
      <c r="W7" s="1">
        <v>2265.0</v>
      </c>
      <c r="X7" s="1">
        <v>2267.0</v>
      </c>
      <c r="Y7" s="1">
        <v>2269.0</v>
      </c>
      <c r="Z7" s="1">
        <v>2272.0</v>
      </c>
      <c r="AA7" s="1">
        <v>2274.0</v>
      </c>
      <c r="AB7" s="1">
        <v>2276.0</v>
      </c>
      <c r="AC7" s="1">
        <v>2278.0</v>
      </c>
      <c r="AD7" s="1">
        <v>2280.0</v>
      </c>
      <c r="AE7" s="1">
        <v>2283.0</v>
      </c>
      <c r="AF7" s="1">
        <v>2285.0</v>
      </c>
      <c r="AG7" s="1">
        <v>2287.0</v>
      </c>
      <c r="AH7" s="1">
        <v>2289.0</v>
      </c>
      <c r="AI7" s="1">
        <v>2291.0</v>
      </c>
      <c r="AJ7" s="1">
        <v>2294.0</v>
      </c>
      <c r="AK7" s="1">
        <v>2296.0</v>
      </c>
      <c r="AL7" s="1">
        <v>2298.0</v>
      </c>
      <c r="AM7" s="1">
        <v>2300.0</v>
      </c>
      <c r="AN7" s="1">
        <v>2302.0</v>
      </c>
      <c r="AO7" s="1">
        <v>2305.0</v>
      </c>
      <c r="AP7" s="1">
        <v>2307.0</v>
      </c>
      <c r="AQ7" s="1">
        <v>2309.0</v>
      </c>
      <c r="AR7" s="1">
        <v>2311.0</v>
      </c>
      <c r="AS7" s="1">
        <v>2313.0</v>
      </c>
      <c r="AT7" s="1">
        <v>2316.0</v>
      </c>
      <c r="AU7" s="1">
        <v>2318.0</v>
      </c>
      <c r="AV7" s="1">
        <v>2320.0</v>
      </c>
      <c r="AW7" s="1">
        <v>2322.0</v>
      </c>
      <c r="AX7" s="1">
        <v>2324.0</v>
      </c>
      <c r="AY7" s="1">
        <v>2327.0</v>
      </c>
      <c r="AZ7" s="1">
        <v>2329.0</v>
      </c>
      <c r="BA7" s="1">
        <v>2331.0</v>
      </c>
      <c r="BB7" s="1">
        <v>2333.0</v>
      </c>
      <c r="BC7" s="1">
        <v>2336.0</v>
      </c>
      <c r="BD7" s="1">
        <v>2338.0</v>
      </c>
      <c r="BE7" s="1">
        <v>2340.0</v>
      </c>
      <c r="BF7" s="1">
        <v>2342.0</v>
      </c>
      <c r="BG7" s="1">
        <v>2345.0</v>
      </c>
      <c r="BH7" s="1">
        <v>2347.0</v>
      </c>
      <c r="BI7" s="1">
        <v>2349.0</v>
      </c>
      <c r="BJ7" s="1">
        <v>2351.0</v>
      </c>
      <c r="BK7" s="1">
        <v>2354.0</v>
      </c>
      <c r="BL7" s="1">
        <v>2356.0</v>
      </c>
      <c r="BM7" s="1">
        <v>2358.0</v>
      </c>
      <c r="BN7" s="1">
        <v>2360.0</v>
      </c>
      <c r="BO7" s="1">
        <v>2363.0</v>
      </c>
      <c r="BP7" s="1">
        <v>2365.0</v>
      </c>
      <c r="BQ7" s="1">
        <v>2367.0</v>
      </c>
      <c r="BR7" s="1">
        <v>2369.0</v>
      </c>
      <c r="BS7" s="1">
        <v>2372.0</v>
      </c>
      <c r="BT7" s="1">
        <v>2374.0</v>
      </c>
      <c r="BU7" s="1">
        <v>2376.0</v>
      </c>
      <c r="BV7" s="1">
        <v>134128.0</v>
      </c>
    </row>
    <row r="8">
      <c r="A8" s="1" t="s">
        <v>145</v>
      </c>
      <c r="B8" s="1">
        <v>1.3</v>
      </c>
      <c r="C8" s="1">
        <v>1.3</v>
      </c>
      <c r="D8" s="1">
        <v>1.3</v>
      </c>
      <c r="E8" s="1">
        <v>1.3</v>
      </c>
      <c r="F8" s="1">
        <v>1.3</v>
      </c>
      <c r="G8" s="1">
        <v>1.3</v>
      </c>
      <c r="H8" s="1">
        <v>1.3</v>
      </c>
      <c r="I8" s="1">
        <v>1.3</v>
      </c>
      <c r="J8" s="1">
        <v>1.3</v>
      </c>
      <c r="K8" s="1">
        <v>1.3</v>
      </c>
      <c r="L8" s="1">
        <v>1.3</v>
      </c>
      <c r="M8" s="1">
        <v>1.3</v>
      </c>
      <c r="N8" s="1">
        <v>1.3</v>
      </c>
      <c r="O8" s="1">
        <v>1.3</v>
      </c>
      <c r="P8" s="1">
        <v>1.3</v>
      </c>
      <c r="Q8" s="1">
        <v>1.3</v>
      </c>
      <c r="R8" s="1">
        <v>1.3</v>
      </c>
      <c r="S8" s="1">
        <v>1.3</v>
      </c>
      <c r="T8" s="1">
        <v>1.3</v>
      </c>
      <c r="U8" s="1">
        <v>1.3</v>
      </c>
      <c r="V8" s="1">
        <v>1.3</v>
      </c>
      <c r="W8" s="1">
        <v>1.3</v>
      </c>
      <c r="X8" s="1">
        <v>1.3</v>
      </c>
      <c r="Y8" s="1">
        <v>1.3</v>
      </c>
      <c r="Z8" s="1">
        <v>1.3</v>
      </c>
      <c r="AA8" s="1">
        <v>1.3</v>
      </c>
      <c r="AB8" s="1">
        <v>1.3</v>
      </c>
      <c r="AC8" s="1">
        <v>1.3</v>
      </c>
      <c r="AD8" s="1">
        <v>1.3</v>
      </c>
      <c r="AE8" s="1">
        <v>1.3</v>
      </c>
      <c r="AF8" s="1">
        <v>1.3</v>
      </c>
      <c r="AG8" s="1">
        <v>1.3</v>
      </c>
      <c r="AH8" s="1">
        <v>1.3</v>
      </c>
      <c r="AI8" s="1">
        <v>1.3</v>
      </c>
      <c r="AJ8" s="1">
        <v>1.3</v>
      </c>
      <c r="AK8" s="1">
        <v>1.3</v>
      </c>
      <c r="AL8" s="1">
        <v>1.3</v>
      </c>
      <c r="AM8" s="1">
        <v>1.3</v>
      </c>
      <c r="AN8" s="1">
        <v>1.3</v>
      </c>
      <c r="AO8" s="1">
        <v>1.3</v>
      </c>
      <c r="AP8" s="1">
        <v>1.3</v>
      </c>
      <c r="AQ8" s="1">
        <v>1.3</v>
      </c>
      <c r="AR8" s="1">
        <v>1.3</v>
      </c>
      <c r="AS8" s="1">
        <v>1.3</v>
      </c>
      <c r="AT8" s="1">
        <v>1.3</v>
      </c>
      <c r="AU8" s="1">
        <v>1.3</v>
      </c>
      <c r="AV8" s="1">
        <v>1.3</v>
      </c>
      <c r="AW8" s="1">
        <v>1.3</v>
      </c>
      <c r="AX8" s="1">
        <v>1.3</v>
      </c>
      <c r="AY8" s="1">
        <v>1.3</v>
      </c>
      <c r="AZ8" s="1">
        <v>1.3</v>
      </c>
      <c r="BA8" s="1">
        <v>1.3</v>
      </c>
      <c r="BB8" s="1">
        <v>1.3</v>
      </c>
      <c r="BC8" s="1">
        <v>1.3</v>
      </c>
      <c r="BD8" s="1">
        <v>1.3</v>
      </c>
      <c r="BE8" s="1">
        <v>1.3</v>
      </c>
      <c r="BF8" s="1">
        <v>1.3</v>
      </c>
      <c r="BG8" s="1">
        <v>1.3</v>
      </c>
      <c r="BH8" s="1">
        <v>1.3</v>
      </c>
      <c r="BI8" s="1">
        <v>1.3</v>
      </c>
      <c r="BJ8" s="1">
        <v>1.3</v>
      </c>
      <c r="BK8" s="1">
        <v>1.3</v>
      </c>
      <c r="BL8" s="1">
        <v>1.3</v>
      </c>
      <c r="BM8" s="1">
        <v>1.3</v>
      </c>
      <c r="BN8" s="1">
        <v>1.3</v>
      </c>
      <c r="BO8" s="1">
        <v>1.3</v>
      </c>
      <c r="BP8" s="1">
        <v>1.3</v>
      </c>
      <c r="BQ8" s="1">
        <v>1.3</v>
      </c>
      <c r="BR8" s="1">
        <v>1.3</v>
      </c>
      <c r="BS8" s="1">
        <v>1.3</v>
      </c>
      <c r="BT8" s="1">
        <v>1.3</v>
      </c>
      <c r="BU8" s="1">
        <v>1.3</v>
      </c>
    </row>
    <row r="9">
      <c r="A9" s="1" t="s">
        <v>146</v>
      </c>
      <c r="B9" s="1">
        <v>70.0</v>
      </c>
      <c r="C9" s="1">
        <v>70.0</v>
      </c>
      <c r="D9" s="1">
        <v>70.0</v>
      </c>
      <c r="E9" s="1">
        <v>70.0</v>
      </c>
      <c r="F9" s="1">
        <v>70.0</v>
      </c>
      <c r="G9" s="1">
        <v>70.0</v>
      </c>
      <c r="H9" s="1">
        <v>70.0</v>
      </c>
      <c r="I9" s="1">
        <v>70.0</v>
      </c>
      <c r="J9" s="1">
        <v>70.0</v>
      </c>
      <c r="K9" s="1">
        <v>70.0</v>
      </c>
      <c r="L9" s="1">
        <v>70.0</v>
      </c>
      <c r="M9" s="1">
        <v>70.0</v>
      </c>
      <c r="N9" s="1">
        <v>70.0</v>
      </c>
      <c r="O9" s="1">
        <v>70.0</v>
      </c>
      <c r="P9" s="1">
        <v>70.0</v>
      </c>
      <c r="Q9" s="1">
        <v>70.0</v>
      </c>
      <c r="R9" s="1">
        <v>70.0</v>
      </c>
      <c r="S9" s="1">
        <v>70.0</v>
      </c>
      <c r="T9" s="1">
        <v>70.0</v>
      </c>
      <c r="U9" s="1">
        <v>70.0</v>
      </c>
      <c r="V9" s="1">
        <v>70.0</v>
      </c>
      <c r="W9" s="1">
        <v>70.0</v>
      </c>
      <c r="X9" s="1">
        <v>70.0</v>
      </c>
      <c r="Y9" s="1">
        <v>70.0</v>
      </c>
      <c r="Z9" s="1">
        <v>70.0</v>
      </c>
      <c r="AA9" s="1">
        <v>70.0</v>
      </c>
      <c r="AB9" s="1">
        <v>70.0</v>
      </c>
      <c r="AC9" s="1">
        <v>70.0</v>
      </c>
      <c r="AD9" s="1">
        <v>70.0</v>
      </c>
      <c r="AE9" s="1">
        <v>70.0</v>
      </c>
      <c r="AF9" s="1">
        <v>70.0</v>
      </c>
      <c r="AG9" s="1">
        <v>70.0</v>
      </c>
      <c r="AH9" s="1">
        <v>70.0</v>
      </c>
      <c r="AI9" s="1">
        <v>70.0</v>
      </c>
      <c r="AJ9" s="1">
        <v>70.0</v>
      </c>
      <c r="AK9" s="1">
        <v>70.0</v>
      </c>
      <c r="AL9" s="1">
        <v>70.0</v>
      </c>
      <c r="AM9" s="1">
        <v>70.0</v>
      </c>
      <c r="AN9" s="1">
        <v>70.0</v>
      </c>
      <c r="AO9" s="1">
        <v>70.0</v>
      </c>
      <c r="AP9" s="1">
        <v>70.0</v>
      </c>
      <c r="AQ9" s="1">
        <v>70.0</v>
      </c>
      <c r="AR9" s="1">
        <v>70.0</v>
      </c>
      <c r="AS9" s="1">
        <v>70.0</v>
      </c>
      <c r="AT9" s="1">
        <v>70.0</v>
      </c>
      <c r="AU9" s="1">
        <v>70.0</v>
      </c>
      <c r="AV9" s="1">
        <v>70.0</v>
      </c>
      <c r="AW9" s="1">
        <v>70.0</v>
      </c>
      <c r="AX9" s="1">
        <v>70.0</v>
      </c>
      <c r="AY9" s="1">
        <v>70.0</v>
      </c>
      <c r="AZ9" s="1">
        <v>70.0</v>
      </c>
      <c r="BA9" s="1">
        <v>70.0</v>
      </c>
      <c r="BB9" s="1">
        <v>70.0</v>
      </c>
      <c r="BC9" s="1">
        <v>70.0</v>
      </c>
      <c r="BD9" s="1">
        <v>70.0</v>
      </c>
      <c r="BE9" s="1">
        <v>70.0</v>
      </c>
      <c r="BF9" s="1">
        <v>70.0</v>
      </c>
      <c r="BG9" s="1">
        <v>70.0</v>
      </c>
      <c r="BH9" s="1">
        <v>70.0</v>
      </c>
      <c r="BI9" s="1">
        <v>70.0</v>
      </c>
      <c r="BJ9" s="1">
        <v>70.0</v>
      </c>
      <c r="BK9" s="1">
        <v>70.0</v>
      </c>
      <c r="BL9" s="1">
        <v>70.0</v>
      </c>
      <c r="BM9" s="1">
        <v>70.0</v>
      </c>
      <c r="BN9" s="1">
        <v>70.0</v>
      </c>
      <c r="BO9" s="1">
        <v>70.0</v>
      </c>
      <c r="BP9" s="1">
        <v>70.0</v>
      </c>
      <c r="BQ9" s="1">
        <v>70.0</v>
      </c>
      <c r="BR9" s="1">
        <v>70.0</v>
      </c>
      <c r="BS9" s="1">
        <v>70.0</v>
      </c>
      <c r="BT9" s="1">
        <v>70.0</v>
      </c>
      <c r="BU9" s="1">
        <v>70.0</v>
      </c>
      <c r="BV9" s="1" t="s">
        <v>181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4875.0</v>
      </c>
      <c r="P11" s="1">
        <v>4880.0</v>
      </c>
      <c r="Q11" s="1">
        <v>4884.0</v>
      </c>
      <c r="R11" s="1">
        <v>4889.0</v>
      </c>
      <c r="S11" s="1">
        <v>4894.0</v>
      </c>
      <c r="T11" s="1">
        <v>4898.0</v>
      </c>
      <c r="U11" s="1">
        <v>4903.0</v>
      </c>
      <c r="V11" s="1">
        <v>4908.0</v>
      </c>
      <c r="W11" s="1">
        <v>4912.0</v>
      </c>
      <c r="X11" s="1">
        <v>4917.0</v>
      </c>
      <c r="Y11" s="1">
        <v>4922.0</v>
      </c>
      <c r="Z11" s="1">
        <v>4927.0</v>
      </c>
      <c r="AA11" s="1">
        <v>4931.0</v>
      </c>
      <c r="AB11" s="1">
        <v>4936.0</v>
      </c>
      <c r="AC11" s="1">
        <v>4941.0</v>
      </c>
      <c r="AD11" s="1">
        <v>4946.0</v>
      </c>
      <c r="AE11" s="1">
        <v>4950.0</v>
      </c>
      <c r="AF11" s="1">
        <v>4955.0</v>
      </c>
      <c r="AG11" s="1">
        <v>4960.0</v>
      </c>
      <c r="AH11" s="1">
        <v>4965.0</v>
      </c>
      <c r="AI11" s="1">
        <v>4969.0</v>
      </c>
      <c r="AJ11" s="1">
        <v>4974.0</v>
      </c>
      <c r="AK11" s="1">
        <v>4979.0</v>
      </c>
      <c r="AL11" s="1">
        <v>4984.0</v>
      </c>
      <c r="AM11" s="1">
        <v>4988.0</v>
      </c>
      <c r="AN11" s="1">
        <v>4993.0</v>
      </c>
      <c r="AO11" s="1">
        <v>4998.0</v>
      </c>
      <c r="AP11" s="1">
        <v>5003.0</v>
      </c>
      <c r="AQ11" s="1">
        <v>5007.0</v>
      </c>
      <c r="AR11" s="1">
        <v>5012.0</v>
      </c>
      <c r="AS11" s="1">
        <v>5017.0</v>
      </c>
      <c r="AT11" s="1">
        <v>5022.0</v>
      </c>
      <c r="AU11" s="1">
        <v>5027.0</v>
      </c>
      <c r="AV11" s="1">
        <v>5032.0</v>
      </c>
      <c r="AW11" s="1">
        <v>5036.0</v>
      </c>
      <c r="AX11" s="1">
        <v>5041.0</v>
      </c>
      <c r="AY11" s="1">
        <v>5046.0</v>
      </c>
      <c r="AZ11" s="1">
        <v>5051.0</v>
      </c>
      <c r="BA11" s="1">
        <v>5056.0</v>
      </c>
      <c r="BB11" s="1">
        <v>5060.0</v>
      </c>
      <c r="BC11" s="1">
        <v>5065.0</v>
      </c>
      <c r="BD11" s="1">
        <v>5070.0</v>
      </c>
      <c r="BE11" s="1">
        <v>5075.0</v>
      </c>
      <c r="BF11" s="1">
        <v>5080.0</v>
      </c>
      <c r="BG11" s="1">
        <v>5085.0</v>
      </c>
      <c r="BH11" s="1">
        <v>5090.0</v>
      </c>
      <c r="BI11" s="1">
        <v>5095.0</v>
      </c>
      <c r="BJ11" s="1">
        <v>5099.0</v>
      </c>
      <c r="BK11" s="1">
        <v>5104.0</v>
      </c>
      <c r="BL11" s="1">
        <v>5109.0</v>
      </c>
      <c r="BM11" s="1">
        <v>5114.0</v>
      </c>
      <c r="BN11" s="1">
        <v>5119.0</v>
      </c>
      <c r="BO11" s="1">
        <v>5124.0</v>
      </c>
      <c r="BP11" s="1">
        <v>5129.0</v>
      </c>
      <c r="BQ11" s="1">
        <v>5134.0</v>
      </c>
      <c r="BR11" s="1">
        <v>5139.0</v>
      </c>
      <c r="BS11" s="1">
        <v>5144.0</v>
      </c>
      <c r="BT11" s="1">
        <v>5148.0</v>
      </c>
      <c r="BU11" s="1">
        <v>5153.0</v>
      </c>
      <c r="BV11" s="1">
        <v>295763.0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341250.0</v>
      </c>
      <c r="P12" s="1">
        <v>341577.0</v>
      </c>
      <c r="Q12" s="1">
        <v>341904.0</v>
      </c>
      <c r="R12" s="1">
        <v>342232.0</v>
      </c>
      <c r="S12" s="1">
        <v>342560.0</v>
      </c>
      <c r="T12" s="1">
        <v>342888.0</v>
      </c>
      <c r="U12" s="1">
        <v>343216.0</v>
      </c>
      <c r="V12" s="1">
        <v>343545.0</v>
      </c>
      <c r="W12" s="1">
        <v>343874.0</v>
      </c>
      <c r="X12" s="1">
        <v>344204.0</v>
      </c>
      <c r="Y12" s="1">
        <v>344533.0</v>
      </c>
      <c r="Z12" s="1">
        <v>344863.0</v>
      </c>
      <c r="AA12" s="1">
        <v>345194.0</v>
      </c>
      <c r="AB12" s="1">
        <v>345524.0</v>
      </c>
      <c r="AC12" s="1">
        <v>345855.0</v>
      </c>
      <c r="AD12" s="1">
        <v>346187.0</v>
      </c>
      <c r="AE12" s="1">
        <v>346518.0</v>
      </c>
      <c r="AF12" s="1">
        <v>346850.0</v>
      </c>
      <c r="AG12" s="1">
        <v>347183.0</v>
      </c>
      <c r="AH12" s="1">
        <v>347515.0</v>
      </c>
      <c r="AI12" s="1">
        <v>347848.0</v>
      </c>
      <c r="AJ12" s="1">
        <v>348181.0</v>
      </c>
      <c r="AK12" s="1">
        <v>348515.0</v>
      </c>
      <c r="AL12" s="1">
        <v>348849.0</v>
      </c>
      <c r="AM12" s="1">
        <v>349183.0</v>
      </c>
      <c r="AN12" s="1">
        <v>349518.0</v>
      </c>
      <c r="AO12" s="1">
        <v>349852.0</v>
      </c>
      <c r="AP12" s="1">
        <v>350188.0</v>
      </c>
      <c r="AQ12" s="1">
        <v>350523.0</v>
      </c>
      <c r="AR12" s="1">
        <v>350859.0</v>
      </c>
      <c r="AS12" s="1">
        <v>351195.0</v>
      </c>
      <c r="AT12" s="1">
        <v>351531.0</v>
      </c>
      <c r="AU12" s="1">
        <v>351868.0</v>
      </c>
      <c r="AV12" s="1">
        <v>352205.0</v>
      </c>
      <c r="AW12" s="1">
        <v>352543.0</v>
      </c>
      <c r="AX12" s="1">
        <v>352880.0</v>
      </c>
      <c r="AY12" s="1">
        <v>353218.0</v>
      </c>
      <c r="AZ12" s="1">
        <v>353557.0</v>
      </c>
      <c r="BA12" s="1">
        <v>353896.0</v>
      </c>
      <c r="BB12" s="1">
        <v>354235.0</v>
      </c>
      <c r="BC12" s="1">
        <v>354574.0</v>
      </c>
      <c r="BD12" s="1">
        <v>354914.0</v>
      </c>
      <c r="BE12" s="1">
        <v>355254.0</v>
      </c>
      <c r="BF12" s="1">
        <v>355594.0</v>
      </c>
      <c r="BG12" s="1">
        <v>355935.0</v>
      </c>
      <c r="BH12" s="1">
        <v>356276.0</v>
      </c>
      <c r="BI12" s="1">
        <v>356617.0</v>
      </c>
      <c r="BJ12" s="1">
        <v>356959.0</v>
      </c>
      <c r="BK12" s="1">
        <v>357301.0</v>
      </c>
      <c r="BL12" s="1">
        <v>357643.0</v>
      </c>
      <c r="BM12" s="1">
        <v>357985.0</v>
      </c>
      <c r="BN12" s="1">
        <v>358328.0</v>
      </c>
      <c r="BO12" s="1">
        <v>358672.0</v>
      </c>
      <c r="BP12" s="1">
        <v>359015.0</v>
      </c>
      <c r="BQ12" s="1">
        <v>359359.0</v>
      </c>
      <c r="BR12" s="1">
        <v>359704.0</v>
      </c>
      <c r="BS12" s="1">
        <v>360048.0</v>
      </c>
      <c r="BT12" s="1">
        <v>360393.0</v>
      </c>
      <c r="BU12" s="1">
        <v>360738.0</v>
      </c>
      <c r="BV12" s="1">
        <v>2.0703425E7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102375.0</v>
      </c>
      <c r="P13" s="1">
        <v>102473.0</v>
      </c>
      <c r="Q13" s="1">
        <v>102571.0</v>
      </c>
      <c r="R13" s="1">
        <v>102670.0</v>
      </c>
      <c r="S13" s="1">
        <v>102768.0</v>
      </c>
      <c r="T13" s="1">
        <v>102866.0</v>
      </c>
      <c r="U13" s="1">
        <v>102965.0</v>
      </c>
      <c r="V13" s="1">
        <v>103064.0</v>
      </c>
      <c r="W13" s="1">
        <v>103162.0</v>
      </c>
      <c r="X13" s="1">
        <v>103261.0</v>
      </c>
      <c r="Y13" s="1">
        <v>103360.0</v>
      </c>
      <c r="Z13" s="1">
        <v>103459.0</v>
      </c>
      <c r="AA13" s="1">
        <v>103558.0</v>
      </c>
      <c r="AB13" s="1">
        <v>103657.0</v>
      </c>
      <c r="AC13" s="1">
        <v>103757.0</v>
      </c>
      <c r="AD13" s="1">
        <v>103856.0</v>
      </c>
      <c r="AE13" s="1">
        <v>103956.0</v>
      </c>
      <c r="AF13" s="1">
        <v>104055.0</v>
      </c>
      <c r="AG13" s="1">
        <v>104155.0</v>
      </c>
      <c r="AH13" s="1">
        <v>104255.0</v>
      </c>
      <c r="AI13" s="1">
        <v>104354.0</v>
      </c>
      <c r="AJ13" s="1">
        <v>104454.0</v>
      </c>
      <c r="AK13" s="1">
        <v>104554.0</v>
      </c>
      <c r="AL13" s="1">
        <v>104655.0</v>
      </c>
      <c r="AM13" s="1">
        <v>104755.0</v>
      </c>
      <c r="AN13" s="1">
        <v>104855.0</v>
      </c>
      <c r="AO13" s="1">
        <v>104956.0</v>
      </c>
      <c r="AP13" s="1">
        <v>105056.0</v>
      </c>
      <c r="AQ13" s="1">
        <v>105157.0</v>
      </c>
      <c r="AR13" s="1">
        <v>105258.0</v>
      </c>
      <c r="AS13" s="1">
        <v>105358.0</v>
      </c>
      <c r="AT13" s="1">
        <v>105459.0</v>
      </c>
      <c r="AU13" s="1">
        <v>105560.0</v>
      </c>
      <c r="AV13" s="1">
        <v>105662.0</v>
      </c>
      <c r="AW13" s="1">
        <v>105763.0</v>
      </c>
      <c r="AX13" s="1">
        <v>105864.0</v>
      </c>
      <c r="AY13" s="1">
        <v>105966.0</v>
      </c>
      <c r="AZ13" s="1">
        <v>106067.0</v>
      </c>
      <c r="BA13" s="1">
        <v>106169.0</v>
      </c>
      <c r="BB13" s="1">
        <v>106270.0</v>
      </c>
      <c r="BC13" s="1">
        <v>106372.0</v>
      </c>
      <c r="BD13" s="1">
        <v>106474.0</v>
      </c>
      <c r="BE13" s="1">
        <v>106576.0</v>
      </c>
      <c r="BF13" s="1">
        <v>106678.0</v>
      </c>
      <c r="BG13" s="1">
        <v>106780.0</v>
      </c>
      <c r="BH13" s="1">
        <v>106883.0</v>
      </c>
      <c r="BI13" s="1">
        <v>106985.0</v>
      </c>
      <c r="BJ13" s="1">
        <v>107088.0</v>
      </c>
      <c r="BK13" s="1">
        <v>107190.0</v>
      </c>
      <c r="BL13" s="1">
        <v>107293.0</v>
      </c>
      <c r="BM13" s="1">
        <v>107396.0</v>
      </c>
      <c r="BN13" s="1">
        <v>107499.0</v>
      </c>
      <c r="BO13" s="1">
        <v>107602.0</v>
      </c>
      <c r="BP13" s="1">
        <v>107705.0</v>
      </c>
      <c r="BQ13" s="1">
        <v>107808.0</v>
      </c>
      <c r="BR13" s="1">
        <v>107911.0</v>
      </c>
      <c r="BS13" s="1">
        <v>108014.0</v>
      </c>
      <c r="BT13" s="1">
        <v>108118.0</v>
      </c>
      <c r="BU13" s="1">
        <v>108221.0</v>
      </c>
      <c r="BV13" s="1">
        <v>6211028.0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2000.0</v>
      </c>
      <c r="P14" s="1">
        <v>2000.0</v>
      </c>
      <c r="Q14" s="1">
        <v>2000.0</v>
      </c>
      <c r="R14" s="1">
        <v>2000.0</v>
      </c>
      <c r="S14" s="1">
        <v>2000.0</v>
      </c>
      <c r="T14" s="1">
        <v>2000.0</v>
      </c>
      <c r="U14" s="1">
        <v>2000.0</v>
      </c>
      <c r="V14" s="1">
        <v>2000.0</v>
      </c>
      <c r="W14" s="1">
        <v>2000.0</v>
      </c>
      <c r="X14" s="1">
        <v>2000.0</v>
      </c>
      <c r="Y14" s="1">
        <v>2000.0</v>
      </c>
      <c r="Z14" s="1">
        <v>2000.0</v>
      </c>
      <c r="AA14" s="1">
        <v>2000.0</v>
      </c>
      <c r="AB14" s="1">
        <v>2000.0</v>
      </c>
      <c r="AC14" s="1">
        <v>2000.0</v>
      </c>
      <c r="AD14" s="1">
        <v>2000.0</v>
      </c>
      <c r="AE14" s="1">
        <v>2000.0</v>
      </c>
      <c r="AF14" s="1">
        <v>2000.0</v>
      </c>
      <c r="AG14" s="1">
        <v>2000.0</v>
      </c>
      <c r="AH14" s="1">
        <v>2000.0</v>
      </c>
      <c r="AI14" s="1">
        <v>2000.0</v>
      </c>
      <c r="AJ14" s="1">
        <v>2000.0</v>
      </c>
      <c r="AK14" s="1">
        <v>2000.0</v>
      </c>
      <c r="AL14" s="1">
        <v>2000.0</v>
      </c>
      <c r="AM14" s="1">
        <v>2000.0</v>
      </c>
      <c r="AN14" s="1">
        <v>2000.0</v>
      </c>
      <c r="AO14" s="1">
        <v>2000.0</v>
      </c>
      <c r="AP14" s="1">
        <v>2000.0</v>
      </c>
      <c r="AQ14" s="1">
        <v>2000.0</v>
      </c>
      <c r="AR14" s="1">
        <v>2000.0</v>
      </c>
      <c r="AS14" s="1">
        <v>2000.0</v>
      </c>
      <c r="AT14" s="1">
        <v>2000.0</v>
      </c>
      <c r="AU14" s="1">
        <v>2000.0</v>
      </c>
      <c r="AV14" s="1">
        <v>2000.0</v>
      </c>
      <c r="AW14" s="1">
        <v>2000.0</v>
      </c>
      <c r="AX14" s="1">
        <v>2000.0</v>
      </c>
      <c r="AY14" s="1">
        <v>2000.0</v>
      </c>
      <c r="AZ14" s="1">
        <v>2000.0</v>
      </c>
      <c r="BA14" s="1">
        <v>2000.0</v>
      </c>
      <c r="BB14" s="1">
        <v>2000.0</v>
      </c>
      <c r="BC14" s="1">
        <v>2000.0</v>
      </c>
      <c r="BD14" s="1">
        <v>2000.0</v>
      </c>
      <c r="BE14" s="1">
        <v>2000.0</v>
      </c>
      <c r="BF14" s="1">
        <v>2000.0</v>
      </c>
      <c r="BG14" s="1">
        <v>2000.0</v>
      </c>
      <c r="BH14" s="1">
        <v>2000.0</v>
      </c>
      <c r="BI14" s="1">
        <v>2000.0</v>
      </c>
      <c r="BJ14" s="1">
        <v>2000.0</v>
      </c>
      <c r="BK14" s="1">
        <v>2000.0</v>
      </c>
      <c r="BL14" s="1">
        <v>2000.0</v>
      </c>
      <c r="BM14" s="1">
        <v>2000.0</v>
      </c>
      <c r="BN14" s="1">
        <v>2000.0</v>
      </c>
      <c r="BO14" s="1">
        <v>2000.0</v>
      </c>
      <c r="BP14" s="1">
        <v>2000.0</v>
      </c>
      <c r="BQ14" s="1">
        <v>2000.0</v>
      </c>
      <c r="BR14" s="1">
        <v>2000.0</v>
      </c>
      <c r="BS14" s="1">
        <v>2000.0</v>
      </c>
      <c r="BT14" s="1">
        <v>2000.0</v>
      </c>
      <c r="BU14" s="1">
        <v>2000.0</v>
      </c>
      <c r="BV14" s="1">
        <v>118000.0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104375.0</v>
      </c>
      <c r="P15" s="1">
        <v>104473.0</v>
      </c>
      <c r="Q15" s="1">
        <v>104571.0</v>
      </c>
      <c r="R15" s="1">
        <v>104670.0</v>
      </c>
      <c r="S15" s="1">
        <v>104768.0</v>
      </c>
      <c r="T15" s="1">
        <v>104866.0</v>
      </c>
      <c r="U15" s="1">
        <v>104965.0</v>
      </c>
      <c r="V15" s="1">
        <v>105064.0</v>
      </c>
      <c r="W15" s="1">
        <v>105162.0</v>
      </c>
      <c r="X15" s="1">
        <v>105261.0</v>
      </c>
      <c r="Y15" s="1">
        <v>105360.0</v>
      </c>
      <c r="Z15" s="1">
        <v>105459.0</v>
      </c>
      <c r="AA15" s="1">
        <v>105558.0</v>
      </c>
      <c r="AB15" s="1">
        <v>105657.0</v>
      </c>
      <c r="AC15" s="1">
        <v>105757.0</v>
      </c>
      <c r="AD15" s="1">
        <v>105856.0</v>
      </c>
      <c r="AE15" s="1">
        <v>105956.0</v>
      </c>
      <c r="AF15" s="1">
        <v>106055.0</v>
      </c>
      <c r="AG15" s="1">
        <v>106155.0</v>
      </c>
      <c r="AH15" s="1">
        <v>106255.0</v>
      </c>
      <c r="AI15" s="1">
        <v>106354.0</v>
      </c>
      <c r="AJ15" s="1">
        <v>106454.0</v>
      </c>
      <c r="AK15" s="1">
        <v>106554.0</v>
      </c>
      <c r="AL15" s="1">
        <v>106655.0</v>
      </c>
      <c r="AM15" s="1">
        <v>106755.0</v>
      </c>
      <c r="AN15" s="1">
        <v>106855.0</v>
      </c>
      <c r="AO15" s="1">
        <v>106956.0</v>
      </c>
      <c r="AP15" s="1">
        <v>107056.0</v>
      </c>
      <c r="AQ15" s="1">
        <v>107157.0</v>
      </c>
      <c r="AR15" s="1">
        <v>107258.0</v>
      </c>
      <c r="AS15" s="1">
        <v>107358.0</v>
      </c>
      <c r="AT15" s="1">
        <v>107459.0</v>
      </c>
      <c r="AU15" s="1">
        <v>107560.0</v>
      </c>
      <c r="AV15" s="1">
        <v>107662.0</v>
      </c>
      <c r="AW15" s="1">
        <v>107763.0</v>
      </c>
      <c r="AX15" s="1">
        <v>107864.0</v>
      </c>
      <c r="AY15" s="1">
        <v>107966.0</v>
      </c>
      <c r="AZ15" s="1">
        <v>108067.0</v>
      </c>
      <c r="BA15" s="1">
        <v>108169.0</v>
      </c>
      <c r="BB15" s="1">
        <v>108270.0</v>
      </c>
      <c r="BC15" s="1">
        <v>108372.0</v>
      </c>
      <c r="BD15" s="1">
        <v>108474.0</v>
      </c>
      <c r="BE15" s="1">
        <v>108576.0</v>
      </c>
      <c r="BF15" s="1">
        <v>108678.0</v>
      </c>
      <c r="BG15" s="1">
        <v>108780.0</v>
      </c>
      <c r="BH15" s="1">
        <v>108883.0</v>
      </c>
      <c r="BI15" s="1">
        <v>108985.0</v>
      </c>
      <c r="BJ15" s="1">
        <v>109088.0</v>
      </c>
      <c r="BK15" s="1">
        <v>109190.0</v>
      </c>
      <c r="BL15" s="1">
        <v>109293.0</v>
      </c>
      <c r="BM15" s="1">
        <v>109396.0</v>
      </c>
      <c r="BN15" s="1">
        <v>109499.0</v>
      </c>
      <c r="BO15" s="1">
        <v>109602.0</v>
      </c>
      <c r="BP15" s="1">
        <v>109705.0</v>
      </c>
      <c r="BQ15" s="1">
        <v>109808.0</v>
      </c>
      <c r="BR15" s="1">
        <v>109911.0</v>
      </c>
      <c r="BS15" s="1">
        <v>110014.0</v>
      </c>
      <c r="BT15" s="1">
        <v>110118.0</v>
      </c>
      <c r="BU15" s="1">
        <v>110221.0</v>
      </c>
      <c r="BV15" s="1">
        <v>6329028.0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238875.0</v>
      </c>
      <c r="P16" s="1">
        <v>239104.0</v>
      </c>
      <c r="Q16" s="1">
        <v>239333.0</v>
      </c>
      <c r="R16" s="1">
        <v>239562.0</v>
      </c>
      <c r="S16" s="1">
        <v>239792.0</v>
      </c>
      <c r="T16" s="1">
        <v>240021.0</v>
      </c>
      <c r="U16" s="1">
        <v>240251.0</v>
      </c>
      <c r="V16" s="1">
        <v>240482.0</v>
      </c>
      <c r="W16" s="1">
        <v>240712.0</v>
      </c>
      <c r="X16" s="1">
        <v>240942.0</v>
      </c>
      <c r="Y16" s="1">
        <v>241173.0</v>
      </c>
      <c r="Z16" s="1">
        <v>241404.0</v>
      </c>
      <c r="AA16" s="1">
        <v>241636.0</v>
      </c>
      <c r="AB16" s="1">
        <v>241867.0</v>
      </c>
      <c r="AC16" s="1">
        <v>242099.0</v>
      </c>
      <c r="AD16" s="1">
        <v>242331.0</v>
      </c>
      <c r="AE16" s="1">
        <v>242563.0</v>
      </c>
      <c r="AF16" s="1">
        <v>242795.0</v>
      </c>
      <c r="AG16" s="1">
        <v>243028.0</v>
      </c>
      <c r="AH16" s="1">
        <v>243261.0</v>
      </c>
      <c r="AI16" s="1">
        <v>243494.0</v>
      </c>
      <c r="AJ16" s="1">
        <v>243727.0</v>
      </c>
      <c r="AK16" s="1">
        <v>243960.0</v>
      </c>
      <c r="AL16" s="1">
        <v>244194.0</v>
      </c>
      <c r="AM16" s="1">
        <v>244428.0</v>
      </c>
      <c r="AN16" s="1">
        <v>244662.0</v>
      </c>
      <c r="AO16" s="1">
        <v>244897.0</v>
      </c>
      <c r="AP16" s="1">
        <v>245131.0</v>
      </c>
      <c r="AQ16" s="1">
        <v>245366.0</v>
      </c>
      <c r="AR16" s="1">
        <v>245601.0</v>
      </c>
      <c r="AS16" s="1">
        <v>245836.0</v>
      </c>
      <c r="AT16" s="1">
        <v>246072.0</v>
      </c>
      <c r="AU16" s="1">
        <v>246308.0</v>
      </c>
      <c r="AV16" s="1">
        <v>246544.0</v>
      </c>
      <c r="AW16" s="1">
        <v>246780.0</v>
      </c>
      <c r="AX16" s="1">
        <v>247016.0</v>
      </c>
      <c r="AY16" s="1">
        <v>247253.0</v>
      </c>
      <c r="AZ16" s="1">
        <v>247490.0</v>
      </c>
      <c r="BA16" s="1">
        <v>247727.0</v>
      </c>
      <c r="BB16" s="1">
        <v>247964.0</v>
      </c>
      <c r="BC16" s="1">
        <v>248202.0</v>
      </c>
      <c r="BD16" s="1">
        <v>248440.0</v>
      </c>
      <c r="BE16" s="1">
        <v>248678.0</v>
      </c>
      <c r="BF16" s="1">
        <v>248916.0</v>
      </c>
      <c r="BG16" s="1">
        <v>249154.0</v>
      </c>
      <c r="BH16" s="1">
        <v>249393.0</v>
      </c>
      <c r="BI16" s="1">
        <v>249632.0</v>
      </c>
      <c r="BJ16" s="1">
        <v>249871.0</v>
      </c>
      <c r="BK16" s="1">
        <v>250110.0</v>
      </c>
      <c r="BL16" s="1">
        <v>250350.0</v>
      </c>
      <c r="BM16" s="1">
        <v>250590.0</v>
      </c>
      <c r="BN16" s="1">
        <v>250830.0</v>
      </c>
      <c r="BO16" s="1">
        <v>251070.0</v>
      </c>
      <c r="BP16" s="1">
        <v>251311.0</v>
      </c>
      <c r="BQ16" s="1">
        <v>251551.0</v>
      </c>
      <c r="BR16" s="1">
        <v>251792.0</v>
      </c>
      <c r="BS16" s="1">
        <v>252034.0</v>
      </c>
      <c r="BT16" s="1">
        <v>252275.0</v>
      </c>
      <c r="BU16" s="1">
        <v>252517.0</v>
      </c>
      <c r="BV16" s="1">
        <v>1.4492398E7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228</v>
      </c>
    </row>
    <row r="2">
      <c r="A2" s="1" t="s">
        <v>222</v>
      </c>
    </row>
    <row r="3">
      <c r="A3" s="1" t="s">
        <v>220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120000.0</v>
      </c>
      <c r="P6" s="1">
        <v>120115.0</v>
      </c>
      <c r="Q6" s="1">
        <v>120230.0</v>
      </c>
      <c r="R6" s="1">
        <v>120345.0</v>
      </c>
      <c r="S6" s="1">
        <v>120461.0</v>
      </c>
      <c r="T6" s="1">
        <v>120576.0</v>
      </c>
      <c r="U6" s="1">
        <v>120691.0</v>
      </c>
      <c r="V6" s="1">
        <v>120807.0</v>
      </c>
      <c r="W6" s="1">
        <v>120923.0</v>
      </c>
      <c r="X6" s="1">
        <v>121039.0</v>
      </c>
      <c r="Y6" s="1">
        <v>121155.0</v>
      </c>
      <c r="Z6" s="1">
        <v>121271.0</v>
      </c>
      <c r="AA6" s="1">
        <v>121387.0</v>
      </c>
      <c r="AB6" s="1">
        <v>121503.0</v>
      </c>
      <c r="AC6" s="1">
        <v>121620.0</v>
      </c>
      <c r="AD6" s="1">
        <v>121736.0</v>
      </c>
      <c r="AE6" s="1">
        <v>121853.0</v>
      </c>
      <c r="AF6" s="1">
        <v>121969.0</v>
      </c>
      <c r="AG6" s="1">
        <v>122086.0</v>
      </c>
      <c r="AH6" s="1">
        <v>122203.0</v>
      </c>
      <c r="AI6" s="1">
        <v>122320.0</v>
      </c>
      <c r="AJ6" s="1">
        <v>122437.0</v>
      </c>
      <c r="AK6" s="1">
        <v>122555.0</v>
      </c>
      <c r="AL6" s="1">
        <v>122672.0</v>
      </c>
      <c r="AM6" s="1">
        <v>122790.0</v>
      </c>
      <c r="AN6" s="1">
        <v>122907.0</v>
      </c>
      <c r="AO6" s="1">
        <v>123025.0</v>
      </c>
      <c r="AP6" s="1">
        <v>123143.0</v>
      </c>
      <c r="AQ6" s="1">
        <v>123261.0</v>
      </c>
      <c r="AR6" s="1">
        <v>123379.0</v>
      </c>
      <c r="AS6" s="1">
        <v>123497.0</v>
      </c>
      <c r="AT6" s="1">
        <v>123615.0</v>
      </c>
      <c r="AU6" s="1">
        <v>123734.0</v>
      </c>
      <c r="AV6" s="1">
        <v>123852.0</v>
      </c>
      <c r="AW6" s="1">
        <v>123971.0</v>
      </c>
      <c r="AX6" s="1">
        <v>124090.0</v>
      </c>
      <c r="AY6" s="1">
        <v>124209.0</v>
      </c>
      <c r="AZ6" s="1">
        <v>124328.0</v>
      </c>
      <c r="BA6" s="1">
        <v>124447.0</v>
      </c>
      <c r="BB6" s="1">
        <v>124566.0</v>
      </c>
      <c r="BC6" s="1">
        <v>124685.0</v>
      </c>
      <c r="BD6" s="1">
        <v>124805.0</v>
      </c>
      <c r="BE6" s="1">
        <v>124924.0</v>
      </c>
      <c r="BF6" s="1">
        <v>125044.0</v>
      </c>
      <c r="BG6" s="1">
        <v>125164.0</v>
      </c>
      <c r="BH6" s="1">
        <v>125284.0</v>
      </c>
      <c r="BI6" s="1">
        <v>125404.0</v>
      </c>
      <c r="BJ6" s="1">
        <v>125524.0</v>
      </c>
      <c r="BK6" s="1">
        <v>125644.0</v>
      </c>
      <c r="BL6" s="1">
        <v>125765.0</v>
      </c>
      <c r="BM6" s="1">
        <v>125885.0</v>
      </c>
      <c r="BN6" s="1">
        <v>126006.0</v>
      </c>
      <c r="BO6" s="1">
        <v>126126.0</v>
      </c>
      <c r="BP6" s="1">
        <v>126247.0</v>
      </c>
      <c r="BQ6" s="1">
        <v>126368.0</v>
      </c>
      <c r="BR6" s="1">
        <v>126489.0</v>
      </c>
      <c r="BS6" s="1">
        <v>126610.0</v>
      </c>
      <c r="BT6" s="1">
        <v>126732.0</v>
      </c>
      <c r="BU6" s="1">
        <v>126853.0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720.0</v>
      </c>
      <c r="Q7" s="1">
        <v>721.0</v>
      </c>
      <c r="R7" s="1">
        <v>721.0</v>
      </c>
      <c r="S7" s="1">
        <v>722.0</v>
      </c>
      <c r="T7" s="1">
        <v>723.0</v>
      </c>
      <c r="U7" s="1">
        <v>723.0</v>
      </c>
      <c r="V7" s="1">
        <v>724.0</v>
      </c>
      <c r="W7" s="1">
        <v>725.0</v>
      </c>
      <c r="X7" s="1">
        <v>726.0</v>
      </c>
      <c r="Y7" s="1">
        <v>726.0</v>
      </c>
      <c r="Z7" s="1">
        <v>727.0</v>
      </c>
      <c r="AA7" s="1">
        <v>728.0</v>
      </c>
      <c r="AB7" s="1">
        <v>728.0</v>
      </c>
      <c r="AC7" s="1">
        <v>729.0</v>
      </c>
      <c r="AD7" s="1">
        <v>730.0</v>
      </c>
      <c r="AE7" s="1">
        <v>730.0</v>
      </c>
      <c r="AF7" s="1">
        <v>731.0</v>
      </c>
      <c r="AG7" s="1">
        <v>732.0</v>
      </c>
      <c r="AH7" s="1">
        <v>733.0</v>
      </c>
      <c r="AI7" s="1">
        <v>733.0</v>
      </c>
      <c r="AJ7" s="1">
        <v>734.0</v>
      </c>
      <c r="AK7" s="1">
        <v>735.0</v>
      </c>
      <c r="AL7" s="1">
        <v>735.0</v>
      </c>
      <c r="AM7" s="1">
        <v>736.0</v>
      </c>
      <c r="AN7" s="1">
        <v>737.0</v>
      </c>
      <c r="AO7" s="1">
        <v>737.0</v>
      </c>
      <c r="AP7" s="1">
        <v>738.0</v>
      </c>
      <c r="AQ7" s="1">
        <v>739.0</v>
      </c>
      <c r="AR7" s="1">
        <v>740.0</v>
      </c>
      <c r="AS7" s="1">
        <v>740.0</v>
      </c>
      <c r="AT7" s="1">
        <v>741.0</v>
      </c>
      <c r="AU7" s="1">
        <v>742.0</v>
      </c>
      <c r="AV7" s="1">
        <v>742.0</v>
      </c>
      <c r="AW7" s="1">
        <v>743.0</v>
      </c>
      <c r="AX7" s="1">
        <v>744.0</v>
      </c>
      <c r="AY7" s="1">
        <v>745.0</v>
      </c>
      <c r="AZ7" s="1">
        <v>745.0</v>
      </c>
      <c r="BA7" s="1">
        <v>746.0</v>
      </c>
      <c r="BB7" s="1">
        <v>747.0</v>
      </c>
      <c r="BC7" s="1">
        <v>747.0</v>
      </c>
      <c r="BD7" s="1">
        <v>748.0</v>
      </c>
      <c r="BE7" s="1">
        <v>749.0</v>
      </c>
      <c r="BF7" s="1">
        <v>750.0</v>
      </c>
      <c r="BG7" s="1">
        <v>750.0</v>
      </c>
      <c r="BH7" s="1">
        <v>751.0</v>
      </c>
      <c r="BI7" s="1">
        <v>752.0</v>
      </c>
      <c r="BJ7" s="1">
        <v>752.0</v>
      </c>
      <c r="BK7" s="1">
        <v>753.0</v>
      </c>
      <c r="BL7" s="1">
        <v>754.0</v>
      </c>
      <c r="BM7" s="1">
        <v>755.0</v>
      </c>
      <c r="BN7" s="1">
        <v>755.0</v>
      </c>
      <c r="BO7" s="1">
        <v>756.0</v>
      </c>
      <c r="BP7" s="1">
        <v>757.0</v>
      </c>
      <c r="BQ7" s="1">
        <v>757.0</v>
      </c>
      <c r="BR7" s="1">
        <v>758.0</v>
      </c>
      <c r="BS7" s="1">
        <v>759.0</v>
      </c>
      <c r="BT7" s="1">
        <v>760.0</v>
      </c>
      <c r="BU7" s="1">
        <v>760.0</v>
      </c>
      <c r="BV7" s="1">
        <v>42921.0</v>
      </c>
    </row>
    <row r="8">
      <c r="A8" s="1" t="s">
        <v>145</v>
      </c>
      <c r="B8" s="1">
        <v>1.2</v>
      </c>
      <c r="C8" s="1">
        <v>1.2</v>
      </c>
      <c r="D8" s="1">
        <v>1.2</v>
      </c>
      <c r="E8" s="1">
        <v>1.2</v>
      </c>
      <c r="F8" s="1">
        <v>1.2</v>
      </c>
      <c r="G8" s="1">
        <v>1.2</v>
      </c>
      <c r="H8" s="1">
        <v>1.2</v>
      </c>
      <c r="I8" s="1">
        <v>1.2</v>
      </c>
      <c r="J8" s="1">
        <v>1.2</v>
      </c>
      <c r="K8" s="1">
        <v>1.2</v>
      </c>
      <c r="L8" s="1">
        <v>1.2</v>
      </c>
      <c r="M8" s="1">
        <v>1.2</v>
      </c>
      <c r="N8" s="1">
        <v>1.2</v>
      </c>
      <c r="O8" s="1">
        <v>1.2</v>
      </c>
      <c r="P8" s="1">
        <v>1.2</v>
      </c>
      <c r="Q8" s="1">
        <v>1.2</v>
      </c>
      <c r="R8" s="1">
        <v>1.2</v>
      </c>
      <c r="S8" s="1">
        <v>1.2</v>
      </c>
      <c r="T8" s="1">
        <v>1.2</v>
      </c>
      <c r="U8" s="1">
        <v>1.2</v>
      </c>
      <c r="V8" s="1">
        <v>1.2</v>
      </c>
      <c r="W8" s="1">
        <v>1.2</v>
      </c>
      <c r="X8" s="1">
        <v>1.2</v>
      </c>
      <c r="Y8" s="1">
        <v>1.2</v>
      </c>
      <c r="Z8" s="1">
        <v>1.2</v>
      </c>
      <c r="AA8" s="1">
        <v>1.2</v>
      </c>
      <c r="AB8" s="1">
        <v>1.2</v>
      </c>
      <c r="AC8" s="1">
        <v>1.2</v>
      </c>
      <c r="AD8" s="1">
        <v>1.2</v>
      </c>
      <c r="AE8" s="1">
        <v>1.2</v>
      </c>
      <c r="AF8" s="1">
        <v>1.2</v>
      </c>
      <c r="AG8" s="1">
        <v>1.2</v>
      </c>
      <c r="AH8" s="1">
        <v>1.2</v>
      </c>
      <c r="AI8" s="1">
        <v>1.2</v>
      </c>
      <c r="AJ8" s="1">
        <v>1.2</v>
      </c>
      <c r="AK8" s="1">
        <v>1.2</v>
      </c>
      <c r="AL8" s="1">
        <v>1.2</v>
      </c>
      <c r="AM8" s="1">
        <v>1.2</v>
      </c>
      <c r="AN8" s="1">
        <v>1.2</v>
      </c>
      <c r="AO8" s="1">
        <v>1.2</v>
      </c>
      <c r="AP8" s="1">
        <v>1.2</v>
      </c>
      <c r="AQ8" s="1">
        <v>1.2</v>
      </c>
      <c r="AR8" s="1">
        <v>1.2</v>
      </c>
      <c r="AS8" s="1">
        <v>1.2</v>
      </c>
      <c r="AT8" s="1">
        <v>1.2</v>
      </c>
      <c r="AU8" s="1">
        <v>1.2</v>
      </c>
      <c r="AV8" s="1">
        <v>1.2</v>
      </c>
      <c r="AW8" s="1">
        <v>1.2</v>
      </c>
      <c r="AX8" s="1">
        <v>1.2</v>
      </c>
      <c r="AY8" s="1">
        <v>1.2</v>
      </c>
      <c r="AZ8" s="1">
        <v>1.2</v>
      </c>
      <c r="BA8" s="1">
        <v>1.2</v>
      </c>
      <c r="BB8" s="1">
        <v>1.2</v>
      </c>
      <c r="BC8" s="1">
        <v>1.2</v>
      </c>
      <c r="BD8" s="1">
        <v>1.2</v>
      </c>
      <c r="BE8" s="1">
        <v>1.2</v>
      </c>
      <c r="BF8" s="1">
        <v>1.2</v>
      </c>
      <c r="BG8" s="1">
        <v>1.2</v>
      </c>
      <c r="BH8" s="1">
        <v>1.2</v>
      </c>
      <c r="BI8" s="1">
        <v>1.2</v>
      </c>
      <c r="BJ8" s="1">
        <v>1.2</v>
      </c>
      <c r="BK8" s="1">
        <v>1.2</v>
      </c>
      <c r="BL8" s="1">
        <v>1.2</v>
      </c>
      <c r="BM8" s="1">
        <v>1.2</v>
      </c>
      <c r="BN8" s="1">
        <v>1.2</v>
      </c>
      <c r="BO8" s="1">
        <v>1.2</v>
      </c>
      <c r="BP8" s="1">
        <v>1.2</v>
      </c>
      <c r="BQ8" s="1">
        <v>1.2</v>
      </c>
      <c r="BR8" s="1">
        <v>1.2</v>
      </c>
      <c r="BS8" s="1">
        <v>1.2</v>
      </c>
      <c r="BT8" s="1">
        <v>1.2</v>
      </c>
      <c r="BU8" s="1">
        <v>1.2</v>
      </c>
    </row>
    <row r="9">
      <c r="A9" s="1" t="s">
        <v>146</v>
      </c>
      <c r="B9" s="1">
        <v>50.0</v>
      </c>
      <c r="C9" s="1">
        <v>50.0</v>
      </c>
      <c r="D9" s="1">
        <v>50.0</v>
      </c>
      <c r="E9" s="1">
        <v>50.0</v>
      </c>
      <c r="F9" s="1">
        <v>50.0</v>
      </c>
      <c r="G9" s="1">
        <v>50.0</v>
      </c>
      <c r="H9" s="1">
        <v>50.0</v>
      </c>
      <c r="I9" s="1">
        <v>50.0</v>
      </c>
      <c r="J9" s="1">
        <v>50.0</v>
      </c>
      <c r="K9" s="1">
        <v>50.0</v>
      </c>
      <c r="L9" s="1">
        <v>50.0</v>
      </c>
      <c r="M9" s="1">
        <v>50.0</v>
      </c>
      <c r="N9" s="1">
        <v>50.0</v>
      </c>
      <c r="O9" s="1">
        <v>50.0</v>
      </c>
      <c r="P9" s="1">
        <v>50.0</v>
      </c>
      <c r="Q9" s="1">
        <v>50.0</v>
      </c>
      <c r="R9" s="1">
        <v>50.0</v>
      </c>
      <c r="S9" s="1">
        <v>50.0</v>
      </c>
      <c r="T9" s="1">
        <v>50.0</v>
      </c>
      <c r="U9" s="1">
        <v>50.0</v>
      </c>
      <c r="V9" s="1">
        <v>50.0</v>
      </c>
      <c r="W9" s="1">
        <v>50.0</v>
      </c>
      <c r="X9" s="1">
        <v>50.0</v>
      </c>
      <c r="Y9" s="1">
        <v>50.0</v>
      </c>
      <c r="Z9" s="1">
        <v>50.0</v>
      </c>
      <c r="AA9" s="1">
        <v>50.0</v>
      </c>
      <c r="AB9" s="1">
        <v>50.0</v>
      </c>
      <c r="AC9" s="1">
        <v>50.0</v>
      </c>
      <c r="AD9" s="1">
        <v>50.0</v>
      </c>
      <c r="AE9" s="1">
        <v>50.0</v>
      </c>
      <c r="AF9" s="1">
        <v>50.0</v>
      </c>
      <c r="AG9" s="1">
        <v>50.0</v>
      </c>
      <c r="AH9" s="1">
        <v>50.0</v>
      </c>
      <c r="AI9" s="1">
        <v>50.0</v>
      </c>
      <c r="AJ9" s="1">
        <v>50.0</v>
      </c>
      <c r="AK9" s="1">
        <v>50.0</v>
      </c>
      <c r="AL9" s="1">
        <v>50.0</v>
      </c>
      <c r="AM9" s="1">
        <v>50.0</v>
      </c>
      <c r="AN9" s="1">
        <v>50.0</v>
      </c>
      <c r="AO9" s="1">
        <v>50.0</v>
      </c>
      <c r="AP9" s="1">
        <v>50.0</v>
      </c>
      <c r="AQ9" s="1">
        <v>50.0</v>
      </c>
      <c r="AR9" s="1">
        <v>50.0</v>
      </c>
      <c r="AS9" s="1">
        <v>50.0</v>
      </c>
      <c r="AT9" s="1">
        <v>50.0</v>
      </c>
      <c r="AU9" s="1">
        <v>50.0</v>
      </c>
      <c r="AV9" s="1">
        <v>50.0</v>
      </c>
      <c r="AW9" s="1">
        <v>50.0</v>
      </c>
      <c r="AX9" s="1">
        <v>50.0</v>
      </c>
      <c r="AY9" s="1">
        <v>50.0</v>
      </c>
      <c r="AZ9" s="1">
        <v>50.0</v>
      </c>
      <c r="BA9" s="1">
        <v>50.0</v>
      </c>
      <c r="BB9" s="1">
        <v>50.0</v>
      </c>
      <c r="BC9" s="1">
        <v>50.0</v>
      </c>
      <c r="BD9" s="1">
        <v>50.0</v>
      </c>
      <c r="BE9" s="1">
        <v>50.0</v>
      </c>
      <c r="BF9" s="1">
        <v>50.0</v>
      </c>
      <c r="BG9" s="1">
        <v>50.0</v>
      </c>
      <c r="BH9" s="1">
        <v>50.0</v>
      </c>
      <c r="BI9" s="1">
        <v>50.0</v>
      </c>
      <c r="BJ9" s="1">
        <v>50.0</v>
      </c>
      <c r="BK9" s="1">
        <v>50.0</v>
      </c>
      <c r="BL9" s="1">
        <v>50.0</v>
      </c>
      <c r="BM9" s="1">
        <v>50.0</v>
      </c>
      <c r="BN9" s="1">
        <v>50.0</v>
      </c>
      <c r="BO9" s="1">
        <v>50.0</v>
      </c>
      <c r="BP9" s="1">
        <v>50.0</v>
      </c>
      <c r="BQ9" s="1">
        <v>50.0</v>
      </c>
      <c r="BR9" s="1">
        <v>50.0</v>
      </c>
      <c r="BS9" s="1">
        <v>50.0</v>
      </c>
      <c r="BT9" s="1">
        <v>50.0</v>
      </c>
      <c r="BU9" s="1">
        <v>50.0</v>
      </c>
      <c r="BV9" s="1" t="s">
        <v>166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1440.0</v>
      </c>
      <c r="P11" s="1">
        <v>1441.0</v>
      </c>
      <c r="Q11" s="1">
        <v>1443.0</v>
      </c>
      <c r="R11" s="1">
        <v>1444.0</v>
      </c>
      <c r="S11" s="1">
        <v>1446.0</v>
      </c>
      <c r="T11" s="1">
        <v>1447.0</v>
      </c>
      <c r="U11" s="1">
        <v>1448.0</v>
      </c>
      <c r="V11" s="1">
        <v>1450.0</v>
      </c>
      <c r="W11" s="1">
        <v>1451.0</v>
      </c>
      <c r="X11" s="1">
        <v>1452.0</v>
      </c>
      <c r="Y11" s="1">
        <v>1454.0</v>
      </c>
      <c r="Z11" s="1">
        <v>1455.0</v>
      </c>
      <c r="AA11" s="1">
        <v>1457.0</v>
      </c>
      <c r="AB11" s="1">
        <v>1458.0</v>
      </c>
      <c r="AC11" s="1">
        <v>1459.0</v>
      </c>
      <c r="AD11" s="1">
        <v>1461.0</v>
      </c>
      <c r="AE11" s="1">
        <v>1462.0</v>
      </c>
      <c r="AF11" s="1">
        <v>1464.0</v>
      </c>
      <c r="AG11" s="1">
        <v>1465.0</v>
      </c>
      <c r="AH11" s="1">
        <v>1466.0</v>
      </c>
      <c r="AI11" s="1">
        <v>1468.0</v>
      </c>
      <c r="AJ11" s="1">
        <v>1469.0</v>
      </c>
      <c r="AK11" s="1">
        <v>1471.0</v>
      </c>
      <c r="AL11" s="1">
        <v>1472.0</v>
      </c>
      <c r="AM11" s="1">
        <v>1473.0</v>
      </c>
      <c r="AN11" s="1">
        <v>1475.0</v>
      </c>
      <c r="AO11" s="1">
        <v>1476.0</v>
      </c>
      <c r="AP11" s="1">
        <v>1478.0</v>
      </c>
      <c r="AQ11" s="1">
        <v>1479.0</v>
      </c>
      <c r="AR11" s="1">
        <v>1481.0</v>
      </c>
      <c r="AS11" s="1">
        <v>1482.0</v>
      </c>
      <c r="AT11" s="1">
        <v>1483.0</v>
      </c>
      <c r="AU11" s="1">
        <v>1485.0</v>
      </c>
      <c r="AV11" s="1">
        <v>1486.0</v>
      </c>
      <c r="AW11" s="1">
        <v>1488.0</v>
      </c>
      <c r="AX11" s="1">
        <v>1489.0</v>
      </c>
      <c r="AY11" s="1">
        <v>1491.0</v>
      </c>
      <c r="AZ11" s="1">
        <v>1492.0</v>
      </c>
      <c r="BA11" s="1">
        <v>1493.0</v>
      </c>
      <c r="BB11" s="1">
        <v>1495.0</v>
      </c>
      <c r="BC11" s="1">
        <v>1496.0</v>
      </c>
      <c r="BD11" s="1">
        <v>1498.0</v>
      </c>
      <c r="BE11" s="1">
        <v>1499.0</v>
      </c>
      <c r="BF11" s="1">
        <v>1501.0</v>
      </c>
      <c r="BG11" s="1">
        <v>1502.0</v>
      </c>
      <c r="BH11" s="1">
        <v>1503.0</v>
      </c>
      <c r="BI11" s="1">
        <v>1505.0</v>
      </c>
      <c r="BJ11" s="1">
        <v>1506.0</v>
      </c>
      <c r="BK11" s="1">
        <v>1508.0</v>
      </c>
      <c r="BL11" s="1">
        <v>1509.0</v>
      </c>
      <c r="BM11" s="1">
        <v>1511.0</v>
      </c>
      <c r="BN11" s="1">
        <v>1512.0</v>
      </c>
      <c r="BO11" s="1">
        <v>1514.0</v>
      </c>
      <c r="BP11" s="1">
        <v>1515.0</v>
      </c>
      <c r="BQ11" s="1">
        <v>1516.0</v>
      </c>
      <c r="BR11" s="1">
        <v>1518.0</v>
      </c>
      <c r="BS11" s="1">
        <v>1519.0</v>
      </c>
      <c r="BT11" s="1">
        <v>1521.0</v>
      </c>
      <c r="BU11" s="1">
        <v>1522.0</v>
      </c>
      <c r="BV11" s="1">
        <v>87364.0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72000.0</v>
      </c>
      <c r="P12" s="1">
        <v>72069.0</v>
      </c>
      <c r="Q12" s="1">
        <v>72138.0</v>
      </c>
      <c r="R12" s="1">
        <v>72207.0</v>
      </c>
      <c r="S12" s="1">
        <v>72276.0</v>
      </c>
      <c r="T12" s="1">
        <v>72346.0</v>
      </c>
      <c r="U12" s="1">
        <v>72415.0</v>
      </c>
      <c r="V12" s="1">
        <v>72484.0</v>
      </c>
      <c r="W12" s="1">
        <v>72554.0</v>
      </c>
      <c r="X12" s="1">
        <v>72623.0</v>
      </c>
      <c r="Y12" s="1">
        <v>72693.0</v>
      </c>
      <c r="Z12" s="1">
        <v>72762.0</v>
      </c>
      <c r="AA12" s="1">
        <v>72832.0</v>
      </c>
      <c r="AB12" s="1">
        <v>72902.0</v>
      </c>
      <c r="AC12" s="1">
        <v>72972.0</v>
      </c>
      <c r="AD12" s="1">
        <v>73042.0</v>
      </c>
      <c r="AE12" s="1">
        <v>73112.0</v>
      </c>
      <c r="AF12" s="1">
        <v>73182.0</v>
      </c>
      <c r="AG12" s="1">
        <v>73252.0</v>
      </c>
      <c r="AH12" s="1">
        <v>73322.0</v>
      </c>
      <c r="AI12" s="1">
        <v>73392.0</v>
      </c>
      <c r="AJ12" s="1">
        <v>73462.0</v>
      </c>
      <c r="AK12" s="1">
        <v>73533.0</v>
      </c>
      <c r="AL12" s="1">
        <v>73603.0</v>
      </c>
      <c r="AM12" s="1">
        <v>73674.0</v>
      </c>
      <c r="AN12" s="1">
        <v>73744.0</v>
      </c>
      <c r="AO12" s="1">
        <v>73815.0</v>
      </c>
      <c r="AP12" s="1">
        <v>73886.0</v>
      </c>
      <c r="AQ12" s="1">
        <v>73957.0</v>
      </c>
      <c r="AR12" s="1">
        <v>74027.0</v>
      </c>
      <c r="AS12" s="1">
        <v>74098.0</v>
      </c>
      <c r="AT12" s="1">
        <v>74169.0</v>
      </c>
      <c r="AU12" s="1">
        <v>74240.0</v>
      </c>
      <c r="AV12" s="1">
        <v>74311.0</v>
      </c>
      <c r="AW12" s="1">
        <v>74383.0</v>
      </c>
      <c r="AX12" s="1">
        <v>74454.0</v>
      </c>
      <c r="AY12" s="1">
        <v>74525.0</v>
      </c>
      <c r="AZ12" s="1">
        <v>74597.0</v>
      </c>
      <c r="BA12" s="1">
        <v>74668.0</v>
      </c>
      <c r="BB12" s="1">
        <v>74740.0</v>
      </c>
      <c r="BC12" s="1">
        <v>74811.0</v>
      </c>
      <c r="BD12" s="1">
        <v>74883.0</v>
      </c>
      <c r="BE12" s="1">
        <v>74955.0</v>
      </c>
      <c r="BF12" s="1">
        <v>75026.0</v>
      </c>
      <c r="BG12" s="1">
        <v>75098.0</v>
      </c>
      <c r="BH12" s="1">
        <v>75170.0</v>
      </c>
      <c r="BI12" s="1">
        <v>75242.0</v>
      </c>
      <c r="BJ12" s="1">
        <v>75314.0</v>
      </c>
      <c r="BK12" s="1">
        <v>75386.0</v>
      </c>
      <c r="BL12" s="1">
        <v>75459.0</v>
      </c>
      <c r="BM12" s="1">
        <v>75531.0</v>
      </c>
      <c r="BN12" s="1">
        <v>75603.0</v>
      </c>
      <c r="BO12" s="1">
        <v>75676.0</v>
      </c>
      <c r="BP12" s="1">
        <v>75748.0</v>
      </c>
      <c r="BQ12" s="1">
        <v>75821.0</v>
      </c>
      <c r="BR12" s="1">
        <v>75893.0</v>
      </c>
      <c r="BS12" s="1">
        <v>75966.0</v>
      </c>
      <c r="BT12" s="1">
        <v>76039.0</v>
      </c>
      <c r="BU12" s="1">
        <v>76112.0</v>
      </c>
      <c r="BV12" s="1">
        <v>4368195.0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21600.0</v>
      </c>
      <c r="P13" s="1">
        <v>21621.0</v>
      </c>
      <c r="Q13" s="1">
        <v>21641.0</v>
      </c>
      <c r="R13" s="1">
        <v>21662.0</v>
      </c>
      <c r="S13" s="1">
        <v>21683.0</v>
      </c>
      <c r="T13" s="1">
        <v>21704.0</v>
      </c>
      <c r="U13" s="1">
        <v>21724.0</v>
      </c>
      <c r="V13" s="1">
        <v>21745.0</v>
      </c>
      <c r="W13" s="1">
        <v>21766.0</v>
      </c>
      <c r="X13" s="1">
        <v>21787.0</v>
      </c>
      <c r="Y13" s="1">
        <v>21808.0</v>
      </c>
      <c r="Z13" s="1">
        <v>21829.0</v>
      </c>
      <c r="AA13" s="1">
        <v>21850.0</v>
      </c>
      <c r="AB13" s="1">
        <v>21871.0</v>
      </c>
      <c r="AC13" s="1">
        <v>21892.0</v>
      </c>
      <c r="AD13" s="1">
        <v>21912.0</v>
      </c>
      <c r="AE13" s="1">
        <v>21933.0</v>
      </c>
      <c r="AF13" s="1">
        <v>21954.0</v>
      </c>
      <c r="AG13" s="1">
        <v>21976.0</v>
      </c>
      <c r="AH13" s="1">
        <v>21997.0</v>
      </c>
      <c r="AI13" s="1">
        <v>22018.0</v>
      </c>
      <c r="AJ13" s="1">
        <v>22039.0</v>
      </c>
      <c r="AK13" s="1">
        <v>22060.0</v>
      </c>
      <c r="AL13" s="1">
        <v>22081.0</v>
      </c>
      <c r="AM13" s="1">
        <v>22102.0</v>
      </c>
      <c r="AN13" s="1">
        <v>22123.0</v>
      </c>
      <c r="AO13" s="1">
        <v>22145.0</v>
      </c>
      <c r="AP13" s="1">
        <v>22166.0</v>
      </c>
      <c r="AQ13" s="1">
        <v>22187.0</v>
      </c>
      <c r="AR13" s="1">
        <v>22208.0</v>
      </c>
      <c r="AS13" s="1">
        <v>22229.0</v>
      </c>
      <c r="AT13" s="1">
        <v>22251.0</v>
      </c>
      <c r="AU13" s="1">
        <v>22272.0</v>
      </c>
      <c r="AV13" s="1">
        <v>22293.0</v>
      </c>
      <c r="AW13" s="1">
        <v>22315.0</v>
      </c>
      <c r="AX13" s="1">
        <v>22336.0</v>
      </c>
      <c r="AY13" s="1">
        <v>22358.0</v>
      </c>
      <c r="AZ13" s="1">
        <v>22379.0</v>
      </c>
      <c r="BA13" s="1">
        <v>22400.0</v>
      </c>
      <c r="BB13" s="1">
        <v>22422.0</v>
      </c>
      <c r="BC13" s="1">
        <v>22443.0</v>
      </c>
      <c r="BD13" s="1">
        <v>22465.0</v>
      </c>
      <c r="BE13" s="1">
        <v>22486.0</v>
      </c>
      <c r="BF13" s="1">
        <v>22508.0</v>
      </c>
      <c r="BG13" s="1">
        <v>22529.0</v>
      </c>
      <c r="BH13" s="1">
        <v>22551.0</v>
      </c>
      <c r="BI13" s="1">
        <v>22573.0</v>
      </c>
      <c r="BJ13" s="1">
        <v>22594.0</v>
      </c>
      <c r="BK13" s="1">
        <v>22616.0</v>
      </c>
      <c r="BL13" s="1">
        <v>22638.0</v>
      </c>
      <c r="BM13" s="1">
        <v>22659.0</v>
      </c>
      <c r="BN13" s="1">
        <v>22681.0</v>
      </c>
      <c r="BO13" s="1">
        <v>22703.0</v>
      </c>
      <c r="BP13" s="1">
        <v>22724.0</v>
      </c>
      <c r="BQ13" s="1">
        <v>22746.0</v>
      </c>
      <c r="BR13" s="1">
        <v>22768.0</v>
      </c>
      <c r="BS13" s="1">
        <v>22790.0</v>
      </c>
      <c r="BT13" s="1">
        <v>22812.0</v>
      </c>
      <c r="BU13" s="1">
        <v>22834.0</v>
      </c>
      <c r="BV13" s="1">
        <v>1310459.0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21600.0</v>
      </c>
      <c r="P15" s="1">
        <v>21621.0</v>
      </c>
      <c r="Q15" s="1">
        <v>21641.0</v>
      </c>
      <c r="R15" s="1">
        <v>21662.0</v>
      </c>
      <c r="S15" s="1">
        <v>21683.0</v>
      </c>
      <c r="T15" s="1">
        <v>21704.0</v>
      </c>
      <c r="U15" s="1">
        <v>21724.0</v>
      </c>
      <c r="V15" s="1">
        <v>21745.0</v>
      </c>
      <c r="W15" s="1">
        <v>21766.0</v>
      </c>
      <c r="X15" s="1">
        <v>21787.0</v>
      </c>
      <c r="Y15" s="1">
        <v>21808.0</v>
      </c>
      <c r="Z15" s="1">
        <v>21829.0</v>
      </c>
      <c r="AA15" s="1">
        <v>21850.0</v>
      </c>
      <c r="AB15" s="1">
        <v>21871.0</v>
      </c>
      <c r="AC15" s="1">
        <v>21892.0</v>
      </c>
      <c r="AD15" s="1">
        <v>21912.0</v>
      </c>
      <c r="AE15" s="1">
        <v>21933.0</v>
      </c>
      <c r="AF15" s="1">
        <v>21954.0</v>
      </c>
      <c r="AG15" s="1">
        <v>21976.0</v>
      </c>
      <c r="AH15" s="1">
        <v>21997.0</v>
      </c>
      <c r="AI15" s="1">
        <v>22018.0</v>
      </c>
      <c r="AJ15" s="1">
        <v>22039.0</v>
      </c>
      <c r="AK15" s="1">
        <v>22060.0</v>
      </c>
      <c r="AL15" s="1">
        <v>22081.0</v>
      </c>
      <c r="AM15" s="1">
        <v>22102.0</v>
      </c>
      <c r="AN15" s="1">
        <v>22123.0</v>
      </c>
      <c r="AO15" s="1">
        <v>22145.0</v>
      </c>
      <c r="AP15" s="1">
        <v>22166.0</v>
      </c>
      <c r="AQ15" s="1">
        <v>22187.0</v>
      </c>
      <c r="AR15" s="1">
        <v>22208.0</v>
      </c>
      <c r="AS15" s="1">
        <v>22229.0</v>
      </c>
      <c r="AT15" s="1">
        <v>22251.0</v>
      </c>
      <c r="AU15" s="1">
        <v>22272.0</v>
      </c>
      <c r="AV15" s="1">
        <v>22293.0</v>
      </c>
      <c r="AW15" s="1">
        <v>22315.0</v>
      </c>
      <c r="AX15" s="1">
        <v>22336.0</v>
      </c>
      <c r="AY15" s="1">
        <v>22358.0</v>
      </c>
      <c r="AZ15" s="1">
        <v>22379.0</v>
      </c>
      <c r="BA15" s="1">
        <v>22400.0</v>
      </c>
      <c r="BB15" s="1">
        <v>22422.0</v>
      </c>
      <c r="BC15" s="1">
        <v>22443.0</v>
      </c>
      <c r="BD15" s="1">
        <v>22465.0</v>
      </c>
      <c r="BE15" s="1">
        <v>22486.0</v>
      </c>
      <c r="BF15" s="1">
        <v>22508.0</v>
      </c>
      <c r="BG15" s="1">
        <v>22529.0</v>
      </c>
      <c r="BH15" s="1">
        <v>22551.0</v>
      </c>
      <c r="BI15" s="1">
        <v>22573.0</v>
      </c>
      <c r="BJ15" s="1">
        <v>22594.0</v>
      </c>
      <c r="BK15" s="1">
        <v>22616.0</v>
      </c>
      <c r="BL15" s="1">
        <v>22638.0</v>
      </c>
      <c r="BM15" s="1">
        <v>22659.0</v>
      </c>
      <c r="BN15" s="1">
        <v>22681.0</v>
      </c>
      <c r="BO15" s="1">
        <v>22703.0</v>
      </c>
      <c r="BP15" s="1">
        <v>22724.0</v>
      </c>
      <c r="BQ15" s="1">
        <v>22746.0</v>
      </c>
      <c r="BR15" s="1">
        <v>22768.0</v>
      </c>
      <c r="BS15" s="1">
        <v>22790.0</v>
      </c>
      <c r="BT15" s="1">
        <v>22812.0</v>
      </c>
      <c r="BU15" s="1">
        <v>22834.0</v>
      </c>
      <c r="BV15" s="1">
        <v>1310459.0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50400.0</v>
      </c>
      <c r="P16" s="1">
        <v>50448.0</v>
      </c>
      <c r="Q16" s="1">
        <v>50497.0</v>
      </c>
      <c r="R16" s="1">
        <v>50545.0</v>
      </c>
      <c r="S16" s="1">
        <v>50593.0</v>
      </c>
      <c r="T16" s="1">
        <v>50642.0</v>
      </c>
      <c r="U16" s="1">
        <v>50690.0</v>
      </c>
      <c r="V16" s="1">
        <v>50739.0</v>
      </c>
      <c r="W16" s="1">
        <v>50788.0</v>
      </c>
      <c r="X16" s="1">
        <v>50836.0</v>
      </c>
      <c r="Y16" s="1">
        <v>50885.0</v>
      </c>
      <c r="Z16" s="1">
        <v>50934.0</v>
      </c>
      <c r="AA16" s="1">
        <v>50982.0</v>
      </c>
      <c r="AB16" s="1">
        <v>51031.0</v>
      </c>
      <c r="AC16" s="1">
        <v>51080.0</v>
      </c>
      <c r="AD16" s="1">
        <v>51129.0</v>
      </c>
      <c r="AE16" s="1">
        <v>51178.0</v>
      </c>
      <c r="AF16" s="1">
        <v>51227.0</v>
      </c>
      <c r="AG16" s="1">
        <v>51276.0</v>
      </c>
      <c r="AH16" s="1">
        <v>51325.0</v>
      </c>
      <c r="AI16" s="1">
        <v>51375.0</v>
      </c>
      <c r="AJ16" s="1">
        <v>51424.0</v>
      </c>
      <c r="AK16" s="1">
        <v>51473.0</v>
      </c>
      <c r="AL16" s="1">
        <v>51522.0</v>
      </c>
      <c r="AM16" s="1">
        <v>51572.0</v>
      </c>
      <c r="AN16" s="1">
        <v>51621.0</v>
      </c>
      <c r="AO16" s="1">
        <v>51671.0</v>
      </c>
      <c r="AP16" s="1">
        <v>51720.0</v>
      </c>
      <c r="AQ16" s="1">
        <v>51770.0</v>
      </c>
      <c r="AR16" s="1">
        <v>51819.0</v>
      </c>
      <c r="AS16" s="1">
        <v>51869.0</v>
      </c>
      <c r="AT16" s="1">
        <v>51918.0</v>
      </c>
      <c r="AU16" s="1">
        <v>51968.0</v>
      </c>
      <c r="AV16" s="1">
        <v>52018.0</v>
      </c>
      <c r="AW16" s="1">
        <v>52068.0</v>
      </c>
      <c r="AX16" s="1">
        <v>52118.0</v>
      </c>
      <c r="AY16" s="1">
        <v>52168.0</v>
      </c>
      <c r="AZ16" s="1">
        <v>52218.0</v>
      </c>
      <c r="BA16" s="1">
        <v>52268.0</v>
      </c>
      <c r="BB16" s="1">
        <v>52318.0</v>
      </c>
      <c r="BC16" s="1">
        <v>52368.0</v>
      </c>
      <c r="BD16" s="1">
        <v>52418.0</v>
      </c>
      <c r="BE16" s="1">
        <v>52468.0</v>
      </c>
      <c r="BF16" s="1">
        <v>52518.0</v>
      </c>
      <c r="BG16" s="1">
        <v>52569.0</v>
      </c>
      <c r="BH16" s="1">
        <v>52619.0</v>
      </c>
      <c r="BI16" s="1">
        <v>52670.0</v>
      </c>
      <c r="BJ16" s="1">
        <v>52720.0</v>
      </c>
      <c r="BK16" s="1">
        <v>52771.0</v>
      </c>
      <c r="BL16" s="1">
        <v>52821.0</v>
      </c>
      <c r="BM16" s="1">
        <v>52872.0</v>
      </c>
      <c r="BN16" s="1">
        <v>52922.0</v>
      </c>
      <c r="BO16" s="1">
        <v>52973.0</v>
      </c>
      <c r="BP16" s="1">
        <v>53024.0</v>
      </c>
      <c r="BQ16" s="1">
        <v>53075.0</v>
      </c>
      <c r="BR16" s="1">
        <v>53125.0</v>
      </c>
      <c r="BS16" s="1">
        <v>53176.0</v>
      </c>
      <c r="BT16" s="1">
        <v>53227.0</v>
      </c>
      <c r="BU16" s="1">
        <v>53278.0</v>
      </c>
      <c r="BV16" s="1">
        <v>3057737.0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237</v>
      </c>
    </row>
    <row r="2">
      <c r="A2" s="1" t="s">
        <v>238</v>
      </c>
    </row>
    <row r="3">
      <c r="A3" s="1" t="s">
        <v>220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2590000.0</v>
      </c>
      <c r="T6" s="1">
        <v>2592481.0</v>
      </c>
      <c r="U6" s="1">
        <v>2594965.0</v>
      </c>
      <c r="V6" s="1">
        <v>2597451.0</v>
      </c>
      <c r="W6" s="1">
        <v>2599939.0</v>
      </c>
      <c r="X6" s="1">
        <v>2602430.0</v>
      </c>
      <c r="Y6" s="1">
        <v>2604923.0</v>
      </c>
      <c r="Z6" s="1">
        <v>2607419.0</v>
      </c>
      <c r="AA6" s="1">
        <v>2609916.0</v>
      </c>
      <c r="AB6" s="1">
        <v>2612417.0</v>
      </c>
      <c r="AC6" s="1">
        <v>2614919.0</v>
      </c>
      <c r="AD6" s="1">
        <v>2617425.0</v>
      </c>
      <c r="AE6" s="1">
        <v>2619932.0</v>
      </c>
      <c r="AF6" s="1">
        <v>2622442.0</v>
      </c>
      <c r="AG6" s="1">
        <v>2624954.0</v>
      </c>
      <c r="AH6" s="1">
        <v>2627469.0</v>
      </c>
      <c r="AI6" s="1">
        <v>2629986.0</v>
      </c>
      <c r="AJ6" s="1">
        <v>2632506.0</v>
      </c>
      <c r="AK6" s="1">
        <v>2635028.0</v>
      </c>
      <c r="AL6" s="1">
        <v>2637552.0</v>
      </c>
      <c r="AM6" s="1">
        <v>2640079.0</v>
      </c>
      <c r="AN6" s="1">
        <v>2642608.0</v>
      </c>
      <c r="AO6" s="1">
        <v>2645139.0</v>
      </c>
      <c r="AP6" s="1">
        <v>2647673.0</v>
      </c>
      <c r="AQ6" s="1">
        <v>2650210.0</v>
      </c>
      <c r="AR6" s="1">
        <v>2652749.0</v>
      </c>
      <c r="AS6" s="1">
        <v>2655290.0</v>
      </c>
      <c r="AT6" s="1">
        <v>2657834.0</v>
      </c>
      <c r="AU6" s="1">
        <v>2660380.0</v>
      </c>
      <c r="AV6" s="1">
        <v>2662929.0</v>
      </c>
      <c r="AW6" s="1">
        <v>2665480.0</v>
      </c>
      <c r="AX6" s="1">
        <v>2668033.0</v>
      </c>
      <c r="AY6" s="1">
        <v>2670589.0</v>
      </c>
      <c r="AZ6" s="1">
        <v>2673148.0</v>
      </c>
      <c r="BA6" s="1">
        <v>2675709.0</v>
      </c>
      <c r="BB6" s="1">
        <v>2678272.0</v>
      </c>
      <c r="BC6" s="1">
        <v>2680838.0</v>
      </c>
      <c r="BD6" s="1">
        <v>2683406.0</v>
      </c>
      <c r="BE6" s="1">
        <v>2685977.0</v>
      </c>
      <c r="BF6" s="1">
        <v>2688550.0</v>
      </c>
      <c r="BG6" s="1">
        <v>2691126.0</v>
      </c>
      <c r="BH6" s="1">
        <v>2693704.0</v>
      </c>
      <c r="BI6" s="1">
        <v>2696284.0</v>
      </c>
      <c r="BJ6" s="1">
        <v>2698867.0</v>
      </c>
      <c r="BK6" s="1">
        <v>2701453.0</v>
      </c>
      <c r="BL6" s="1">
        <v>2704041.0</v>
      </c>
      <c r="BM6" s="1">
        <v>2706631.0</v>
      </c>
      <c r="BN6" s="1">
        <v>2709224.0</v>
      </c>
      <c r="BO6" s="1">
        <v>2711820.0</v>
      </c>
      <c r="BP6" s="1">
        <v>2714418.0</v>
      </c>
      <c r="BQ6" s="1">
        <v>2717018.0</v>
      </c>
      <c r="BR6" s="1">
        <v>2719621.0</v>
      </c>
      <c r="BS6" s="1">
        <v>2722226.0</v>
      </c>
      <c r="BT6" s="1">
        <v>2724834.0</v>
      </c>
      <c r="BU6" s="1">
        <v>2727445.0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15540.0</v>
      </c>
      <c r="U7" s="1">
        <v>15555.0</v>
      </c>
      <c r="V7" s="1">
        <v>15570.0</v>
      </c>
      <c r="W7" s="1">
        <v>15585.0</v>
      </c>
      <c r="X7" s="1">
        <v>15600.0</v>
      </c>
      <c r="Y7" s="1">
        <v>15615.0</v>
      </c>
      <c r="Z7" s="1">
        <v>15630.0</v>
      </c>
      <c r="AA7" s="1">
        <v>15645.0</v>
      </c>
      <c r="AB7" s="1">
        <v>15659.0</v>
      </c>
      <c r="AC7" s="1">
        <v>15675.0</v>
      </c>
      <c r="AD7" s="1">
        <v>15690.0</v>
      </c>
      <c r="AE7" s="1">
        <v>15705.0</v>
      </c>
      <c r="AF7" s="1">
        <v>15720.0</v>
      </c>
      <c r="AG7" s="1">
        <v>15735.0</v>
      </c>
      <c r="AH7" s="1">
        <v>15750.0</v>
      </c>
      <c r="AI7" s="1">
        <v>15765.0</v>
      </c>
      <c r="AJ7" s="1">
        <v>15780.0</v>
      </c>
      <c r="AK7" s="1">
        <v>15795.0</v>
      </c>
      <c r="AL7" s="1">
        <v>15810.0</v>
      </c>
      <c r="AM7" s="1">
        <v>15825.0</v>
      </c>
      <c r="AN7" s="1">
        <v>15840.0</v>
      </c>
      <c r="AO7" s="1">
        <v>15856.0</v>
      </c>
      <c r="AP7" s="1">
        <v>15871.0</v>
      </c>
      <c r="AQ7" s="1">
        <v>15886.0</v>
      </c>
      <c r="AR7" s="1">
        <v>15901.0</v>
      </c>
      <c r="AS7" s="1">
        <v>15916.0</v>
      </c>
      <c r="AT7" s="1">
        <v>15932.0</v>
      </c>
      <c r="AU7" s="1">
        <v>15947.0</v>
      </c>
      <c r="AV7" s="1">
        <v>15962.0</v>
      </c>
      <c r="AW7" s="1">
        <v>15978.0</v>
      </c>
      <c r="AX7" s="1">
        <v>15993.0</v>
      </c>
      <c r="AY7" s="1">
        <v>16008.0</v>
      </c>
      <c r="AZ7" s="1">
        <v>16024.0</v>
      </c>
      <c r="BA7" s="1">
        <v>16039.0</v>
      </c>
      <c r="BB7" s="1">
        <v>16054.0</v>
      </c>
      <c r="BC7" s="1">
        <v>16070.0</v>
      </c>
      <c r="BD7" s="1">
        <v>16085.0</v>
      </c>
      <c r="BE7" s="1">
        <v>16100.0</v>
      </c>
      <c r="BF7" s="1">
        <v>16116.0</v>
      </c>
      <c r="BG7" s="1">
        <v>16131.0</v>
      </c>
      <c r="BH7" s="1">
        <v>16147.0</v>
      </c>
      <c r="BI7" s="1">
        <v>16162.0</v>
      </c>
      <c r="BJ7" s="1">
        <v>16178.0</v>
      </c>
      <c r="BK7" s="1">
        <v>16193.0</v>
      </c>
      <c r="BL7" s="1">
        <v>16209.0</v>
      </c>
      <c r="BM7" s="1">
        <v>16224.0</v>
      </c>
      <c r="BN7" s="1">
        <v>16240.0</v>
      </c>
      <c r="BO7" s="1">
        <v>16255.0</v>
      </c>
      <c r="BP7" s="1">
        <v>16271.0</v>
      </c>
      <c r="BQ7" s="1">
        <v>16287.0</v>
      </c>
      <c r="BR7" s="1">
        <v>16302.0</v>
      </c>
      <c r="BS7" s="1">
        <v>16318.0</v>
      </c>
      <c r="BT7" s="1">
        <v>16333.0</v>
      </c>
      <c r="BU7" s="1">
        <v>16349.0</v>
      </c>
      <c r="BV7" s="1">
        <v>860822.0</v>
      </c>
    </row>
    <row r="8">
      <c r="A8" s="1" t="s">
        <v>145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  <c r="T8" s="1">
        <v>1.0</v>
      </c>
      <c r="U8" s="1">
        <v>1.0</v>
      </c>
      <c r="V8" s="1">
        <v>1.0</v>
      </c>
      <c r="W8" s="1">
        <v>1.0</v>
      </c>
      <c r="X8" s="1">
        <v>1.0</v>
      </c>
      <c r="Y8" s="1">
        <v>1.0</v>
      </c>
      <c r="Z8" s="1">
        <v>1.0</v>
      </c>
      <c r="AA8" s="1">
        <v>1.0</v>
      </c>
      <c r="AB8" s="1">
        <v>1.0</v>
      </c>
      <c r="AC8" s="1">
        <v>1.0</v>
      </c>
      <c r="AD8" s="1">
        <v>1.0</v>
      </c>
      <c r="AE8" s="1">
        <v>1.0</v>
      </c>
      <c r="AF8" s="1">
        <v>1.0</v>
      </c>
      <c r="AG8" s="1">
        <v>1.0</v>
      </c>
      <c r="AH8" s="1">
        <v>1.0</v>
      </c>
      <c r="AI8" s="1">
        <v>1.0</v>
      </c>
      <c r="AJ8" s="1">
        <v>1.0</v>
      </c>
      <c r="AK8" s="1">
        <v>1.0</v>
      </c>
      <c r="AL8" s="1">
        <v>1.0</v>
      </c>
      <c r="AM8" s="1">
        <v>1.0</v>
      </c>
      <c r="AN8" s="1">
        <v>1.0</v>
      </c>
      <c r="AO8" s="1">
        <v>1.0</v>
      </c>
      <c r="AP8" s="1">
        <v>1.0</v>
      </c>
      <c r="AQ8" s="1">
        <v>1.0</v>
      </c>
      <c r="AR8" s="1">
        <v>1.0</v>
      </c>
      <c r="AS8" s="1">
        <v>1.0</v>
      </c>
      <c r="AT8" s="1">
        <v>1.0</v>
      </c>
      <c r="AU8" s="1">
        <v>1.0</v>
      </c>
      <c r="AV8" s="1">
        <v>1.0</v>
      </c>
      <c r="AW8" s="1">
        <v>1.0</v>
      </c>
      <c r="AX8" s="1">
        <v>1.0</v>
      </c>
      <c r="AY8" s="1">
        <v>1.0</v>
      </c>
      <c r="AZ8" s="1">
        <v>1.0</v>
      </c>
      <c r="BA8" s="1">
        <v>1.0</v>
      </c>
      <c r="BB8" s="1">
        <v>1.0</v>
      </c>
      <c r="BC8" s="1">
        <v>1.0</v>
      </c>
      <c r="BD8" s="1">
        <v>1.0</v>
      </c>
      <c r="BE8" s="1">
        <v>1.0</v>
      </c>
      <c r="BF8" s="1">
        <v>1.0</v>
      </c>
      <c r="BG8" s="1">
        <v>1.0</v>
      </c>
      <c r="BH8" s="1">
        <v>1.0</v>
      </c>
      <c r="BI8" s="1">
        <v>1.0</v>
      </c>
      <c r="BJ8" s="1">
        <v>1.0</v>
      </c>
      <c r="BK8" s="1">
        <v>1.0</v>
      </c>
      <c r="BL8" s="1">
        <v>1.0</v>
      </c>
      <c r="BM8" s="1">
        <v>1.0</v>
      </c>
      <c r="BN8" s="1">
        <v>1.0</v>
      </c>
      <c r="BO8" s="1">
        <v>1.0</v>
      </c>
      <c r="BP8" s="1">
        <v>1.0</v>
      </c>
      <c r="BQ8" s="1">
        <v>1.0</v>
      </c>
      <c r="BR8" s="1">
        <v>1.0</v>
      </c>
      <c r="BS8" s="1">
        <v>1.0</v>
      </c>
      <c r="BT8" s="1">
        <v>1.0</v>
      </c>
      <c r="BU8" s="1">
        <v>1.0</v>
      </c>
    </row>
    <row r="9">
      <c r="A9" s="1" t="s">
        <v>146</v>
      </c>
      <c r="B9" s="1">
        <v>100.0</v>
      </c>
      <c r="C9" s="1">
        <v>100.0</v>
      </c>
      <c r="D9" s="1">
        <v>100.0</v>
      </c>
      <c r="E9" s="1">
        <v>100.0</v>
      </c>
      <c r="F9" s="1">
        <v>100.0</v>
      </c>
      <c r="G9" s="1">
        <v>100.0</v>
      </c>
      <c r="H9" s="1">
        <v>100.0</v>
      </c>
      <c r="I9" s="1">
        <v>100.0</v>
      </c>
      <c r="J9" s="1">
        <v>100.0</v>
      </c>
      <c r="K9" s="1">
        <v>100.0</v>
      </c>
      <c r="L9" s="1">
        <v>100.0</v>
      </c>
      <c r="M9" s="1">
        <v>100.0</v>
      </c>
      <c r="N9" s="1">
        <v>100.0</v>
      </c>
      <c r="O9" s="1">
        <v>100.0</v>
      </c>
      <c r="P9" s="1">
        <v>100.0</v>
      </c>
      <c r="Q9" s="1">
        <v>100.0</v>
      </c>
      <c r="R9" s="1">
        <v>100.0</v>
      </c>
      <c r="S9" s="1">
        <v>100.0</v>
      </c>
      <c r="T9" s="1">
        <v>100.0</v>
      </c>
      <c r="U9" s="1">
        <v>100.0</v>
      </c>
      <c r="V9" s="1">
        <v>100.0</v>
      </c>
      <c r="W9" s="1">
        <v>100.0</v>
      </c>
      <c r="X9" s="1">
        <v>100.0</v>
      </c>
      <c r="Y9" s="1">
        <v>100.0</v>
      </c>
      <c r="Z9" s="1">
        <v>100.0</v>
      </c>
      <c r="AA9" s="1">
        <v>100.0</v>
      </c>
      <c r="AB9" s="1">
        <v>100.0</v>
      </c>
      <c r="AC9" s="1">
        <v>100.0</v>
      </c>
      <c r="AD9" s="1">
        <v>100.0</v>
      </c>
      <c r="AE9" s="1">
        <v>100.0</v>
      </c>
      <c r="AF9" s="1">
        <v>100.0</v>
      </c>
      <c r="AG9" s="1">
        <v>100.0</v>
      </c>
      <c r="AH9" s="1">
        <v>100.0</v>
      </c>
      <c r="AI9" s="1">
        <v>100.0</v>
      </c>
      <c r="AJ9" s="1">
        <v>100.0</v>
      </c>
      <c r="AK9" s="1">
        <v>100.0</v>
      </c>
      <c r="AL9" s="1">
        <v>100.0</v>
      </c>
      <c r="AM9" s="1">
        <v>100.0</v>
      </c>
      <c r="AN9" s="1">
        <v>100.0</v>
      </c>
      <c r="AO9" s="1">
        <v>100.0</v>
      </c>
      <c r="AP9" s="1">
        <v>100.0</v>
      </c>
      <c r="AQ9" s="1">
        <v>100.0</v>
      </c>
      <c r="AR9" s="1">
        <v>100.0</v>
      </c>
      <c r="AS9" s="1">
        <v>100.0</v>
      </c>
      <c r="AT9" s="1">
        <v>100.0</v>
      </c>
      <c r="AU9" s="1">
        <v>100.0</v>
      </c>
      <c r="AV9" s="1">
        <v>100.0</v>
      </c>
      <c r="AW9" s="1">
        <v>100.0</v>
      </c>
      <c r="AX9" s="1">
        <v>100.0</v>
      </c>
      <c r="AY9" s="1">
        <v>100.0</v>
      </c>
      <c r="AZ9" s="1">
        <v>100.0</v>
      </c>
      <c r="BA9" s="1">
        <v>100.0</v>
      </c>
      <c r="BB9" s="1">
        <v>100.0</v>
      </c>
      <c r="BC9" s="1">
        <v>100.0</v>
      </c>
      <c r="BD9" s="1">
        <v>100.0</v>
      </c>
      <c r="BE9" s="1">
        <v>100.0</v>
      </c>
      <c r="BF9" s="1">
        <v>100.0</v>
      </c>
      <c r="BG9" s="1">
        <v>100.0</v>
      </c>
      <c r="BH9" s="1">
        <v>100.0</v>
      </c>
      <c r="BI9" s="1">
        <v>100.0</v>
      </c>
      <c r="BJ9" s="1">
        <v>100.0</v>
      </c>
      <c r="BK9" s="1">
        <v>100.0</v>
      </c>
      <c r="BL9" s="1">
        <v>100.0</v>
      </c>
      <c r="BM9" s="1">
        <v>100.0</v>
      </c>
      <c r="BN9" s="1">
        <v>100.0</v>
      </c>
      <c r="BO9" s="1">
        <v>100.0</v>
      </c>
      <c r="BP9" s="1">
        <v>100.0</v>
      </c>
      <c r="BQ9" s="1">
        <v>100.0</v>
      </c>
      <c r="BR9" s="1">
        <v>100.0</v>
      </c>
      <c r="BS9" s="1">
        <v>100.0</v>
      </c>
      <c r="BT9" s="1">
        <v>100.0</v>
      </c>
      <c r="BU9" s="1">
        <v>100.0</v>
      </c>
      <c r="BV9" s="1" t="s">
        <v>239</v>
      </c>
    </row>
    <row r="10">
      <c r="A10" s="1" t="s">
        <v>149</v>
      </c>
      <c r="B10" s="1">
        <v>20.0</v>
      </c>
      <c r="C10" s="1">
        <v>20.0</v>
      </c>
      <c r="D10" s="1">
        <v>20.0</v>
      </c>
      <c r="E10" s="1">
        <v>20.0</v>
      </c>
      <c r="F10" s="1">
        <v>20.0</v>
      </c>
      <c r="G10" s="1">
        <v>20.0</v>
      </c>
      <c r="H10" s="1">
        <v>20.0</v>
      </c>
      <c r="I10" s="1">
        <v>20.0</v>
      </c>
      <c r="J10" s="1">
        <v>20.0</v>
      </c>
      <c r="K10" s="1">
        <v>20.0</v>
      </c>
      <c r="L10" s="1">
        <v>20.0</v>
      </c>
      <c r="M10" s="1">
        <v>20.0</v>
      </c>
      <c r="N10" s="1">
        <v>20.0</v>
      </c>
      <c r="O10" s="1">
        <v>20.0</v>
      </c>
      <c r="P10" s="1">
        <v>20.0</v>
      </c>
      <c r="Q10" s="1">
        <v>20.0</v>
      </c>
      <c r="R10" s="1">
        <v>20.0</v>
      </c>
      <c r="S10" s="1">
        <v>20.0</v>
      </c>
      <c r="T10" s="1">
        <v>20.0</v>
      </c>
      <c r="U10" s="1">
        <v>20.0</v>
      </c>
      <c r="V10" s="1">
        <v>20.0</v>
      </c>
      <c r="W10" s="1">
        <v>20.0</v>
      </c>
      <c r="X10" s="1">
        <v>20.0</v>
      </c>
      <c r="Y10" s="1">
        <v>20.0</v>
      </c>
      <c r="Z10" s="1">
        <v>20.0</v>
      </c>
      <c r="AA10" s="1">
        <v>20.0</v>
      </c>
      <c r="AB10" s="1">
        <v>20.0</v>
      </c>
      <c r="AC10" s="1">
        <v>20.0</v>
      </c>
      <c r="AD10" s="1">
        <v>20.0</v>
      </c>
      <c r="AE10" s="1">
        <v>20.0</v>
      </c>
      <c r="AF10" s="1">
        <v>20.0</v>
      </c>
      <c r="AG10" s="1">
        <v>20.0</v>
      </c>
      <c r="AH10" s="1">
        <v>20.0</v>
      </c>
      <c r="AI10" s="1">
        <v>20.0</v>
      </c>
      <c r="AJ10" s="1">
        <v>20.0</v>
      </c>
      <c r="AK10" s="1">
        <v>20.0</v>
      </c>
      <c r="AL10" s="1">
        <v>20.0</v>
      </c>
      <c r="AM10" s="1">
        <v>20.0</v>
      </c>
      <c r="AN10" s="1">
        <v>20.0</v>
      </c>
      <c r="AO10" s="1">
        <v>20.0</v>
      </c>
      <c r="AP10" s="1">
        <v>20.0</v>
      </c>
      <c r="AQ10" s="1">
        <v>20.0</v>
      </c>
      <c r="AR10" s="1">
        <v>20.0</v>
      </c>
      <c r="AS10" s="1">
        <v>20.0</v>
      </c>
      <c r="AT10" s="1">
        <v>20.0</v>
      </c>
      <c r="AU10" s="1">
        <v>20.0</v>
      </c>
      <c r="AV10" s="1">
        <v>20.0</v>
      </c>
      <c r="AW10" s="1">
        <v>20.0</v>
      </c>
      <c r="AX10" s="1">
        <v>20.0</v>
      </c>
      <c r="AY10" s="1">
        <v>20.0</v>
      </c>
      <c r="AZ10" s="1">
        <v>20.0</v>
      </c>
      <c r="BA10" s="1">
        <v>20.0</v>
      </c>
      <c r="BB10" s="1">
        <v>20.0</v>
      </c>
      <c r="BC10" s="1">
        <v>20.0</v>
      </c>
      <c r="BD10" s="1">
        <v>20.0</v>
      </c>
      <c r="BE10" s="1">
        <v>20.0</v>
      </c>
      <c r="BF10" s="1">
        <v>20.0</v>
      </c>
      <c r="BG10" s="1">
        <v>20.0</v>
      </c>
      <c r="BH10" s="1">
        <v>20.0</v>
      </c>
      <c r="BI10" s="1">
        <v>20.0</v>
      </c>
      <c r="BJ10" s="1">
        <v>20.0</v>
      </c>
      <c r="BK10" s="1">
        <v>20.0</v>
      </c>
      <c r="BL10" s="1">
        <v>20.0</v>
      </c>
      <c r="BM10" s="1">
        <v>20.0</v>
      </c>
      <c r="BN10" s="1">
        <v>20.0</v>
      </c>
      <c r="BO10" s="1">
        <v>20.0</v>
      </c>
      <c r="BP10" s="1">
        <v>20.0</v>
      </c>
      <c r="BQ10" s="1">
        <v>20.0</v>
      </c>
      <c r="BR10" s="1">
        <v>20.0</v>
      </c>
      <c r="BS10" s="1">
        <v>20.0</v>
      </c>
      <c r="BT10" s="1">
        <v>20.0</v>
      </c>
      <c r="BU10" s="1">
        <v>20.0</v>
      </c>
      <c r="BV10" s="1" t="s">
        <v>178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25900.0</v>
      </c>
      <c r="T11" s="1">
        <v>25925.0</v>
      </c>
      <c r="U11" s="1">
        <v>25950.0</v>
      </c>
      <c r="V11" s="1">
        <v>25975.0</v>
      </c>
      <c r="W11" s="1">
        <v>25999.0</v>
      </c>
      <c r="X11" s="1">
        <v>26024.0</v>
      </c>
      <c r="Y11" s="1">
        <v>26049.0</v>
      </c>
      <c r="Z11" s="1">
        <v>26074.0</v>
      </c>
      <c r="AA11" s="1">
        <v>26099.0</v>
      </c>
      <c r="AB11" s="1">
        <v>26124.0</v>
      </c>
      <c r="AC11" s="1">
        <v>26149.0</v>
      </c>
      <c r="AD11" s="1">
        <v>26174.0</v>
      </c>
      <c r="AE11" s="1">
        <v>26199.0</v>
      </c>
      <c r="AF11" s="1">
        <v>26224.0</v>
      </c>
      <c r="AG11" s="1">
        <v>26250.0</v>
      </c>
      <c r="AH11" s="1">
        <v>26275.0</v>
      </c>
      <c r="AI11" s="1">
        <v>26300.0</v>
      </c>
      <c r="AJ11" s="1">
        <v>26325.0</v>
      </c>
      <c r="AK11" s="1">
        <v>26350.0</v>
      </c>
      <c r="AL11" s="1">
        <v>26376.0</v>
      </c>
      <c r="AM11" s="1">
        <v>26401.0</v>
      </c>
      <c r="AN11" s="1">
        <v>26426.0</v>
      </c>
      <c r="AO11" s="1">
        <v>26451.0</v>
      </c>
      <c r="AP11" s="1">
        <v>26477.0</v>
      </c>
      <c r="AQ11" s="1">
        <v>26502.0</v>
      </c>
      <c r="AR11" s="1">
        <v>26527.0</v>
      </c>
      <c r="AS11" s="1">
        <v>26553.0</v>
      </c>
      <c r="AT11" s="1">
        <v>26578.0</v>
      </c>
      <c r="AU11" s="1">
        <v>26604.0</v>
      </c>
      <c r="AV11" s="1">
        <v>26629.0</v>
      </c>
      <c r="AW11" s="1">
        <v>26655.0</v>
      </c>
      <c r="AX11" s="1">
        <v>26680.0</v>
      </c>
      <c r="AY11" s="1">
        <v>26706.0</v>
      </c>
      <c r="AZ11" s="1">
        <v>26731.0</v>
      </c>
      <c r="BA11" s="1">
        <v>26757.0</v>
      </c>
      <c r="BB11" s="1">
        <v>26783.0</v>
      </c>
      <c r="BC11" s="1">
        <v>26808.0</v>
      </c>
      <c r="BD11" s="1">
        <v>26834.0</v>
      </c>
      <c r="BE11" s="1">
        <v>26860.0</v>
      </c>
      <c r="BF11" s="1">
        <v>26885.0</v>
      </c>
      <c r="BG11" s="1">
        <v>26911.0</v>
      </c>
      <c r="BH11" s="1">
        <v>26937.0</v>
      </c>
      <c r="BI11" s="1">
        <v>26963.0</v>
      </c>
      <c r="BJ11" s="1">
        <v>26989.0</v>
      </c>
      <c r="BK11" s="1">
        <v>27015.0</v>
      </c>
      <c r="BL11" s="1">
        <v>27040.0</v>
      </c>
      <c r="BM11" s="1">
        <v>27066.0</v>
      </c>
      <c r="BN11" s="1">
        <v>27092.0</v>
      </c>
      <c r="BO11" s="1">
        <v>27118.0</v>
      </c>
      <c r="BP11" s="1">
        <v>27144.0</v>
      </c>
      <c r="BQ11" s="1">
        <v>27170.0</v>
      </c>
      <c r="BR11" s="1">
        <v>27196.0</v>
      </c>
      <c r="BS11" s="1">
        <v>27222.0</v>
      </c>
      <c r="BT11" s="1">
        <v>27248.0</v>
      </c>
      <c r="BU11" s="1">
        <v>27274.0</v>
      </c>
      <c r="BV11" s="1">
        <v>1461978.0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2590000.0</v>
      </c>
      <c r="T12" s="1">
        <v>2592481.0</v>
      </c>
      <c r="U12" s="1">
        <v>2594965.0</v>
      </c>
      <c r="V12" s="1">
        <v>2597451.0</v>
      </c>
      <c r="W12" s="1">
        <v>2599939.0</v>
      </c>
      <c r="X12" s="1">
        <v>2602430.0</v>
      </c>
      <c r="Y12" s="1">
        <v>2604923.0</v>
      </c>
      <c r="Z12" s="1">
        <v>2607419.0</v>
      </c>
      <c r="AA12" s="1">
        <v>2609916.0</v>
      </c>
      <c r="AB12" s="1">
        <v>2612417.0</v>
      </c>
      <c r="AC12" s="1">
        <v>2614919.0</v>
      </c>
      <c r="AD12" s="1">
        <v>2617425.0</v>
      </c>
      <c r="AE12" s="1">
        <v>2619932.0</v>
      </c>
      <c r="AF12" s="1">
        <v>2622442.0</v>
      </c>
      <c r="AG12" s="1">
        <v>2624954.0</v>
      </c>
      <c r="AH12" s="1">
        <v>2627469.0</v>
      </c>
      <c r="AI12" s="1">
        <v>2629986.0</v>
      </c>
      <c r="AJ12" s="1">
        <v>2632506.0</v>
      </c>
      <c r="AK12" s="1">
        <v>2635028.0</v>
      </c>
      <c r="AL12" s="1">
        <v>2637552.0</v>
      </c>
      <c r="AM12" s="1">
        <v>2640079.0</v>
      </c>
      <c r="AN12" s="1">
        <v>2642608.0</v>
      </c>
      <c r="AO12" s="1">
        <v>2645139.0</v>
      </c>
      <c r="AP12" s="1">
        <v>2647673.0</v>
      </c>
      <c r="AQ12" s="1">
        <v>2650210.0</v>
      </c>
      <c r="AR12" s="1">
        <v>2652749.0</v>
      </c>
      <c r="AS12" s="1">
        <v>2655290.0</v>
      </c>
      <c r="AT12" s="1">
        <v>2657834.0</v>
      </c>
      <c r="AU12" s="1">
        <v>2660380.0</v>
      </c>
      <c r="AV12" s="1">
        <v>2662929.0</v>
      </c>
      <c r="AW12" s="1">
        <v>2665480.0</v>
      </c>
      <c r="AX12" s="1">
        <v>2668033.0</v>
      </c>
      <c r="AY12" s="1">
        <v>2670589.0</v>
      </c>
      <c r="AZ12" s="1">
        <v>2673148.0</v>
      </c>
      <c r="BA12" s="1">
        <v>2675709.0</v>
      </c>
      <c r="BB12" s="1">
        <v>2678272.0</v>
      </c>
      <c r="BC12" s="1">
        <v>2680838.0</v>
      </c>
      <c r="BD12" s="1">
        <v>2683406.0</v>
      </c>
      <c r="BE12" s="1">
        <v>2685977.0</v>
      </c>
      <c r="BF12" s="1">
        <v>2688550.0</v>
      </c>
      <c r="BG12" s="1">
        <v>2691126.0</v>
      </c>
      <c r="BH12" s="1">
        <v>2693704.0</v>
      </c>
      <c r="BI12" s="1">
        <v>2696284.0</v>
      </c>
      <c r="BJ12" s="1">
        <v>2698867.0</v>
      </c>
      <c r="BK12" s="1">
        <v>2701453.0</v>
      </c>
      <c r="BL12" s="1">
        <v>2704041.0</v>
      </c>
      <c r="BM12" s="1">
        <v>2706631.0</v>
      </c>
      <c r="BN12" s="1">
        <v>2709224.0</v>
      </c>
      <c r="BO12" s="1">
        <v>2711820.0</v>
      </c>
      <c r="BP12" s="1">
        <v>2714418.0</v>
      </c>
      <c r="BQ12" s="1">
        <v>2717018.0</v>
      </c>
      <c r="BR12" s="1">
        <v>2719621.0</v>
      </c>
      <c r="BS12" s="1">
        <v>2722226.0</v>
      </c>
      <c r="BT12" s="1">
        <v>2724834.0</v>
      </c>
      <c r="BU12" s="1">
        <v>2727445.0</v>
      </c>
      <c r="BV12" s="1">
        <v>1.46197757E8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518000.0</v>
      </c>
      <c r="T13" s="1">
        <v>518496.0</v>
      </c>
      <c r="U13" s="1">
        <v>518993.0</v>
      </c>
      <c r="V13" s="1">
        <v>519490.0</v>
      </c>
      <c r="W13" s="1">
        <v>519988.0</v>
      </c>
      <c r="X13" s="1">
        <v>520486.0</v>
      </c>
      <c r="Y13" s="1">
        <v>520985.0</v>
      </c>
      <c r="Z13" s="1">
        <v>521484.0</v>
      </c>
      <c r="AA13" s="1">
        <v>521983.0</v>
      </c>
      <c r="AB13" s="1">
        <v>522483.0</v>
      </c>
      <c r="AC13" s="1">
        <v>522984.0</v>
      </c>
      <c r="AD13" s="1">
        <v>523485.0</v>
      </c>
      <c r="AE13" s="1">
        <v>523986.0</v>
      </c>
      <c r="AF13" s="1">
        <v>524488.0</v>
      </c>
      <c r="AG13" s="1">
        <v>524991.0</v>
      </c>
      <c r="AH13" s="1">
        <v>525494.0</v>
      </c>
      <c r="AI13" s="1">
        <v>525997.0</v>
      </c>
      <c r="AJ13" s="1">
        <v>526501.0</v>
      </c>
      <c r="AK13" s="1">
        <v>527006.0</v>
      </c>
      <c r="AL13" s="1">
        <v>527510.0</v>
      </c>
      <c r="AM13" s="1">
        <v>528016.0</v>
      </c>
      <c r="AN13" s="1">
        <v>528522.0</v>
      </c>
      <c r="AO13" s="1">
        <v>529028.0</v>
      </c>
      <c r="AP13" s="1">
        <v>529535.0</v>
      </c>
      <c r="AQ13" s="1">
        <v>530042.0</v>
      </c>
      <c r="AR13" s="1">
        <v>530550.0</v>
      </c>
      <c r="AS13" s="1">
        <v>531058.0</v>
      </c>
      <c r="AT13" s="1">
        <v>531567.0</v>
      </c>
      <c r="AU13" s="1">
        <v>532076.0</v>
      </c>
      <c r="AV13" s="1">
        <v>532586.0</v>
      </c>
      <c r="AW13" s="1">
        <v>533096.0</v>
      </c>
      <c r="AX13" s="1">
        <v>533607.0</v>
      </c>
      <c r="AY13" s="1">
        <v>534118.0</v>
      </c>
      <c r="AZ13" s="1">
        <v>534630.0</v>
      </c>
      <c r="BA13" s="1">
        <v>535142.0</v>
      </c>
      <c r="BB13" s="1">
        <v>535654.0</v>
      </c>
      <c r="BC13" s="1">
        <v>536168.0</v>
      </c>
      <c r="BD13" s="1">
        <v>536681.0</v>
      </c>
      <c r="BE13" s="1">
        <v>537195.0</v>
      </c>
      <c r="BF13" s="1">
        <v>537710.0</v>
      </c>
      <c r="BG13" s="1">
        <v>538225.0</v>
      </c>
      <c r="BH13" s="1">
        <v>538741.0</v>
      </c>
      <c r="BI13" s="1">
        <v>539257.0</v>
      </c>
      <c r="BJ13" s="1">
        <v>539773.0</v>
      </c>
      <c r="BK13" s="1">
        <v>540291.0</v>
      </c>
      <c r="BL13" s="1">
        <v>540808.0</v>
      </c>
      <c r="BM13" s="1">
        <v>541326.0</v>
      </c>
      <c r="BN13" s="1">
        <v>541845.0</v>
      </c>
      <c r="BO13" s="1">
        <v>542364.0</v>
      </c>
      <c r="BP13" s="1">
        <v>542884.0</v>
      </c>
      <c r="BQ13" s="1">
        <v>543404.0</v>
      </c>
      <c r="BR13" s="1">
        <v>543924.0</v>
      </c>
      <c r="BS13" s="1">
        <v>544445.0</v>
      </c>
      <c r="BT13" s="1">
        <v>544967.0</v>
      </c>
      <c r="BU13" s="1">
        <v>545489.0</v>
      </c>
      <c r="BV13" s="1">
        <v>2.9239551E7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2000.0</v>
      </c>
      <c r="T14" s="1">
        <v>2000.0</v>
      </c>
      <c r="U14" s="1">
        <v>2000.0</v>
      </c>
      <c r="V14" s="1">
        <v>2000.0</v>
      </c>
      <c r="W14" s="1">
        <v>2000.0</v>
      </c>
      <c r="X14" s="1">
        <v>2000.0</v>
      </c>
      <c r="Y14" s="1">
        <v>2000.0</v>
      </c>
      <c r="Z14" s="1">
        <v>2000.0</v>
      </c>
      <c r="AA14" s="1">
        <v>2000.0</v>
      </c>
      <c r="AB14" s="1">
        <v>2000.0</v>
      </c>
      <c r="AC14" s="1">
        <v>2000.0</v>
      </c>
      <c r="AD14" s="1">
        <v>2000.0</v>
      </c>
      <c r="AE14" s="1">
        <v>2000.0</v>
      </c>
      <c r="AF14" s="1">
        <v>2000.0</v>
      </c>
      <c r="AG14" s="1">
        <v>2000.0</v>
      </c>
      <c r="AH14" s="1">
        <v>2000.0</v>
      </c>
      <c r="AI14" s="1">
        <v>2000.0</v>
      </c>
      <c r="AJ14" s="1">
        <v>2000.0</v>
      </c>
      <c r="AK14" s="1">
        <v>2000.0</v>
      </c>
      <c r="AL14" s="1">
        <v>2000.0</v>
      </c>
      <c r="AM14" s="1">
        <v>2000.0</v>
      </c>
      <c r="AN14" s="1">
        <v>2000.0</v>
      </c>
      <c r="AO14" s="1">
        <v>2000.0</v>
      </c>
      <c r="AP14" s="1">
        <v>2000.0</v>
      </c>
      <c r="AQ14" s="1">
        <v>2000.0</v>
      </c>
      <c r="AR14" s="1">
        <v>2000.0</v>
      </c>
      <c r="AS14" s="1">
        <v>2000.0</v>
      </c>
      <c r="AT14" s="1">
        <v>2000.0</v>
      </c>
      <c r="AU14" s="1">
        <v>2000.0</v>
      </c>
      <c r="AV14" s="1">
        <v>2000.0</v>
      </c>
      <c r="AW14" s="1">
        <v>2000.0</v>
      </c>
      <c r="AX14" s="1">
        <v>2000.0</v>
      </c>
      <c r="AY14" s="1">
        <v>2000.0</v>
      </c>
      <c r="AZ14" s="1">
        <v>2000.0</v>
      </c>
      <c r="BA14" s="1">
        <v>2000.0</v>
      </c>
      <c r="BB14" s="1">
        <v>2000.0</v>
      </c>
      <c r="BC14" s="1">
        <v>2000.0</v>
      </c>
      <c r="BD14" s="1">
        <v>2000.0</v>
      </c>
      <c r="BE14" s="1">
        <v>2000.0</v>
      </c>
      <c r="BF14" s="1">
        <v>2000.0</v>
      </c>
      <c r="BG14" s="1">
        <v>2000.0</v>
      </c>
      <c r="BH14" s="1">
        <v>2000.0</v>
      </c>
      <c r="BI14" s="1">
        <v>2000.0</v>
      </c>
      <c r="BJ14" s="1">
        <v>2000.0</v>
      </c>
      <c r="BK14" s="1">
        <v>2000.0</v>
      </c>
      <c r="BL14" s="1">
        <v>2000.0</v>
      </c>
      <c r="BM14" s="1">
        <v>2000.0</v>
      </c>
      <c r="BN14" s="1">
        <v>2000.0</v>
      </c>
      <c r="BO14" s="1">
        <v>2000.0</v>
      </c>
      <c r="BP14" s="1">
        <v>2000.0</v>
      </c>
      <c r="BQ14" s="1">
        <v>2000.0</v>
      </c>
      <c r="BR14" s="1">
        <v>2000.0</v>
      </c>
      <c r="BS14" s="1">
        <v>2000.0</v>
      </c>
      <c r="BT14" s="1">
        <v>2000.0</v>
      </c>
      <c r="BU14" s="1">
        <v>2000.0</v>
      </c>
      <c r="BV14" s="1">
        <v>110000.0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520000.0</v>
      </c>
      <c r="T15" s="1">
        <v>520496.0</v>
      </c>
      <c r="U15" s="1">
        <v>520993.0</v>
      </c>
      <c r="V15" s="1">
        <v>521490.0</v>
      </c>
      <c r="W15" s="1">
        <v>521988.0</v>
      </c>
      <c r="X15" s="1">
        <v>522486.0</v>
      </c>
      <c r="Y15" s="1">
        <v>522985.0</v>
      </c>
      <c r="Z15" s="1">
        <v>523484.0</v>
      </c>
      <c r="AA15" s="1">
        <v>523983.0</v>
      </c>
      <c r="AB15" s="1">
        <v>524483.0</v>
      </c>
      <c r="AC15" s="1">
        <v>524984.0</v>
      </c>
      <c r="AD15" s="1">
        <v>525485.0</v>
      </c>
      <c r="AE15" s="1">
        <v>525986.0</v>
      </c>
      <c r="AF15" s="1">
        <v>526488.0</v>
      </c>
      <c r="AG15" s="1">
        <v>526991.0</v>
      </c>
      <c r="AH15" s="1">
        <v>527494.0</v>
      </c>
      <c r="AI15" s="1">
        <v>527997.0</v>
      </c>
      <c r="AJ15" s="1">
        <v>528501.0</v>
      </c>
      <c r="AK15" s="1">
        <v>529006.0</v>
      </c>
      <c r="AL15" s="1">
        <v>529510.0</v>
      </c>
      <c r="AM15" s="1">
        <v>530016.0</v>
      </c>
      <c r="AN15" s="1">
        <v>530522.0</v>
      </c>
      <c r="AO15" s="1">
        <v>531028.0</v>
      </c>
      <c r="AP15" s="1">
        <v>531535.0</v>
      </c>
      <c r="AQ15" s="1">
        <v>532042.0</v>
      </c>
      <c r="AR15" s="1">
        <v>532550.0</v>
      </c>
      <c r="AS15" s="1">
        <v>533058.0</v>
      </c>
      <c r="AT15" s="1">
        <v>533567.0</v>
      </c>
      <c r="AU15" s="1">
        <v>534076.0</v>
      </c>
      <c r="AV15" s="1">
        <v>534586.0</v>
      </c>
      <c r="AW15" s="1">
        <v>535096.0</v>
      </c>
      <c r="AX15" s="1">
        <v>535607.0</v>
      </c>
      <c r="AY15" s="1">
        <v>536118.0</v>
      </c>
      <c r="AZ15" s="1">
        <v>536630.0</v>
      </c>
      <c r="BA15" s="1">
        <v>537142.0</v>
      </c>
      <c r="BB15" s="1">
        <v>537654.0</v>
      </c>
      <c r="BC15" s="1">
        <v>538168.0</v>
      </c>
      <c r="BD15" s="1">
        <v>538681.0</v>
      </c>
      <c r="BE15" s="1">
        <v>539195.0</v>
      </c>
      <c r="BF15" s="1">
        <v>539710.0</v>
      </c>
      <c r="BG15" s="1">
        <v>540225.0</v>
      </c>
      <c r="BH15" s="1">
        <v>540741.0</v>
      </c>
      <c r="BI15" s="1">
        <v>541257.0</v>
      </c>
      <c r="BJ15" s="1">
        <v>541773.0</v>
      </c>
      <c r="BK15" s="1">
        <v>542291.0</v>
      </c>
      <c r="BL15" s="1">
        <v>542808.0</v>
      </c>
      <c r="BM15" s="1">
        <v>543326.0</v>
      </c>
      <c r="BN15" s="1">
        <v>543845.0</v>
      </c>
      <c r="BO15" s="1">
        <v>544364.0</v>
      </c>
      <c r="BP15" s="1">
        <v>544884.0</v>
      </c>
      <c r="BQ15" s="1">
        <v>545404.0</v>
      </c>
      <c r="BR15" s="1">
        <v>545924.0</v>
      </c>
      <c r="BS15" s="1">
        <v>546445.0</v>
      </c>
      <c r="BT15" s="1">
        <v>546967.0</v>
      </c>
      <c r="BU15" s="1">
        <v>547489.0</v>
      </c>
      <c r="BV15" s="1">
        <v>2.9349551E7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2072000.0</v>
      </c>
      <c r="T16" s="1">
        <v>2073985.0</v>
      </c>
      <c r="U16" s="1">
        <v>2075972.0</v>
      </c>
      <c r="V16" s="1">
        <v>2077961.0</v>
      </c>
      <c r="W16" s="1">
        <v>2079951.0</v>
      </c>
      <c r="X16" s="1">
        <v>2081944.0</v>
      </c>
      <c r="Y16" s="1">
        <v>2083938.0</v>
      </c>
      <c r="Z16" s="1">
        <v>2085935.0</v>
      </c>
      <c r="AA16" s="1">
        <v>2087933.0</v>
      </c>
      <c r="AB16" s="1">
        <v>2089933.0</v>
      </c>
      <c r="AC16" s="1">
        <v>2091936.0</v>
      </c>
      <c r="AD16" s="1">
        <v>2093940.0</v>
      </c>
      <c r="AE16" s="1">
        <v>2095946.0</v>
      </c>
      <c r="AF16" s="1">
        <v>2097954.0</v>
      </c>
      <c r="AG16" s="1">
        <v>2099963.0</v>
      </c>
      <c r="AH16" s="1">
        <v>2101975.0</v>
      </c>
      <c r="AI16" s="1">
        <v>2103989.0</v>
      </c>
      <c r="AJ16" s="1">
        <v>2106004.0</v>
      </c>
      <c r="AK16" s="1">
        <v>2108022.0</v>
      </c>
      <c r="AL16" s="1">
        <v>2110041.0</v>
      </c>
      <c r="AM16" s="1">
        <v>2112063.0</v>
      </c>
      <c r="AN16" s="1">
        <v>2114086.0</v>
      </c>
      <c r="AO16" s="1">
        <v>2116112.0</v>
      </c>
      <c r="AP16" s="1">
        <v>2118139.0</v>
      </c>
      <c r="AQ16" s="1">
        <v>2120168.0</v>
      </c>
      <c r="AR16" s="1">
        <v>2122199.0</v>
      </c>
      <c r="AS16" s="1">
        <v>2124232.0</v>
      </c>
      <c r="AT16" s="1">
        <v>2126267.0</v>
      </c>
      <c r="AU16" s="1">
        <v>2128304.0</v>
      </c>
      <c r="AV16" s="1">
        <v>2130343.0</v>
      </c>
      <c r="AW16" s="1">
        <v>2132384.0</v>
      </c>
      <c r="AX16" s="1">
        <v>2134427.0</v>
      </c>
      <c r="AY16" s="1">
        <v>2136472.0</v>
      </c>
      <c r="AZ16" s="1">
        <v>2138518.0</v>
      </c>
      <c r="BA16" s="1">
        <v>2140567.0</v>
      </c>
      <c r="BB16" s="1">
        <v>2142618.0</v>
      </c>
      <c r="BC16" s="1">
        <v>2144670.0</v>
      </c>
      <c r="BD16" s="1">
        <v>2146725.0</v>
      </c>
      <c r="BE16" s="1">
        <v>2148781.0</v>
      </c>
      <c r="BF16" s="1">
        <v>2150840.0</v>
      </c>
      <c r="BG16" s="1">
        <v>2152900.0</v>
      </c>
      <c r="BH16" s="1">
        <v>2154963.0</v>
      </c>
      <c r="BI16" s="1">
        <v>2157027.0</v>
      </c>
      <c r="BJ16" s="1">
        <v>2159094.0</v>
      </c>
      <c r="BK16" s="1">
        <v>2161162.0</v>
      </c>
      <c r="BL16" s="1">
        <v>2163233.0</v>
      </c>
      <c r="BM16" s="1">
        <v>2165305.0</v>
      </c>
      <c r="BN16" s="1">
        <v>2167379.0</v>
      </c>
      <c r="BO16" s="1">
        <v>2169456.0</v>
      </c>
      <c r="BP16" s="1">
        <v>2171534.0</v>
      </c>
      <c r="BQ16" s="1">
        <v>2173614.0</v>
      </c>
      <c r="BR16" s="1">
        <v>2175697.0</v>
      </c>
      <c r="BS16" s="1">
        <v>2177781.0</v>
      </c>
      <c r="BT16" s="1">
        <v>2179867.0</v>
      </c>
      <c r="BU16" s="1">
        <v>2181956.0</v>
      </c>
      <c r="BV16" s="1">
        <v>1.16958205E8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245</v>
      </c>
    </row>
    <row r="2">
      <c r="A2" s="1" t="s">
        <v>238</v>
      </c>
    </row>
    <row r="3">
      <c r="A3" s="1" t="s">
        <v>220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1560000.0</v>
      </c>
      <c r="T6" s="1">
        <v>1561494.0</v>
      </c>
      <c r="U6" s="1">
        <v>1562990.0</v>
      </c>
      <c r="V6" s="1">
        <v>1564488.0</v>
      </c>
      <c r="W6" s="1">
        <v>1565987.0</v>
      </c>
      <c r="X6" s="1">
        <v>1567487.0</v>
      </c>
      <c r="Y6" s="1">
        <v>1568988.0</v>
      </c>
      <c r="Z6" s="1">
        <v>1570491.0</v>
      </c>
      <c r="AA6" s="1">
        <v>1571996.0</v>
      </c>
      <c r="AB6" s="1">
        <v>1573502.0</v>
      </c>
      <c r="AC6" s="1">
        <v>1575009.0</v>
      </c>
      <c r="AD6" s="1">
        <v>1576518.0</v>
      </c>
      <c r="AE6" s="1">
        <v>1578029.0</v>
      </c>
      <c r="AF6" s="1">
        <v>1579540.0</v>
      </c>
      <c r="AG6" s="1">
        <v>1581054.0</v>
      </c>
      <c r="AH6" s="1">
        <v>1582568.0</v>
      </c>
      <c r="AI6" s="1">
        <v>1584084.0</v>
      </c>
      <c r="AJ6" s="1">
        <v>1585602.0</v>
      </c>
      <c r="AK6" s="1">
        <v>1587121.0</v>
      </c>
      <c r="AL6" s="1">
        <v>1588641.0</v>
      </c>
      <c r="AM6" s="1">
        <v>1590163.0</v>
      </c>
      <c r="AN6" s="1">
        <v>1591687.0</v>
      </c>
      <c r="AO6" s="1">
        <v>1593211.0</v>
      </c>
      <c r="AP6" s="1">
        <v>1594738.0</v>
      </c>
      <c r="AQ6" s="1">
        <v>1596265.0</v>
      </c>
      <c r="AR6" s="1">
        <v>1597795.0</v>
      </c>
      <c r="AS6" s="1">
        <v>1599325.0</v>
      </c>
      <c r="AT6" s="1">
        <v>1600858.0</v>
      </c>
      <c r="AU6" s="1">
        <v>1602391.0</v>
      </c>
      <c r="AV6" s="1">
        <v>1603926.0</v>
      </c>
      <c r="AW6" s="1">
        <v>1605463.0</v>
      </c>
      <c r="AX6" s="1">
        <v>1607001.0</v>
      </c>
      <c r="AY6" s="1">
        <v>1608540.0</v>
      </c>
      <c r="AZ6" s="1">
        <v>1610081.0</v>
      </c>
      <c r="BA6" s="1">
        <v>1611624.0</v>
      </c>
      <c r="BB6" s="1">
        <v>1613168.0</v>
      </c>
      <c r="BC6" s="1">
        <v>1614713.0</v>
      </c>
      <c r="BD6" s="1">
        <v>1616260.0</v>
      </c>
      <c r="BE6" s="1">
        <v>1617808.0</v>
      </c>
      <c r="BF6" s="1">
        <v>1619358.0</v>
      </c>
      <c r="BG6" s="1">
        <v>1620910.0</v>
      </c>
      <c r="BH6" s="1">
        <v>1622462.0</v>
      </c>
      <c r="BI6" s="1">
        <v>1624017.0</v>
      </c>
      <c r="BJ6" s="1">
        <v>1625573.0</v>
      </c>
      <c r="BK6" s="1">
        <v>1627130.0</v>
      </c>
      <c r="BL6" s="1">
        <v>1628689.0</v>
      </c>
      <c r="BM6" s="1">
        <v>1630249.0</v>
      </c>
      <c r="BN6" s="1">
        <v>1631811.0</v>
      </c>
      <c r="BO6" s="1">
        <v>1633374.0</v>
      </c>
      <c r="BP6" s="1">
        <v>1634939.0</v>
      </c>
      <c r="BQ6" s="1">
        <v>1636505.0</v>
      </c>
      <c r="BR6" s="1">
        <v>1638073.0</v>
      </c>
      <c r="BS6" s="1">
        <v>1639642.0</v>
      </c>
      <c r="BT6" s="1">
        <v>1641213.0</v>
      </c>
      <c r="BU6" s="1">
        <v>1642785.0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9360.0</v>
      </c>
      <c r="U7" s="1">
        <v>9369.0</v>
      </c>
      <c r="V7" s="1">
        <v>9378.0</v>
      </c>
      <c r="W7" s="1">
        <v>9387.0</v>
      </c>
      <c r="X7" s="1">
        <v>9396.0</v>
      </c>
      <c r="Y7" s="1">
        <v>9405.0</v>
      </c>
      <c r="Z7" s="1">
        <v>9414.0</v>
      </c>
      <c r="AA7" s="1">
        <v>9423.0</v>
      </c>
      <c r="AB7" s="1">
        <v>9432.0</v>
      </c>
      <c r="AC7" s="1">
        <v>9441.0</v>
      </c>
      <c r="AD7" s="1">
        <v>9450.0</v>
      </c>
      <c r="AE7" s="1">
        <v>9459.0</v>
      </c>
      <c r="AF7" s="1">
        <v>9468.0</v>
      </c>
      <c r="AG7" s="1">
        <v>9477.0</v>
      </c>
      <c r="AH7" s="1">
        <v>9486.0</v>
      </c>
      <c r="AI7" s="1">
        <v>9495.0</v>
      </c>
      <c r="AJ7" s="1">
        <v>9505.0</v>
      </c>
      <c r="AK7" s="1">
        <v>9514.0</v>
      </c>
      <c r="AL7" s="1">
        <v>9523.0</v>
      </c>
      <c r="AM7" s="1">
        <v>9532.0</v>
      </c>
      <c r="AN7" s="1">
        <v>9541.0</v>
      </c>
      <c r="AO7" s="1">
        <v>9550.0</v>
      </c>
      <c r="AP7" s="1">
        <v>9559.0</v>
      </c>
      <c r="AQ7" s="1">
        <v>9568.0</v>
      </c>
      <c r="AR7" s="1">
        <v>9578.0</v>
      </c>
      <c r="AS7" s="1">
        <v>9587.0</v>
      </c>
      <c r="AT7" s="1">
        <v>9596.0</v>
      </c>
      <c r="AU7" s="1">
        <v>9605.0</v>
      </c>
      <c r="AV7" s="1">
        <v>9614.0</v>
      </c>
      <c r="AW7" s="1">
        <v>9624.0</v>
      </c>
      <c r="AX7" s="1">
        <v>9633.0</v>
      </c>
      <c r="AY7" s="1">
        <v>9642.0</v>
      </c>
      <c r="AZ7" s="1">
        <v>9651.0</v>
      </c>
      <c r="BA7" s="1">
        <v>9660.0</v>
      </c>
      <c r="BB7" s="1">
        <v>9670.0</v>
      </c>
      <c r="BC7" s="1">
        <v>9679.0</v>
      </c>
      <c r="BD7" s="1">
        <v>9688.0</v>
      </c>
      <c r="BE7" s="1">
        <v>9698.0</v>
      </c>
      <c r="BF7" s="1">
        <v>9707.0</v>
      </c>
      <c r="BG7" s="1">
        <v>9716.0</v>
      </c>
      <c r="BH7" s="1">
        <v>9725.0</v>
      </c>
      <c r="BI7" s="1">
        <v>9735.0</v>
      </c>
      <c r="BJ7" s="1">
        <v>9744.0</v>
      </c>
      <c r="BK7" s="1">
        <v>9753.0</v>
      </c>
      <c r="BL7" s="1">
        <v>9763.0</v>
      </c>
      <c r="BM7" s="1">
        <v>9772.0</v>
      </c>
      <c r="BN7" s="1">
        <v>9781.0</v>
      </c>
      <c r="BO7" s="1">
        <v>9791.0</v>
      </c>
      <c r="BP7" s="1">
        <v>9800.0</v>
      </c>
      <c r="BQ7" s="1">
        <v>9810.0</v>
      </c>
      <c r="BR7" s="1">
        <v>9819.0</v>
      </c>
      <c r="BS7" s="1">
        <v>9828.0</v>
      </c>
      <c r="BT7" s="1">
        <v>9838.0</v>
      </c>
      <c r="BU7" s="1">
        <v>9847.0</v>
      </c>
      <c r="BV7" s="1">
        <v>518487.0</v>
      </c>
    </row>
    <row r="8">
      <c r="A8" s="1" t="s">
        <v>145</v>
      </c>
      <c r="B8" s="1">
        <v>1.1</v>
      </c>
      <c r="C8" s="1">
        <v>1.1</v>
      </c>
      <c r="D8" s="1">
        <v>1.1</v>
      </c>
      <c r="E8" s="1">
        <v>1.1</v>
      </c>
      <c r="F8" s="1">
        <v>1.1</v>
      </c>
      <c r="G8" s="1">
        <v>1.1</v>
      </c>
      <c r="H8" s="1">
        <v>1.1</v>
      </c>
      <c r="I8" s="1">
        <v>1.1</v>
      </c>
      <c r="J8" s="1">
        <v>1.1</v>
      </c>
      <c r="K8" s="1">
        <v>1.1</v>
      </c>
      <c r="L8" s="1">
        <v>1.1</v>
      </c>
      <c r="M8" s="1">
        <v>1.1</v>
      </c>
      <c r="N8" s="1">
        <v>1.1</v>
      </c>
      <c r="O8" s="1">
        <v>1.1</v>
      </c>
      <c r="P8" s="1">
        <v>1.1</v>
      </c>
      <c r="Q8" s="1">
        <v>1.1</v>
      </c>
      <c r="R8" s="1">
        <v>1.1</v>
      </c>
      <c r="S8" s="1">
        <v>1.1</v>
      </c>
      <c r="T8" s="1">
        <v>1.1</v>
      </c>
      <c r="U8" s="1">
        <v>1.1</v>
      </c>
      <c r="V8" s="1">
        <v>1.1</v>
      </c>
      <c r="W8" s="1">
        <v>1.1</v>
      </c>
      <c r="X8" s="1">
        <v>1.1</v>
      </c>
      <c r="Y8" s="1">
        <v>1.1</v>
      </c>
      <c r="Z8" s="1">
        <v>1.1</v>
      </c>
      <c r="AA8" s="1">
        <v>1.1</v>
      </c>
      <c r="AB8" s="1">
        <v>1.1</v>
      </c>
      <c r="AC8" s="1">
        <v>1.1</v>
      </c>
      <c r="AD8" s="1">
        <v>1.1</v>
      </c>
      <c r="AE8" s="1">
        <v>1.1</v>
      </c>
      <c r="AF8" s="1">
        <v>1.1</v>
      </c>
      <c r="AG8" s="1">
        <v>1.1</v>
      </c>
      <c r="AH8" s="1">
        <v>1.1</v>
      </c>
      <c r="AI8" s="1">
        <v>1.1</v>
      </c>
      <c r="AJ8" s="1">
        <v>1.1</v>
      </c>
      <c r="AK8" s="1">
        <v>1.1</v>
      </c>
      <c r="AL8" s="1">
        <v>1.1</v>
      </c>
      <c r="AM8" s="1">
        <v>1.1</v>
      </c>
      <c r="AN8" s="1">
        <v>1.1</v>
      </c>
      <c r="AO8" s="1">
        <v>1.1</v>
      </c>
      <c r="AP8" s="1">
        <v>1.1</v>
      </c>
      <c r="AQ8" s="1">
        <v>1.1</v>
      </c>
      <c r="AR8" s="1">
        <v>1.1</v>
      </c>
      <c r="AS8" s="1">
        <v>1.1</v>
      </c>
      <c r="AT8" s="1">
        <v>1.1</v>
      </c>
      <c r="AU8" s="1">
        <v>1.1</v>
      </c>
      <c r="AV8" s="1">
        <v>1.1</v>
      </c>
      <c r="AW8" s="1">
        <v>1.1</v>
      </c>
      <c r="AX8" s="1">
        <v>1.1</v>
      </c>
      <c r="AY8" s="1">
        <v>1.1</v>
      </c>
      <c r="AZ8" s="1">
        <v>1.1</v>
      </c>
      <c r="BA8" s="1">
        <v>1.1</v>
      </c>
      <c r="BB8" s="1">
        <v>1.1</v>
      </c>
      <c r="BC8" s="1">
        <v>1.1</v>
      </c>
      <c r="BD8" s="1">
        <v>1.1</v>
      </c>
      <c r="BE8" s="1">
        <v>1.1</v>
      </c>
      <c r="BF8" s="1">
        <v>1.1</v>
      </c>
      <c r="BG8" s="1">
        <v>1.1</v>
      </c>
      <c r="BH8" s="1">
        <v>1.1</v>
      </c>
      <c r="BI8" s="1">
        <v>1.1</v>
      </c>
      <c r="BJ8" s="1">
        <v>1.1</v>
      </c>
      <c r="BK8" s="1">
        <v>1.1</v>
      </c>
      <c r="BL8" s="1">
        <v>1.1</v>
      </c>
      <c r="BM8" s="1">
        <v>1.1</v>
      </c>
      <c r="BN8" s="1">
        <v>1.1</v>
      </c>
      <c r="BO8" s="1">
        <v>1.1</v>
      </c>
      <c r="BP8" s="1">
        <v>1.1</v>
      </c>
      <c r="BQ8" s="1">
        <v>1.1</v>
      </c>
      <c r="BR8" s="1">
        <v>1.1</v>
      </c>
      <c r="BS8" s="1">
        <v>1.1</v>
      </c>
      <c r="BT8" s="1">
        <v>1.1</v>
      </c>
      <c r="BU8" s="1">
        <v>1.1</v>
      </c>
    </row>
    <row r="9">
      <c r="A9" s="1" t="s">
        <v>146</v>
      </c>
      <c r="B9" s="1">
        <v>100.0</v>
      </c>
      <c r="C9" s="1">
        <v>100.0</v>
      </c>
      <c r="D9" s="1">
        <v>100.0</v>
      </c>
      <c r="E9" s="1">
        <v>100.0</v>
      </c>
      <c r="F9" s="1">
        <v>100.0</v>
      </c>
      <c r="G9" s="1">
        <v>100.0</v>
      </c>
      <c r="H9" s="1">
        <v>100.0</v>
      </c>
      <c r="I9" s="1">
        <v>100.0</v>
      </c>
      <c r="J9" s="1">
        <v>100.0</v>
      </c>
      <c r="K9" s="1">
        <v>100.0</v>
      </c>
      <c r="L9" s="1">
        <v>100.0</v>
      </c>
      <c r="M9" s="1">
        <v>100.0</v>
      </c>
      <c r="N9" s="1">
        <v>100.0</v>
      </c>
      <c r="O9" s="1">
        <v>100.0</v>
      </c>
      <c r="P9" s="1">
        <v>100.0</v>
      </c>
      <c r="Q9" s="1">
        <v>100.0</v>
      </c>
      <c r="R9" s="1">
        <v>100.0</v>
      </c>
      <c r="S9" s="1">
        <v>100.0</v>
      </c>
      <c r="T9" s="1">
        <v>100.0</v>
      </c>
      <c r="U9" s="1">
        <v>100.0</v>
      </c>
      <c r="V9" s="1">
        <v>100.0</v>
      </c>
      <c r="W9" s="1">
        <v>100.0</v>
      </c>
      <c r="X9" s="1">
        <v>100.0</v>
      </c>
      <c r="Y9" s="1">
        <v>100.0</v>
      </c>
      <c r="Z9" s="1">
        <v>100.0</v>
      </c>
      <c r="AA9" s="1">
        <v>100.0</v>
      </c>
      <c r="AB9" s="1">
        <v>100.0</v>
      </c>
      <c r="AC9" s="1">
        <v>100.0</v>
      </c>
      <c r="AD9" s="1">
        <v>100.0</v>
      </c>
      <c r="AE9" s="1">
        <v>100.0</v>
      </c>
      <c r="AF9" s="1">
        <v>100.0</v>
      </c>
      <c r="AG9" s="1">
        <v>100.0</v>
      </c>
      <c r="AH9" s="1">
        <v>100.0</v>
      </c>
      <c r="AI9" s="1">
        <v>100.0</v>
      </c>
      <c r="AJ9" s="1">
        <v>100.0</v>
      </c>
      <c r="AK9" s="1">
        <v>100.0</v>
      </c>
      <c r="AL9" s="1">
        <v>100.0</v>
      </c>
      <c r="AM9" s="1">
        <v>100.0</v>
      </c>
      <c r="AN9" s="1">
        <v>100.0</v>
      </c>
      <c r="AO9" s="1">
        <v>100.0</v>
      </c>
      <c r="AP9" s="1">
        <v>100.0</v>
      </c>
      <c r="AQ9" s="1">
        <v>100.0</v>
      </c>
      <c r="AR9" s="1">
        <v>100.0</v>
      </c>
      <c r="AS9" s="1">
        <v>100.0</v>
      </c>
      <c r="AT9" s="1">
        <v>100.0</v>
      </c>
      <c r="AU9" s="1">
        <v>100.0</v>
      </c>
      <c r="AV9" s="1">
        <v>100.0</v>
      </c>
      <c r="AW9" s="1">
        <v>100.0</v>
      </c>
      <c r="AX9" s="1">
        <v>100.0</v>
      </c>
      <c r="AY9" s="1">
        <v>100.0</v>
      </c>
      <c r="AZ9" s="1">
        <v>100.0</v>
      </c>
      <c r="BA9" s="1">
        <v>100.0</v>
      </c>
      <c r="BB9" s="1">
        <v>100.0</v>
      </c>
      <c r="BC9" s="1">
        <v>100.0</v>
      </c>
      <c r="BD9" s="1">
        <v>100.0</v>
      </c>
      <c r="BE9" s="1">
        <v>100.0</v>
      </c>
      <c r="BF9" s="1">
        <v>100.0</v>
      </c>
      <c r="BG9" s="1">
        <v>100.0</v>
      </c>
      <c r="BH9" s="1">
        <v>100.0</v>
      </c>
      <c r="BI9" s="1">
        <v>100.0</v>
      </c>
      <c r="BJ9" s="1">
        <v>100.0</v>
      </c>
      <c r="BK9" s="1">
        <v>100.0</v>
      </c>
      <c r="BL9" s="1">
        <v>100.0</v>
      </c>
      <c r="BM9" s="1">
        <v>100.0</v>
      </c>
      <c r="BN9" s="1">
        <v>100.0</v>
      </c>
      <c r="BO9" s="1">
        <v>100.0</v>
      </c>
      <c r="BP9" s="1">
        <v>100.0</v>
      </c>
      <c r="BQ9" s="1">
        <v>100.0</v>
      </c>
      <c r="BR9" s="1">
        <v>100.0</v>
      </c>
      <c r="BS9" s="1">
        <v>100.0</v>
      </c>
      <c r="BT9" s="1">
        <v>100.0</v>
      </c>
      <c r="BU9" s="1">
        <v>100.0</v>
      </c>
      <c r="BV9" s="1" t="s">
        <v>239</v>
      </c>
    </row>
    <row r="10">
      <c r="A10" s="1" t="s">
        <v>149</v>
      </c>
      <c r="B10" s="1">
        <v>20.0</v>
      </c>
      <c r="C10" s="1">
        <v>20.0</v>
      </c>
      <c r="D10" s="1">
        <v>20.0</v>
      </c>
      <c r="E10" s="1">
        <v>20.0</v>
      </c>
      <c r="F10" s="1">
        <v>20.0</v>
      </c>
      <c r="G10" s="1">
        <v>20.0</v>
      </c>
      <c r="H10" s="1">
        <v>20.0</v>
      </c>
      <c r="I10" s="1">
        <v>20.0</v>
      </c>
      <c r="J10" s="1">
        <v>20.0</v>
      </c>
      <c r="K10" s="1">
        <v>20.0</v>
      </c>
      <c r="L10" s="1">
        <v>20.0</v>
      </c>
      <c r="M10" s="1">
        <v>20.0</v>
      </c>
      <c r="N10" s="1">
        <v>20.0</v>
      </c>
      <c r="O10" s="1">
        <v>20.0</v>
      </c>
      <c r="P10" s="1">
        <v>20.0</v>
      </c>
      <c r="Q10" s="1">
        <v>20.0</v>
      </c>
      <c r="R10" s="1">
        <v>20.0</v>
      </c>
      <c r="S10" s="1">
        <v>20.0</v>
      </c>
      <c r="T10" s="1">
        <v>20.0</v>
      </c>
      <c r="U10" s="1">
        <v>20.0</v>
      </c>
      <c r="V10" s="1">
        <v>20.0</v>
      </c>
      <c r="W10" s="1">
        <v>20.0</v>
      </c>
      <c r="X10" s="1">
        <v>20.0</v>
      </c>
      <c r="Y10" s="1">
        <v>20.0</v>
      </c>
      <c r="Z10" s="1">
        <v>20.0</v>
      </c>
      <c r="AA10" s="1">
        <v>20.0</v>
      </c>
      <c r="AB10" s="1">
        <v>20.0</v>
      </c>
      <c r="AC10" s="1">
        <v>20.0</v>
      </c>
      <c r="AD10" s="1">
        <v>20.0</v>
      </c>
      <c r="AE10" s="1">
        <v>20.0</v>
      </c>
      <c r="AF10" s="1">
        <v>20.0</v>
      </c>
      <c r="AG10" s="1">
        <v>20.0</v>
      </c>
      <c r="AH10" s="1">
        <v>20.0</v>
      </c>
      <c r="AI10" s="1">
        <v>20.0</v>
      </c>
      <c r="AJ10" s="1">
        <v>20.0</v>
      </c>
      <c r="AK10" s="1">
        <v>20.0</v>
      </c>
      <c r="AL10" s="1">
        <v>20.0</v>
      </c>
      <c r="AM10" s="1">
        <v>20.0</v>
      </c>
      <c r="AN10" s="1">
        <v>20.0</v>
      </c>
      <c r="AO10" s="1">
        <v>20.0</v>
      </c>
      <c r="AP10" s="1">
        <v>20.0</v>
      </c>
      <c r="AQ10" s="1">
        <v>20.0</v>
      </c>
      <c r="AR10" s="1">
        <v>20.0</v>
      </c>
      <c r="AS10" s="1">
        <v>20.0</v>
      </c>
      <c r="AT10" s="1">
        <v>20.0</v>
      </c>
      <c r="AU10" s="1">
        <v>20.0</v>
      </c>
      <c r="AV10" s="1">
        <v>20.0</v>
      </c>
      <c r="AW10" s="1">
        <v>20.0</v>
      </c>
      <c r="AX10" s="1">
        <v>20.0</v>
      </c>
      <c r="AY10" s="1">
        <v>20.0</v>
      </c>
      <c r="AZ10" s="1">
        <v>20.0</v>
      </c>
      <c r="BA10" s="1">
        <v>20.0</v>
      </c>
      <c r="BB10" s="1">
        <v>20.0</v>
      </c>
      <c r="BC10" s="1">
        <v>20.0</v>
      </c>
      <c r="BD10" s="1">
        <v>20.0</v>
      </c>
      <c r="BE10" s="1">
        <v>20.0</v>
      </c>
      <c r="BF10" s="1">
        <v>20.0</v>
      </c>
      <c r="BG10" s="1">
        <v>20.0</v>
      </c>
      <c r="BH10" s="1">
        <v>20.0</v>
      </c>
      <c r="BI10" s="1">
        <v>20.0</v>
      </c>
      <c r="BJ10" s="1">
        <v>20.0</v>
      </c>
      <c r="BK10" s="1">
        <v>20.0</v>
      </c>
      <c r="BL10" s="1">
        <v>20.0</v>
      </c>
      <c r="BM10" s="1">
        <v>20.0</v>
      </c>
      <c r="BN10" s="1">
        <v>20.0</v>
      </c>
      <c r="BO10" s="1">
        <v>20.0</v>
      </c>
      <c r="BP10" s="1">
        <v>20.0</v>
      </c>
      <c r="BQ10" s="1">
        <v>20.0</v>
      </c>
      <c r="BR10" s="1">
        <v>20.0</v>
      </c>
      <c r="BS10" s="1">
        <v>20.0</v>
      </c>
      <c r="BT10" s="1">
        <v>20.0</v>
      </c>
      <c r="BU10" s="1">
        <v>20.0</v>
      </c>
      <c r="BV10" s="1" t="s">
        <v>178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17160.0</v>
      </c>
      <c r="T11" s="1">
        <v>17176.0</v>
      </c>
      <c r="U11" s="1">
        <v>17193.0</v>
      </c>
      <c r="V11" s="1">
        <v>17209.0</v>
      </c>
      <c r="W11" s="1">
        <v>17226.0</v>
      </c>
      <c r="X11" s="1">
        <v>17242.0</v>
      </c>
      <c r="Y11" s="1">
        <v>17259.0</v>
      </c>
      <c r="Z11" s="1">
        <v>17275.0</v>
      </c>
      <c r="AA11" s="1">
        <v>17292.0</v>
      </c>
      <c r="AB11" s="1">
        <v>17309.0</v>
      </c>
      <c r="AC11" s="1">
        <v>17325.0</v>
      </c>
      <c r="AD11" s="1">
        <v>17342.0</v>
      </c>
      <c r="AE11" s="1">
        <v>17358.0</v>
      </c>
      <c r="AF11" s="1">
        <v>17375.0</v>
      </c>
      <c r="AG11" s="1">
        <v>17392.0</v>
      </c>
      <c r="AH11" s="1">
        <v>17408.0</v>
      </c>
      <c r="AI11" s="1">
        <v>17425.0</v>
      </c>
      <c r="AJ11" s="1">
        <v>17442.0</v>
      </c>
      <c r="AK11" s="1">
        <v>17458.0</v>
      </c>
      <c r="AL11" s="1">
        <v>17475.0</v>
      </c>
      <c r="AM11" s="1">
        <v>17492.0</v>
      </c>
      <c r="AN11" s="1">
        <v>17509.0</v>
      </c>
      <c r="AO11" s="1">
        <v>17525.0</v>
      </c>
      <c r="AP11" s="1">
        <v>17542.0</v>
      </c>
      <c r="AQ11" s="1">
        <v>17559.0</v>
      </c>
      <c r="AR11" s="1">
        <v>17576.0</v>
      </c>
      <c r="AS11" s="1">
        <v>17593.0</v>
      </c>
      <c r="AT11" s="1">
        <v>17609.0</v>
      </c>
      <c r="AU11" s="1">
        <v>17626.0</v>
      </c>
      <c r="AV11" s="1">
        <v>17643.0</v>
      </c>
      <c r="AW11" s="1">
        <v>17660.0</v>
      </c>
      <c r="AX11" s="1">
        <v>17677.0</v>
      </c>
      <c r="AY11" s="1">
        <v>17694.0</v>
      </c>
      <c r="AZ11" s="1">
        <v>17711.0</v>
      </c>
      <c r="BA11" s="1">
        <v>17728.0</v>
      </c>
      <c r="BB11" s="1">
        <v>17745.0</v>
      </c>
      <c r="BC11" s="1">
        <v>17762.0</v>
      </c>
      <c r="BD11" s="1">
        <v>17779.0</v>
      </c>
      <c r="BE11" s="1">
        <v>17796.0</v>
      </c>
      <c r="BF11" s="1">
        <v>17813.0</v>
      </c>
      <c r="BG11" s="1">
        <v>17830.0</v>
      </c>
      <c r="BH11" s="1">
        <v>17847.0</v>
      </c>
      <c r="BI11" s="1">
        <v>17864.0</v>
      </c>
      <c r="BJ11" s="1">
        <v>17881.0</v>
      </c>
      <c r="BK11" s="1">
        <v>17898.0</v>
      </c>
      <c r="BL11" s="1">
        <v>17916.0</v>
      </c>
      <c r="BM11" s="1">
        <v>17933.0</v>
      </c>
      <c r="BN11" s="1">
        <v>17950.0</v>
      </c>
      <c r="BO11" s="1">
        <v>17967.0</v>
      </c>
      <c r="BP11" s="1">
        <v>17984.0</v>
      </c>
      <c r="BQ11" s="1">
        <v>18002.0</v>
      </c>
      <c r="BR11" s="1">
        <v>18019.0</v>
      </c>
      <c r="BS11" s="1">
        <v>18036.0</v>
      </c>
      <c r="BT11" s="1">
        <v>18053.0</v>
      </c>
      <c r="BU11" s="1">
        <v>18071.0</v>
      </c>
      <c r="BV11" s="1">
        <v>968631.0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1716000.0</v>
      </c>
      <c r="T12" s="1">
        <v>1717644.0</v>
      </c>
      <c r="U12" s="1">
        <v>1719289.0</v>
      </c>
      <c r="V12" s="1">
        <v>1720937.0</v>
      </c>
      <c r="W12" s="1">
        <v>1722585.0</v>
      </c>
      <c r="X12" s="1">
        <v>1724235.0</v>
      </c>
      <c r="Y12" s="1">
        <v>1725887.0</v>
      </c>
      <c r="Z12" s="1">
        <v>1727541.0</v>
      </c>
      <c r="AA12" s="1">
        <v>1729196.0</v>
      </c>
      <c r="AB12" s="1">
        <v>1730852.0</v>
      </c>
      <c r="AC12" s="1">
        <v>1732510.0</v>
      </c>
      <c r="AD12" s="1">
        <v>1734170.0</v>
      </c>
      <c r="AE12" s="1">
        <v>1735831.0</v>
      </c>
      <c r="AF12" s="1">
        <v>1737494.0</v>
      </c>
      <c r="AG12" s="1">
        <v>1739159.0</v>
      </c>
      <c r="AH12" s="1">
        <v>1740825.0</v>
      </c>
      <c r="AI12" s="1">
        <v>1742493.0</v>
      </c>
      <c r="AJ12" s="1">
        <v>1744162.0</v>
      </c>
      <c r="AK12" s="1">
        <v>1745833.0</v>
      </c>
      <c r="AL12" s="1">
        <v>1747505.0</v>
      </c>
      <c r="AM12" s="1">
        <v>1749180.0</v>
      </c>
      <c r="AN12" s="1">
        <v>1750855.0</v>
      </c>
      <c r="AO12" s="1">
        <v>1752533.0</v>
      </c>
      <c r="AP12" s="1">
        <v>1754211.0</v>
      </c>
      <c r="AQ12" s="1">
        <v>1755892.0</v>
      </c>
      <c r="AR12" s="1">
        <v>1757574.0</v>
      </c>
      <c r="AS12" s="1">
        <v>1759258.0</v>
      </c>
      <c r="AT12" s="1">
        <v>1760943.0</v>
      </c>
      <c r="AU12" s="1">
        <v>1762630.0</v>
      </c>
      <c r="AV12" s="1">
        <v>1764319.0</v>
      </c>
      <c r="AW12" s="1">
        <v>1766009.0</v>
      </c>
      <c r="AX12" s="1">
        <v>1767701.0</v>
      </c>
      <c r="AY12" s="1">
        <v>1769394.0</v>
      </c>
      <c r="AZ12" s="1">
        <v>1771089.0</v>
      </c>
      <c r="BA12" s="1">
        <v>1772786.0</v>
      </c>
      <c r="BB12" s="1">
        <v>1774484.0</v>
      </c>
      <c r="BC12" s="1">
        <v>1776184.0</v>
      </c>
      <c r="BD12" s="1">
        <v>1777886.0</v>
      </c>
      <c r="BE12" s="1">
        <v>1779589.0</v>
      </c>
      <c r="BF12" s="1">
        <v>1781294.0</v>
      </c>
      <c r="BG12" s="1">
        <v>1783001.0</v>
      </c>
      <c r="BH12" s="1">
        <v>1784709.0</v>
      </c>
      <c r="BI12" s="1">
        <v>1786418.0</v>
      </c>
      <c r="BJ12" s="1">
        <v>1788130.0</v>
      </c>
      <c r="BK12" s="1">
        <v>1789843.0</v>
      </c>
      <c r="BL12" s="1">
        <v>1791558.0</v>
      </c>
      <c r="BM12" s="1">
        <v>1793274.0</v>
      </c>
      <c r="BN12" s="1">
        <v>1794992.0</v>
      </c>
      <c r="BO12" s="1">
        <v>1796711.0</v>
      </c>
      <c r="BP12" s="1">
        <v>1798433.0</v>
      </c>
      <c r="BQ12" s="1">
        <v>1800156.0</v>
      </c>
      <c r="BR12" s="1">
        <v>1801880.0</v>
      </c>
      <c r="BS12" s="1">
        <v>1803606.0</v>
      </c>
      <c r="BT12" s="1">
        <v>1805334.0</v>
      </c>
      <c r="BU12" s="1">
        <v>1807064.0</v>
      </c>
      <c r="BV12" s="1">
        <v>9.686307E7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343200.0</v>
      </c>
      <c r="T13" s="1">
        <v>343529.0</v>
      </c>
      <c r="U13" s="1">
        <v>343858.0</v>
      </c>
      <c r="V13" s="1">
        <v>344187.0</v>
      </c>
      <c r="W13" s="1">
        <v>344517.0</v>
      </c>
      <c r="X13" s="1">
        <v>344847.0</v>
      </c>
      <c r="Y13" s="1">
        <v>345177.0</v>
      </c>
      <c r="Z13" s="1">
        <v>345508.0</v>
      </c>
      <c r="AA13" s="1">
        <v>345839.0</v>
      </c>
      <c r="AB13" s="1">
        <v>346170.0</v>
      </c>
      <c r="AC13" s="1">
        <v>346502.0</v>
      </c>
      <c r="AD13" s="1">
        <v>346834.0</v>
      </c>
      <c r="AE13" s="1">
        <v>347166.0</v>
      </c>
      <c r="AF13" s="1">
        <v>347499.0</v>
      </c>
      <c r="AG13" s="1">
        <v>347832.0</v>
      </c>
      <c r="AH13" s="1">
        <v>348165.0</v>
      </c>
      <c r="AI13" s="1">
        <v>348499.0</v>
      </c>
      <c r="AJ13" s="1">
        <v>348832.0</v>
      </c>
      <c r="AK13" s="1">
        <v>349167.0</v>
      </c>
      <c r="AL13" s="1">
        <v>349501.0</v>
      </c>
      <c r="AM13" s="1">
        <v>349836.0</v>
      </c>
      <c r="AN13" s="1">
        <v>350171.0</v>
      </c>
      <c r="AO13" s="1">
        <v>350507.0</v>
      </c>
      <c r="AP13" s="1">
        <v>350842.0</v>
      </c>
      <c r="AQ13" s="1">
        <v>351178.0</v>
      </c>
      <c r="AR13" s="1">
        <v>351515.0</v>
      </c>
      <c r="AS13" s="1">
        <v>351852.0</v>
      </c>
      <c r="AT13" s="1">
        <v>352189.0</v>
      </c>
      <c r="AU13" s="1">
        <v>352526.0</v>
      </c>
      <c r="AV13" s="1">
        <v>352864.0</v>
      </c>
      <c r="AW13" s="1">
        <v>353202.0</v>
      </c>
      <c r="AX13" s="1">
        <v>353540.0</v>
      </c>
      <c r="AY13" s="1">
        <v>353879.0</v>
      </c>
      <c r="AZ13" s="1">
        <v>354218.0</v>
      </c>
      <c r="BA13" s="1">
        <v>354557.0</v>
      </c>
      <c r="BB13" s="1">
        <v>354897.0</v>
      </c>
      <c r="BC13" s="1">
        <v>355237.0</v>
      </c>
      <c r="BD13" s="1">
        <v>355577.0</v>
      </c>
      <c r="BE13" s="1">
        <v>355918.0</v>
      </c>
      <c r="BF13" s="1">
        <v>356259.0</v>
      </c>
      <c r="BG13" s="1">
        <v>356600.0</v>
      </c>
      <c r="BH13" s="1">
        <v>356942.0</v>
      </c>
      <c r="BI13" s="1">
        <v>357284.0</v>
      </c>
      <c r="BJ13" s="1">
        <v>357626.0</v>
      </c>
      <c r="BK13" s="1">
        <v>357969.0</v>
      </c>
      <c r="BL13" s="1">
        <v>358312.0</v>
      </c>
      <c r="BM13" s="1">
        <v>358655.0</v>
      </c>
      <c r="BN13" s="1">
        <v>358998.0</v>
      </c>
      <c r="BO13" s="1">
        <v>359342.0</v>
      </c>
      <c r="BP13" s="1">
        <v>359687.0</v>
      </c>
      <c r="BQ13" s="1">
        <v>360031.0</v>
      </c>
      <c r="BR13" s="1">
        <v>360376.0</v>
      </c>
      <c r="BS13" s="1">
        <v>360721.0</v>
      </c>
      <c r="BT13" s="1">
        <v>361067.0</v>
      </c>
      <c r="BU13" s="1">
        <v>361413.0</v>
      </c>
      <c r="BV13" s="1">
        <v>1.9372614E7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343200.0</v>
      </c>
      <c r="T15" s="1">
        <v>343529.0</v>
      </c>
      <c r="U15" s="1">
        <v>343858.0</v>
      </c>
      <c r="V15" s="1">
        <v>344187.0</v>
      </c>
      <c r="W15" s="1">
        <v>344517.0</v>
      </c>
      <c r="X15" s="1">
        <v>344847.0</v>
      </c>
      <c r="Y15" s="1">
        <v>345177.0</v>
      </c>
      <c r="Z15" s="1">
        <v>345508.0</v>
      </c>
      <c r="AA15" s="1">
        <v>345839.0</v>
      </c>
      <c r="AB15" s="1">
        <v>346170.0</v>
      </c>
      <c r="AC15" s="1">
        <v>346502.0</v>
      </c>
      <c r="AD15" s="1">
        <v>346834.0</v>
      </c>
      <c r="AE15" s="1">
        <v>347166.0</v>
      </c>
      <c r="AF15" s="1">
        <v>347499.0</v>
      </c>
      <c r="AG15" s="1">
        <v>347832.0</v>
      </c>
      <c r="AH15" s="1">
        <v>348165.0</v>
      </c>
      <c r="AI15" s="1">
        <v>348499.0</v>
      </c>
      <c r="AJ15" s="1">
        <v>348832.0</v>
      </c>
      <c r="AK15" s="1">
        <v>349167.0</v>
      </c>
      <c r="AL15" s="1">
        <v>349501.0</v>
      </c>
      <c r="AM15" s="1">
        <v>349836.0</v>
      </c>
      <c r="AN15" s="1">
        <v>350171.0</v>
      </c>
      <c r="AO15" s="1">
        <v>350507.0</v>
      </c>
      <c r="AP15" s="1">
        <v>350842.0</v>
      </c>
      <c r="AQ15" s="1">
        <v>351178.0</v>
      </c>
      <c r="AR15" s="1">
        <v>351515.0</v>
      </c>
      <c r="AS15" s="1">
        <v>351852.0</v>
      </c>
      <c r="AT15" s="1">
        <v>352189.0</v>
      </c>
      <c r="AU15" s="1">
        <v>352526.0</v>
      </c>
      <c r="AV15" s="1">
        <v>352864.0</v>
      </c>
      <c r="AW15" s="1">
        <v>353202.0</v>
      </c>
      <c r="AX15" s="1">
        <v>353540.0</v>
      </c>
      <c r="AY15" s="1">
        <v>353879.0</v>
      </c>
      <c r="AZ15" s="1">
        <v>354218.0</v>
      </c>
      <c r="BA15" s="1">
        <v>354557.0</v>
      </c>
      <c r="BB15" s="1">
        <v>354897.0</v>
      </c>
      <c r="BC15" s="1">
        <v>355237.0</v>
      </c>
      <c r="BD15" s="1">
        <v>355577.0</v>
      </c>
      <c r="BE15" s="1">
        <v>355918.0</v>
      </c>
      <c r="BF15" s="1">
        <v>356259.0</v>
      </c>
      <c r="BG15" s="1">
        <v>356600.0</v>
      </c>
      <c r="BH15" s="1">
        <v>356942.0</v>
      </c>
      <c r="BI15" s="1">
        <v>357284.0</v>
      </c>
      <c r="BJ15" s="1">
        <v>357626.0</v>
      </c>
      <c r="BK15" s="1">
        <v>357969.0</v>
      </c>
      <c r="BL15" s="1">
        <v>358312.0</v>
      </c>
      <c r="BM15" s="1">
        <v>358655.0</v>
      </c>
      <c r="BN15" s="1">
        <v>358998.0</v>
      </c>
      <c r="BO15" s="1">
        <v>359342.0</v>
      </c>
      <c r="BP15" s="1">
        <v>359687.0</v>
      </c>
      <c r="BQ15" s="1">
        <v>360031.0</v>
      </c>
      <c r="BR15" s="1">
        <v>360376.0</v>
      </c>
      <c r="BS15" s="1">
        <v>360721.0</v>
      </c>
      <c r="BT15" s="1">
        <v>361067.0</v>
      </c>
      <c r="BU15" s="1">
        <v>361413.0</v>
      </c>
      <c r="BV15" s="1">
        <v>1.9372614E7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1372800.0</v>
      </c>
      <c r="T16" s="1">
        <v>1374115.0</v>
      </c>
      <c r="U16" s="1">
        <v>1375432.0</v>
      </c>
      <c r="V16" s="1">
        <v>1376749.0</v>
      </c>
      <c r="W16" s="1">
        <v>1378068.0</v>
      </c>
      <c r="X16" s="1">
        <v>1379388.0</v>
      </c>
      <c r="Y16" s="1">
        <v>1380710.0</v>
      </c>
      <c r="Z16" s="1">
        <v>1382032.0</v>
      </c>
      <c r="AA16" s="1">
        <v>1383356.0</v>
      </c>
      <c r="AB16" s="1">
        <v>1384682.0</v>
      </c>
      <c r="AC16" s="1">
        <v>1386008.0</v>
      </c>
      <c r="AD16" s="1">
        <v>1387336.0</v>
      </c>
      <c r="AE16" s="1">
        <v>1388665.0</v>
      </c>
      <c r="AF16" s="1">
        <v>1389995.0</v>
      </c>
      <c r="AG16" s="1">
        <v>1391327.0</v>
      </c>
      <c r="AH16" s="1">
        <v>1392660.0</v>
      </c>
      <c r="AI16" s="1">
        <v>1393994.0</v>
      </c>
      <c r="AJ16" s="1">
        <v>1395330.0</v>
      </c>
      <c r="AK16" s="1">
        <v>1396666.0</v>
      </c>
      <c r="AL16" s="1">
        <v>1398004.0</v>
      </c>
      <c r="AM16" s="1">
        <v>1399344.0</v>
      </c>
      <c r="AN16" s="1">
        <v>1400684.0</v>
      </c>
      <c r="AO16" s="1">
        <v>1402026.0</v>
      </c>
      <c r="AP16" s="1">
        <v>1403369.0</v>
      </c>
      <c r="AQ16" s="1">
        <v>1404714.0</v>
      </c>
      <c r="AR16" s="1">
        <v>1406059.0</v>
      </c>
      <c r="AS16" s="1">
        <v>1407406.0</v>
      </c>
      <c r="AT16" s="1">
        <v>1408755.0</v>
      </c>
      <c r="AU16" s="1">
        <v>1410104.0</v>
      </c>
      <c r="AV16" s="1">
        <v>1411455.0</v>
      </c>
      <c r="AW16" s="1">
        <v>1412807.0</v>
      </c>
      <c r="AX16" s="1">
        <v>1414161.0</v>
      </c>
      <c r="AY16" s="1">
        <v>1415515.0</v>
      </c>
      <c r="AZ16" s="1">
        <v>1416872.0</v>
      </c>
      <c r="BA16" s="1">
        <v>1418229.0</v>
      </c>
      <c r="BB16" s="1">
        <v>1419588.0</v>
      </c>
      <c r="BC16" s="1">
        <v>1420948.0</v>
      </c>
      <c r="BD16" s="1">
        <v>1422309.0</v>
      </c>
      <c r="BE16" s="1">
        <v>1423671.0</v>
      </c>
      <c r="BF16" s="1">
        <v>1425035.0</v>
      </c>
      <c r="BG16" s="1">
        <v>1426400.0</v>
      </c>
      <c r="BH16" s="1">
        <v>1427767.0</v>
      </c>
      <c r="BI16" s="1">
        <v>1429135.0</v>
      </c>
      <c r="BJ16" s="1">
        <v>1430504.0</v>
      </c>
      <c r="BK16" s="1">
        <v>1431874.0</v>
      </c>
      <c r="BL16" s="1">
        <v>1433246.0</v>
      </c>
      <c r="BM16" s="1">
        <v>1434619.0</v>
      </c>
      <c r="BN16" s="1">
        <v>1435993.0</v>
      </c>
      <c r="BO16" s="1">
        <v>1437369.0</v>
      </c>
      <c r="BP16" s="1">
        <v>1438746.0</v>
      </c>
      <c r="BQ16" s="1">
        <v>1440124.0</v>
      </c>
      <c r="BR16" s="1">
        <v>1441504.0</v>
      </c>
      <c r="BS16" s="1">
        <v>1442885.0</v>
      </c>
      <c r="BT16" s="1">
        <v>1444267.0</v>
      </c>
      <c r="BU16" s="1">
        <v>1445651.0</v>
      </c>
      <c r="BV16" s="1">
        <v>7.7490456E7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247</v>
      </c>
    </row>
    <row r="2">
      <c r="A2" s="1" t="s">
        <v>219</v>
      </c>
    </row>
    <row r="3">
      <c r="A3" s="1" t="s">
        <v>180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375000.0</v>
      </c>
      <c r="T6" s="1">
        <v>375732.0</v>
      </c>
      <c r="U6" s="1">
        <v>376465.0</v>
      </c>
      <c r="V6" s="1">
        <v>377200.0</v>
      </c>
      <c r="W6" s="1">
        <v>377937.0</v>
      </c>
      <c r="X6" s="1">
        <v>378674.0</v>
      </c>
      <c r="Y6" s="1">
        <v>379413.0</v>
      </c>
      <c r="Z6" s="1">
        <v>380154.0</v>
      </c>
      <c r="AA6" s="1">
        <v>380896.0</v>
      </c>
      <c r="AB6" s="1">
        <v>381640.0</v>
      </c>
      <c r="AC6" s="1">
        <v>382385.0</v>
      </c>
      <c r="AD6" s="1">
        <v>383131.0</v>
      </c>
      <c r="AE6" s="1">
        <v>383879.0</v>
      </c>
      <c r="AF6" s="1">
        <v>384628.0</v>
      </c>
      <c r="AG6" s="1">
        <v>385379.0</v>
      </c>
      <c r="AH6" s="1">
        <v>386131.0</v>
      </c>
      <c r="AI6" s="1">
        <v>386885.0</v>
      </c>
      <c r="AJ6" s="1">
        <v>387640.0</v>
      </c>
      <c r="AK6" s="1">
        <v>388397.0</v>
      </c>
      <c r="AL6" s="1">
        <v>389155.0</v>
      </c>
      <c r="AM6" s="1">
        <v>389915.0</v>
      </c>
      <c r="AN6" s="1">
        <v>390676.0</v>
      </c>
      <c r="AO6" s="1">
        <v>391438.0</v>
      </c>
      <c r="AP6" s="1">
        <v>392202.0</v>
      </c>
      <c r="AQ6" s="1">
        <v>392968.0</v>
      </c>
      <c r="AR6" s="1">
        <v>393735.0</v>
      </c>
      <c r="AS6" s="1">
        <v>394504.0</v>
      </c>
      <c r="AT6" s="1">
        <v>395274.0</v>
      </c>
      <c r="AU6" s="1">
        <v>396045.0</v>
      </c>
      <c r="AV6" s="1">
        <v>396818.0</v>
      </c>
      <c r="AW6" s="1">
        <v>397593.0</v>
      </c>
      <c r="AX6" s="1">
        <v>398369.0</v>
      </c>
      <c r="AY6" s="1">
        <v>399147.0</v>
      </c>
      <c r="AZ6" s="1">
        <v>399926.0</v>
      </c>
      <c r="BA6" s="1">
        <v>400707.0</v>
      </c>
      <c r="BB6" s="1">
        <v>401489.0</v>
      </c>
      <c r="BC6" s="1">
        <v>402272.0</v>
      </c>
      <c r="BD6" s="1">
        <v>403058.0</v>
      </c>
      <c r="BE6" s="1">
        <v>403844.0</v>
      </c>
      <c r="BF6" s="1">
        <v>404633.0</v>
      </c>
      <c r="BG6" s="1">
        <v>405423.0</v>
      </c>
      <c r="BH6" s="1">
        <v>406214.0</v>
      </c>
      <c r="BI6" s="1">
        <v>407007.0</v>
      </c>
      <c r="BJ6" s="1">
        <v>407801.0</v>
      </c>
      <c r="BK6" s="1">
        <v>408597.0</v>
      </c>
      <c r="BL6" s="1">
        <v>409395.0</v>
      </c>
      <c r="BM6" s="1">
        <v>410194.0</v>
      </c>
      <c r="BN6" s="1">
        <v>410995.0</v>
      </c>
      <c r="BO6" s="1">
        <v>411797.0</v>
      </c>
      <c r="BP6" s="1">
        <v>412601.0</v>
      </c>
      <c r="BQ6" s="1">
        <v>413406.0</v>
      </c>
      <c r="BR6" s="1">
        <v>414213.0</v>
      </c>
      <c r="BS6" s="1">
        <v>415022.0</v>
      </c>
      <c r="BT6" s="1">
        <v>415832.0</v>
      </c>
      <c r="BU6" s="1">
        <v>416644.0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2250.0</v>
      </c>
      <c r="U7" s="1">
        <v>2254.0</v>
      </c>
      <c r="V7" s="1">
        <v>2259.0</v>
      </c>
      <c r="W7" s="1">
        <v>2263.0</v>
      </c>
      <c r="X7" s="1">
        <v>2268.0</v>
      </c>
      <c r="Y7" s="1">
        <v>2272.0</v>
      </c>
      <c r="Z7" s="1">
        <v>2276.0</v>
      </c>
      <c r="AA7" s="1">
        <v>2281.0</v>
      </c>
      <c r="AB7" s="1">
        <v>2285.0</v>
      </c>
      <c r="AC7" s="1">
        <v>2290.0</v>
      </c>
      <c r="AD7" s="1">
        <v>2294.0</v>
      </c>
      <c r="AE7" s="1">
        <v>2299.0</v>
      </c>
      <c r="AF7" s="1">
        <v>2303.0</v>
      </c>
      <c r="AG7" s="1">
        <v>2308.0</v>
      </c>
      <c r="AH7" s="1">
        <v>2312.0</v>
      </c>
      <c r="AI7" s="1">
        <v>2317.0</v>
      </c>
      <c r="AJ7" s="1">
        <v>2321.0</v>
      </c>
      <c r="AK7" s="1">
        <v>2326.0</v>
      </c>
      <c r="AL7" s="1">
        <v>2330.0</v>
      </c>
      <c r="AM7" s="1">
        <v>2335.0</v>
      </c>
      <c r="AN7" s="1">
        <v>2339.0</v>
      </c>
      <c r="AO7" s="1">
        <v>2344.0</v>
      </c>
      <c r="AP7" s="1">
        <v>2349.0</v>
      </c>
      <c r="AQ7" s="1">
        <v>2353.0</v>
      </c>
      <c r="AR7" s="1">
        <v>2358.0</v>
      </c>
      <c r="AS7" s="1">
        <v>2362.0</v>
      </c>
      <c r="AT7" s="1">
        <v>2367.0</v>
      </c>
      <c r="AU7" s="1">
        <v>2372.0</v>
      </c>
      <c r="AV7" s="1">
        <v>2376.0</v>
      </c>
      <c r="AW7" s="1">
        <v>2381.0</v>
      </c>
      <c r="AX7" s="1">
        <v>2386.0</v>
      </c>
      <c r="AY7" s="1">
        <v>2390.0</v>
      </c>
      <c r="AZ7" s="1">
        <v>2395.0</v>
      </c>
      <c r="BA7" s="1">
        <v>2400.0</v>
      </c>
      <c r="BB7" s="1">
        <v>2404.0</v>
      </c>
      <c r="BC7" s="1">
        <v>2409.0</v>
      </c>
      <c r="BD7" s="1">
        <v>2414.0</v>
      </c>
      <c r="BE7" s="1">
        <v>2418.0</v>
      </c>
      <c r="BF7" s="1">
        <v>2423.0</v>
      </c>
      <c r="BG7" s="1">
        <v>2428.0</v>
      </c>
      <c r="BH7" s="1">
        <v>2433.0</v>
      </c>
      <c r="BI7" s="1">
        <v>2437.0</v>
      </c>
      <c r="BJ7" s="1">
        <v>2442.0</v>
      </c>
      <c r="BK7" s="1">
        <v>2447.0</v>
      </c>
      <c r="BL7" s="1">
        <v>2452.0</v>
      </c>
      <c r="BM7" s="1">
        <v>2456.0</v>
      </c>
      <c r="BN7" s="1">
        <v>2461.0</v>
      </c>
      <c r="BO7" s="1">
        <v>2466.0</v>
      </c>
      <c r="BP7" s="1">
        <v>2471.0</v>
      </c>
      <c r="BQ7" s="1">
        <v>2476.0</v>
      </c>
      <c r="BR7" s="1">
        <v>2480.0</v>
      </c>
      <c r="BS7" s="1">
        <v>2485.0</v>
      </c>
      <c r="BT7" s="1">
        <v>2490.0</v>
      </c>
      <c r="BU7" s="1">
        <v>2495.0</v>
      </c>
      <c r="BV7" s="1">
        <v>128003.0</v>
      </c>
    </row>
    <row r="8">
      <c r="A8" s="1" t="s">
        <v>145</v>
      </c>
      <c r="B8" s="1">
        <v>1.3</v>
      </c>
      <c r="C8" s="1">
        <v>1.3</v>
      </c>
      <c r="D8" s="1">
        <v>1.3</v>
      </c>
      <c r="E8" s="1">
        <v>1.3</v>
      </c>
      <c r="F8" s="1">
        <v>1.3</v>
      </c>
      <c r="G8" s="1">
        <v>1.3</v>
      </c>
      <c r="H8" s="1">
        <v>1.3</v>
      </c>
      <c r="I8" s="1">
        <v>1.3</v>
      </c>
      <c r="J8" s="1">
        <v>1.3</v>
      </c>
      <c r="K8" s="1">
        <v>1.3</v>
      </c>
      <c r="L8" s="1">
        <v>1.3</v>
      </c>
      <c r="M8" s="1">
        <v>1.3</v>
      </c>
      <c r="N8" s="1">
        <v>1.3</v>
      </c>
      <c r="O8" s="1">
        <v>1.3</v>
      </c>
      <c r="P8" s="1">
        <v>1.3</v>
      </c>
      <c r="Q8" s="1">
        <v>1.3</v>
      </c>
      <c r="R8" s="1">
        <v>1.3</v>
      </c>
      <c r="S8" s="1">
        <v>1.3</v>
      </c>
      <c r="T8" s="1">
        <v>1.3</v>
      </c>
      <c r="U8" s="1">
        <v>1.3</v>
      </c>
      <c r="V8" s="1">
        <v>1.3</v>
      </c>
      <c r="W8" s="1">
        <v>1.3</v>
      </c>
      <c r="X8" s="1">
        <v>1.3</v>
      </c>
      <c r="Y8" s="1">
        <v>1.3</v>
      </c>
      <c r="Z8" s="1">
        <v>1.3</v>
      </c>
      <c r="AA8" s="1">
        <v>1.3</v>
      </c>
      <c r="AB8" s="1">
        <v>1.3</v>
      </c>
      <c r="AC8" s="1">
        <v>1.3</v>
      </c>
      <c r="AD8" s="1">
        <v>1.3</v>
      </c>
      <c r="AE8" s="1">
        <v>1.3</v>
      </c>
      <c r="AF8" s="1">
        <v>1.3</v>
      </c>
      <c r="AG8" s="1">
        <v>1.3</v>
      </c>
      <c r="AH8" s="1">
        <v>1.3</v>
      </c>
      <c r="AI8" s="1">
        <v>1.3</v>
      </c>
      <c r="AJ8" s="1">
        <v>1.3</v>
      </c>
      <c r="AK8" s="1">
        <v>1.3</v>
      </c>
      <c r="AL8" s="1">
        <v>1.3</v>
      </c>
      <c r="AM8" s="1">
        <v>1.3</v>
      </c>
      <c r="AN8" s="1">
        <v>1.3</v>
      </c>
      <c r="AO8" s="1">
        <v>1.3</v>
      </c>
      <c r="AP8" s="1">
        <v>1.3</v>
      </c>
      <c r="AQ8" s="1">
        <v>1.3</v>
      </c>
      <c r="AR8" s="1">
        <v>1.3</v>
      </c>
      <c r="AS8" s="1">
        <v>1.3</v>
      </c>
      <c r="AT8" s="1">
        <v>1.3</v>
      </c>
      <c r="AU8" s="1">
        <v>1.3</v>
      </c>
      <c r="AV8" s="1">
        <v>1.3</v>
      </c>
      <c r="AW8" s="1">
        <v>1.3</v>
      </c>
      <c r="AX8" s="1">
        <v>1.3</v>
      </c>
      <c r="AY8" s="1">
        <v>1.3</v>
      </c>
      <c r="AZ8" s="1">
        <v>1.3</v>
      </c>
      <c r="BA8" s="1">
        <v>1.3</v>
      </c>
      <c r="BB8" s="1">
        <v>1.3</v>
      </c>
      <c r="BC8" s="1">
        <v>1.3</v>
      </c>
      <c r="BD8" s="1">
        <v>1.3</v>
      </c>
      <c r="BE8" s="1">
        <v>1.3</v>
      </c>
      <c r="BF8" s="1">
        <v>1.3</v>
      </c>
      <c r="BG8" s="1">
        <v>1.3</v>
      </c>
      <c r="BH8" s="1">
        <v>1.3</v>
      </c>
      <c r="BI8" s="1">
        <v>1.3</v>
      </c>
      <c r="BJ8" s="1">
        <v>1.3</v>
      </c>
      <c r="BK8" s="1">
        <v>1.3</v>
      </c>
      <c r="BL8" s="1">
        <v>1.3</v>
      </c>
      <c r="BM8" s="1">
        <v>1.3</v>
      </c>
      <c r="BN8" s="1">
        <v>1.3</v>
      </c>
      <c r="BO8" s="1">
        <v>1.3</v>
      </c>
      <c r="BP8" s="1">
        <v>1.3</v>
      </c>
      <c r="BQ8" s="1">
        <v>1.3</v>
      </c>
      <c r="BR8" s="1">
        <v>1.3</v>
      </c>
      <c r="BS8" s="1">
        <v>1.3</v>
      </c>
      <c r="BT8" s="1">
        <v>1.3</v>
      </c>
      <c r="BU8" s="1">
        <v>1.3</v>
      </c>
    </row>
    <row r="9">
      <c r="A9" s="1" t="s">
        <v>146</v>
      </c>
      <c r="B9" s="1">
        <v>70.0</v>
      </c>
      <c r="C9" s="1">
        <v>70.0</v>
      </c>
      <c r="D9" s="1">
        <v>70.0</v>
      </c>
      <c r="E9" s="1">
        <v>70.0</v>
      </c>
      <c r="F9" s="1">
        <v>70.0</v>
      </c>
      <c r="G9" s="1">
        <v>70.0</v>
      </c>
      <c r="H9" s="1">
        <v>70.0</v>
      </c>
      <c r="I9" s="1">
        <v>70.0</v>
      </c>
      <c r="J9" s="1">
        <v>70.0</v>
      </c>
      <c r="K9" s="1">
        <v>70.0</v>
      </c>
      <c r="L9" s="1">
        <v>70.0</v>
      </c>
      <c r="M9" s="1">
        <v>70.0</v>
      </c>
      <c r="N9" s="1">
        <v>70.0</v>
      </c>
      <c r="O9" s="1">
        <v>70.0</v>
      </c>
      <c r="P9" s="1">
        <v>70.0</v>
      </c>
      <c r="Q9" s="1">
        <v>70.0</v>
      </c>
      <c r="R9" s="1">
        <v>70.0</v>
      </c>
      <c r="S9" s="1">
        <v>70.0</v>
      </c>
      <c r="T9" s="1">
        <v>70.0</v>
      </c>
      <c r="U9" s="1">
        <v>70.0</v>
      </c>
      <c r="V9" s="1">
        <v>70.0</v>
      </c>
      <c r="W9" s="1">
        <v>70.0</v>
      </c>
      <c r="X9" s="1">
        <v>70.0</v>
      </c>
      <c r="Y9" s="1">
        <v>70.0</v>
      </c>
      <c r="Z9" s="1">
        <v>70.0</v>
      </c>
      <c r="AA9" s="1">
        <v>70.0</v>
      </c>
      <c r="AB9" s="1">
        <v>70.0</v>
      </c>
      <c r="AC9" s="1">
        <v>70.0</v>
      </c>
      <c r="AD9" s="1">
        <v>70.0</v>
      </c>
      <c r="AE9" s="1">
        <v>70.0</v>
      </c>
      <c r="AF9" s="1">
        <v>70.0</v>
      </c>
      <c r="AG9" s="1">
        <v>70.0</v>
      </c>
      <c r="AH9" s="1">
        <v>70.0</v>
      </c>
      <c r="AI9" s="1">
        <v>70.0</v>
      </c>
      <c r="AJ9" s="1">
        <v>70.0</v>
      </c>
      <c r="AK9" s="1">
        <v>70.0</v>
      </c>
      <c r="AL9" s="1">
        <v>70.0</v>
      </c>
      <c r="AM9" s="1">
        <v>70.0</v>
      </c>
      <c r="AN9" s="1">
        <v>70.0</v>
      </c>
      <c r="AO9" s="1">
        <v>70.0</v>
      </c>
      <c r="AP9" s="1">
        <v>70.0</v>
      </c>
      <c r="AQ9" s="1">
        <v>70.0</v>
      </c>
      <c r="AR9" s="1">
        <v>70.0</v>
      </c>
      <c r="AS9" s="1">
        <v>70.0</v>
      </c>
      <c r="AT9" s="1">
        <v>70.0</v>
      </c>
      <c r="AU9" s="1">
        <v>70.0</v>
      </c>
      <c r="AV9" s="1">
        <v>70.0</v>
      </c>
      <c r="AW9" s="1">
        <v>70.0</v>
      </c>
      <c r="AX9" s="1">
        <v>70.0</v>
      </c>
      <c r="AY9" s="1">
        <v>70.0</v>
      </c>
      <c r="AZ9" s="1">
        <v>70.0</v>
      </c>
      <c r="BA9" s="1">
        <v>70.0</v>
      </c>
      <c r="BB9" s="1">
        <v>70.0</v>
      </c>
      <c r="BC9" s="1">
        <v>70.0</v>
      </c>
      <c r="BD9" s="1">
        <v>70.0</v>
      </c>
      <c r="BE9" s="1">
        <v>70.0</v>
      </c>
      <c r="BF9" s="1">
        <v>70.0</v>
      </c>
      <c r="BG9" s="1">
        <v>70.0</v>
      </c>
      <c r="BH9" s="1">
        <v>70.0</v>
      </c>
      <c r="BI9" s="1">
        <v>70.0</v>
      </c>
      <c r="BJ9" s="1">
        <v>70.0</v>
      </c>
      <c r="BK9" s="1">
        <v>70.0</v>
      </c>
      <c r="BL9" s="1">
        <v>70.0</v>
      </c>
      <c r="BM9" s="1">
        <v>70.0</v>
      </c>
      <c r="BN9" s="1">
        <v>70.0</v>
      </c>
      <c r="BO9" s="1">
        <v>70.0</v>
      </c>
      <c r="BP9" s="1">
        <v>70.0</v>
      </c>
      <c r="BQ9" s="1">
        <v>70.0</v>
      </c>
      <c r="BR9" s="1">
        <v>70.0</v>
      </c>
      <c r="BS9" s="1">
        <v>70.0</v>
      </c>
      <c r="BT9" s="1">
        <v>70.0</v>
      </c>
      <c r="BU9" s="1">
        <v>70.0</v>
      </c>
      <c r="BV9" s="1" t="s">
        <v>181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4875.0</v>
      </c>
      <c r="T11" s="1">
        <v>4885.0</v>
      </c>
      <c r="U11" s="1">
        <v>4894.0</v>
      </c>
      <c r="V11" s="1">
        <v>4904.0</v>
      </c>
      <c r="W11" s="1">
        <v>4913.0</v>
      </c>
      <c r="X11" s="1">
        <v>4923.0</v>
      </c>
      <c r="Y11" s="1">
        <v>4932.0</v>
      </c>
      <c r="Z11" s="1">
        <v>4942.0</v>
      </c>
      <c r="AA11" s="1">
        <v>4952.0</v>
      </c>
      <c r="AB11" s="1">
        <v>4961.0</v>
      </c>
      <c r="AC11" s="1">
        <v>4971.0</v>
      </c>
      <c r="AD11" s="1">
        <v>4981.0</v>
      </c>
      <c r="AE11" s="1">
        <v>4990.0</v>
      </c>
      <c r="AF11" s="1">
        <v>5000.0</v>
      </c>
      <c r="AG11" s="1">
        <v>5010.0</v>
      </c>
      <c r="AH11" s="1">
        <v>5020.0</v>
      </c>
      <c r="AI11" s="1">
        <v>5030.0</v>
      </c>
      <c r="AJ11" s="1">
        <v>5039.0</v>
      </c>
      <c r="AK11" s="1">
        <v>5049.0</v>
      </c>
      <c r="AL11" s="1">
        <v>5059.0</v>
      </c>
      <c r="AM11" s="1">
        <v>5069.0</v>
      </c>
      <c r="AN11" s="1">
        <v>5079.0</v>
      </c>
      <c r="AO11" s="1">
        <v>5089.0</v>
      </c>
      <c r="AP11" s="1">
        <v>5099.0</v>
      </c>
      <c r="AQ11" s="1">
        <v>5109.0</v>
      </c>
      <c r="AR11" s="1">
        <v>5119.0</v>
      </c>
      <c r="AS11" s="1">
        <v>5129.0</v>
      </c>
      <c r="AT11" s="1">
        <v>5139.0</v>
      </c>
      <c r="AU11" s="1">
        <v>5149.0</v>
      </c>
      <c r="AV11" s="1">
        <v>5159.0</v>
      </c>
      <c r="AW11" s="1">
        <v>5169.0</v>
      </c>
      <c r="AX11" s="1">
        <v>5179.0</v>
      </c>
      <c r="AY11" s="1">
        <v>5189.0</v>
      </c>
      <c r="AZ11" s="1">
        <v>5199.0</v>
      </c>
      <c r="BA11" s="1">
        <v>5209.0</v>
      </c>
      <c r="BB11" s="1">
        <v>5219.0</v>
      </c>
      <c r="BC11" s="1">
        <v>5230.0</v>
      </c>
      <c r="BD11" s="1">
        <v>5240.0</v>
      </c>
      <c r="BE11" s="1">
        <v>5250.0</v>
      </c>
      <c r="BF11" s="1">
        <v>5260.0</v>
      </c>
      <c r="BG11" s="1">
        <v>5270.0</v>
      </c>
      <c r="BH11" s="1">
        <v>5281.0</v>
      </c>
      <c r="BI11" s="1">
        <v>5291.0</v>
      </c>
      <c r="BJ11" s="1">
        <v>5301.0</v>
      </c>
      <c r="BK11" s="1">
        <v>5312.0</v>
      </c>
      <c r="BL11" s="1">
        <v>5322.0</v>
      </c>
      <c r="BM11" s="1">
        <v>5333.0</v>
      </c>
      <c r="BN11" s="1">
        <v>5343.0</v>
      </c>
      <c r="BO11" s="1">
        <v>5353.0</v>
      </c>
      <c r="BP11" s="1">
        <v>5364.0</v>
      </c>
      <c r="BQ11" s="1">
        <v>5374.0</v>
      </c>
      <c r="BR11" s="1">
        <v>5385.0</v>
      </c>
      <c r="BS11" s="1">
        <v>5395.0</v>
      </c>
      <c r="BT11" s="1">
        <v>5406.0</v>
      </c>
      <c r="BU11" s="1">
        <v>5416.0</v>
      </c>
      <c r="BV11" s="1">
        <v>282756.0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341250.0</v>
      </c>
      <c r="T12" s="1">
        <v>341916.0</v>
      </c>
      <c r="U12" s="1">
        <v>342584.0</v>
      </c>
      <c r="V12" s="1">
        <v>343252.0</v>
      </c>
      <c r="W12" s="1">
        <v>343922.0</v>
      </c>
      <c r="X12" s="1">
        <v>344594.0</v>
      </c>
      <c r="Y12" s="1">
        <v>345266.0</v>
      </c>
      <c r="Z12" s="1">
        <v>345940.0</v>
      </c>
      <c r="AA12" s="1">
        <v>346616.0</v>
      </c>
      <c r="AB12" s="1">
        <v>347292.0</v>
      </c>
      <c r="AC12" s="1">
        <v>347970.0</v>
      </c>
      <c r="AD12" s="1">
        <v>348649.0</v>
      </c>
      <c r="AE12" s="1">
        <v>349330.0</v>
      </c>
      <c r="AF12" s="1">
        <v>350012.0</v>
      </c>
      <c r="AG12" s="1">
        <v>350695.0</v>
      </c>
      <c r="AH12" s="1">
        <v>351379.0</v>
      </c>
      <c r="AI12" s="1">
        <v>352065.0</v>
      </c>
      <c r="AJ12" s="1">
        <v>352753.0</v>
      </c>
      <c r="AK12" s="1">
        <v>353441.0</v>
      </c>
      <c r="AL12" s="1">
        <v>354131.0</v>
      </c>
      <c r="AM12" s="1">
        <v>354822.0</v>
      </c>
      <c r="AN12" s="1">
        <v>355515.0</v>
      </c>
      <c r="AO12" s="1">
        <v>356209.0</v>
      </c>
      <c r="AP12" s="1">
        <v>356904.0</v>
      </c>
      <c r="AQ12" s="1">
        <v>357601.0</v>
      </c>
      <c r="AR12" s="1">
        <v>358299.0</v>
      </c>
      <c r="AS12" s="1">
        <v>358998.0</v>
      </c>
      <c r="AT12" s="1">
        <v>359699.0</v>
      </c>
      <c r="AU12" s="1">
        <v>360401.0</v>
      </c>
      <c r="AV12" s="1">
        <v>361105.0</v>
      </c>
      <c r="AW12" s="1">
        <v>361810.0</v>
      </c>
      <c r="AX12" s="1">
        <v>362516.0</v>
      </c>
      <c r="AY12" s="1">
        <v>363224.0</v>
      </c>
      <c r="AZ12" s="1">
        <v>363933.0</v>
      </c>
      <c r="BA12" s="1">
        <v>364643.0</v>
      </c>
      <c r="BB12" s="1">
        <v>365355.0</v>
      </c>
      <c r="BC12" s="1">
        <v>366068.0</v>
      </c>
      <c r="BD12" s="1">
        <v>366782.0</v>
      </c>
      <c r="BE12" s="1">
        <v>367498.0</v>
      </c>
      <c r="BF12" s="1">
        <v>368216.0</v>
      </c>
      <c r="BG12" s="1">
        <v>368935.0</v>
      </c>
      <c r="BH12" s="1">
        <v>369655.0</v>
      </c>
      <c r="BI12" s="1">
        <v>370376.0</v>
      </c>
      <c r="BJ12" s="1">
        <v>371099.0</v>
      </c>
      <c r="BK12" s="1">
        <v>371824.0</v>
      </c>
      <c r="BL12" s="1">
        <v>372549.0</v>
      </c>
      <c r="BM12" s="1">
        <v>373277.0</v>
      </c>
      <c r="BN12" s="1">
        <v>374005.0</v>
      </c>
      <c r="BO12" s="1">
        <v>374735.0</v>
      </c>
      <c r="BP12" s="1">
        <v>375467.0</v>
      </c>
      <c r="BQ12" s="1">
        <v>376200.0</v>
      </c>
      <c r="BR12" s="1">
        <v>376934.0</v>
      </c>
      <c r="BS12" s="1">
        <v>377670.0</v>
      </c>
      <c r="BT12" s="1">
        <v>378407.0</v>
      </c>
      <c r="BU12" s="1">
        <v>379146.0</v>
      </c>
      <c r="BV12" s="1">
        <v>1.9792934E7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102375.0</v>
      </c>
      <c r="T13" s="1">
        <v>102575.0</v>
      </c>
      <c r="U13" s="1">
        <v>102775.0</v>
      </c>
      <c r="V13" s="1">
        <v>102976.0</v>
      </c>
      <c r="W13" s="1">
        <v>103177.0</v>
      </c>
      <c r="X13" s="1">
        <v>103378.0</v>
      </c>
      <c r="Y13" s="1">
        <v>103580.0</v>
      </c>
      <c r="Z13" s="1">
        <v>103782.0</v>
      </c>
      <c r="AA13" s="1">
        <v>103985.0</v>
      </c>
      <c r="AB13" s="1">
        <v>104188.0</v>
      </c>
      <c r="AC13" s="1">
        <v>104391.0</v>
      </c>
      <c r="AD13" s="1">
        <v>104595.0</v>
      </c>
      <c r="AE13" s="1">
        <v>104799.0</v>
      </c>
      <c r="AF13" s="1">
        <v>105004.0</v>
      </c>
      <c r="AG13" s="1">
        <v>105208.0</v>
      </c>
      <c r="AH13" s="1">
        <v>105414.0</v>
      </c>
      <c r="AI13" s="1">
        <v>105620.0</v>
      </c>
      <c r="AJ13" s="1">
        <v>105826.0</v>
      </c>
      <c r="AK13" s="1">
        <v>106032.0</v>
      </c>
      <c r="AL13" s="1">
        <v>106239.0</v>
      </c>
      <c r="AM13" s="1">
        <v>106447.0</v>
      </c>
      <c r="AN13" s="1">
        <v>106654.0</v>
      </c>
      <c r="AO13" s="1">
        <v>106863.0</v>
      </c>
      <c r="AP13" s="1">
        <v>107071.0</v>
      </c>
      <c r="AQ13" s="1">
        <v>107280.0</v>
      </c>
      <c r="AR13" s="1">
        <v>107490.0</v>
      </c>
      <c r="AS13" s="1">
        <v>107700.0</v>
      </c>
      <c r="AT13" s="1">
        <v>107910.0</v>
      </c>
      <c r="AU13" s="1">
        <v>108120.0</v>
      </c>
      <c r="AV13" s="1">
        <v>108331.0</v>
      </c>
      <c r="AW13" s="1">
        <v>108543.0</v>
      </c>
      <c r="AX13" s="1">
        <v>108755.0</v>
      </c>
      <c r="AY13" s="1">
        <v>108967.0</v>
      </c>
      <c r="AZ13" s="1">
        <v>109180.0</v>
      </c>
      <c r="BA13" s="1">
        <v>109393.0</v>
      </c>
      <c r="BB13" s="1">
        <v>109606.0</v>
      </c>
      <c r="BC13" s="1">
        <v>109820.0</v>
      </c>
      <c r="BD13" s="1">
        <v>110035.0</v>
      </c>
      <c r="BE13" s="1">
        <v>110250.0</v>
      </c>
      <c r="BF13" s="1">
        <v>110465.0</v>
      </c>
      <c r="BG13" s="1">
        <v>110680.0</v>
      </c>
      <c r="BH13" s="1">
        <v>110896.0</v>
      </c>
      <c r="BI13" s="1">
        <v>111113.0</v>
      </c>
      <c r="BJ13" s="1">
        <v>111330.0</v>
      </c>
      <c r="BK13" s="1">
        <v>111547.0</v>
      </c>
      <c r="BL13" s="1">
        <v>111765.0</v>
      </c>
      <c r="BM13" s="1">
        <v>111983.0</v>
      </c>
      <c r="BN13" s="1">
        <v>112202.0</v>
      </c>
      <c r="BO13" s="1">
        <v>112421.0</v>
      </c>
      <c r="BP13" s="1">
        <v>112640.0</v>
      </c>
      <c r="BQ13" s="1">
        <v>112860.0</v>
      </c>
      <c r="BR13" s="1">
        <v>113080.0</v>
      </c>
      <c r="BS13" s="1">
        <v>113301.0</v>
      </c>
      <c r="BT13" s="1">
        <v>113522.0</v>
      </c>
      <c r="BU13" s="1">
        <v>113744.0</v>
      </c>
      <c r="BV13" s="1">
        <v>5937880.0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2000.0</v>
      </c>
      <c r="T14" s="1">
        <v>2000.0</v>
      </c>
      <c r="U14" s="1">
        <v>2000.0</v>
      </c>
      <c r="V14" s="1">
        <v>2000.0</v>
      </c>
      <c r="W14" s="1">
        <v>2000.0</v>
      </c>
      <c r="X14" s="1">
        <v>2000.0</v>
      </c>
      <c r="Y14" s="1">
        <v>2000.0</v>
      </c>
      <c r="Z14" s="1">
        <v>2000.0</v>
      </c>
      <c r="AA14" s="1">
        <v>2000.0</v>
      </c>
      <c r="AB14" s="1">
        <v>2000.0</v>
      </c>
      <c r="AC14" s="1">
        <v>2000.0</v>
      </c>
      <c r="AD14" s="1">
        <v>2000.0</v>
      </c>
      <c r="AE14" s="1">
        <v>2000.0</v>
      </c>
      <c r="AF14" s="1">
        <v>2000.0</v>
      </c>
      <c r="AG14" s="1">
        <v>2000.0</v>
      </c>
      <c r="AH14" s="1">
        <v>2000.0</v>
      </c>
      <c r="AI14" s="1">
        <v>2000.0</v>
      </c>
      <c r="AJ14" s="1">
        <v>2000.0</v>
      </c>
      <c r="AK14" s="1">
        <v>2000.0</v>
      </c>
      <c r="AL14" s="1">
        <v>2000.0</v>
      </c>
      <c r="AM14" s="1">
        <v>2000.0</v>
      </c>
      <c r="AN14" s="1">
        <v>2000.0</v>
      </c>
      <c r="AO14" s="1">
        <v>2000.0</v>
      </c>
      <c r="AP14" s="1">
        <v>2000.0</v>
      </c>
      <c r="AQ14" s="1">
        <v>2000.0</v>
      </c>
      <c r="AR14" s="1">
        <v>2000.0</v>
      </c>
      <c r="AS14" s="1">
        <v>2000.0</v>
      </c>
      <c r="AT14" s="1">
        <v>2000.0</v>
      </c>
      <c r="AU14" s="1">
        <v>2000.0</v>
      </c>
      <c r="AV14" s="1">
        <v>2000.0</v>
      </c>
      <c r="AW14" s="1">
        <v>2000.0</v>
      </c>
      <c r="AX14" s="1">
        <v>2000.0</v>
      </c>
      <c r="AY14" s="1">
        <v>2000.0</v>
      </c>
      <c r="AZ14" s="1">
        <v>2000.0</v>
      </c>
      <c r="BA14" s="1">
        <v>2000.0</v>
      </c>
      <c r="BB14" s="1">
        <v>2000.0</v>
      </c>
      <c r="BC14" s="1">
        <v>2000.0</v>
      </c>
      <c r="BD14" s="1">
        <v>2000.0</v>
      </c>
      <c r="BE14" s="1">
        <v>2000.0</v>
      </c>
      <c r="BF14" s="1">
        <v>2000.0</v>
      </c>
      <c r="BG14" s="1">
        <v>2000.0</v>
      </c>
      <c r="BH14" s="1">
        <v>2000.0</v>
      </c>
      <c r="BI14" s="1">
        <v>2000.0</v>
      </c>
      <c r="BJ14" s="1">
        <v>2000.0</v>
      </c>
      <c r="BK14" s="1">
        <v>2000.0</v>
      </c>
      <c r="BL14" s="1">
        <v>2000.0</v>
      </c>
      <c r="BM14" s="1">
        <v>2000.0</v>
      </c>
      <c r="BN14" s="1">
        <v>2000.0</v>
      </c>
      <c r="BO14" s="1">
        <v>2000.0</v>
      </c>
      <c r="BP14" s="1">
        <v>2000.0</v>
      </c>
      <c r="BQ14" s="1">
        <v>2000.0</v>
      </c>
      <c r="BR14" s="1">
        <v>2000.0</v>
      </c>
      <c r="BS14" s="1">
        <v>2000.0</v>
      </c>
      <c r="BT14" s="1">
        <v>2000.0</v>
      </c>
      <c r="BU14" s="1">
        <v>2000.0</v>
      </c>
      <c r="BV14" s="1">
        <v>110000.0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104375.0</v>
      </c>
      <c r="T15" s="1">
        <v>104575.0</v>
      </c>
      <c r="U15" s="1">
        <v>104775.0</v>
      </c>
      <c r="V15" s="1">
        <v>104976.0</v>
      </c>
      <c r="W15" s="1">
        <v>105177.0</v>
      </c>
      <c r="X15" s="1">
        <v>105378.0</v>
      </c>
      <c r="Y15" s="1">
        <v>105580.0</v>
      </c>
      <c r="Z15" s="1">
        <v>105782.0</v>
      </c>
      <c r="AA15" s="1">
        <v>105985.0</v>
      </c>
      <c r="AB15" s="1">
        <v>106188.0</v>
      </c>
      <c r="AC15" s="1">
        <v>106391.0</v>
      </c>
      <c r="AD15" s="1">
        <v>106595.0</v>
      </c>
      <c r="AE15" s="1">
        <v>106799.0</v>
      </c>
      <c r="AF15" s="1">
        <v>107004.0</v>
      </c>
      <c r="AG15" s="1">
        <v>107208.0</v>
      </c>
      <c r="AH15" s="1">
        <v>107414.0</v>
      </c>
      <c r="AI15" s="1">
        <v>107620.0</v>
      </c>
      <c r="AJ15" s="1">
        <v>107826.0</v>
      </c>
      <c r="AK15" s="1">
        <v>108032.0</v>
      </c>
      <c r="AL15" s="1">
        <v>108239.0</v>
      </c>
      <c r="AM15" s="1">
        <v>108447.0</v>
      </c>
      <c r="AN15" s="1">
        <v>108654.0</v>
      </c>
      <c r="AO15" s="1">
        <v>108863.0</v>
      </c>
      <c r="AP15" s="1">
        <v>109071.0</v>
      </c>
      <c r="AQ15" s="1">
        <v>109280.0</v>
      </c>
      <c r="AR15" s="1">
        <v>109490.0</v>
      </c>
      <c r="AS15" s="1">
        <v>109700.0</v>
      </c>
      <c r="AT15" s="1">
        <v>109910.0</v>
      </c>
      <c r="AU15" s="1">
        <v>110120.0</v>
      </c>
      <c r="AV15" s="1">
        <v>110331.0</v>
      </c>
      <c r="AW15" s="1">
        <v>110543.0</v>
      </c>
      <c r="AX15" s="1">
        <v>110755.0</v>
      </c>
      <c r="AY15" s="1">
        <v>110967.0</v>
      </c>
      <c r="AZ15" s="1">
        <v>111180.0</v>
      </c>
      <c r="BA15" s="1">
        <v>111393.0</v>
      </c>
      <c r="BB15" s="1">
        <v>111606.0</v>
      </c>
      <c r="BC15" s="1">
        <v>111820.0</v>
      </c>
      <c r="BD15" s="1">
        <v>112035.0</v>
      </c>
      <c r="BE15" s="1">
        <v>112250.0</v>
      </c>
      <c r="BF15" s="1">
        <v>112465.0</v>
      </c>
      <c r="BG15" s="1">
        <v>112680.0</v>
      </c>
      <c r="BH15" s="1">
        <v>112896.0</v>
      </c>
      <c r="BI15" s="1">
        <v>113113.0</v>
      </c>
      <c r="BJ15" s="1">
        <v>113330.0</v>
      </c>
      <c r="BK15" s="1">
        <v>113547.0</v>
      </c>
      <c r="BL15" s="1">
        <v>113765.0</v>
      </c>
      <c r="BM15" s="1">
        <v>113983.0</v>
      </c>
      <c r="BN15" s="1">
        <v>114202.0</v>
      </c>
      <c r="BO15" s="1">
        <v>114421.0</v>
      </c>
      <c r="BP15" s="1">
        <v>114640.0</v>
      </c>
      <c r="BQ15" s="1">
        <v>114860.0</v>
      </c>
      <c r="BR15" s="1">
        <v>115080.0</v>
      </c>
      <c r="BS15" s="1">
        <v>115301.0</v>
      </c>
      <c r="BT15" s="1">
        <v>115522.0</v>
      </c>
      <c r="BU15" s="1">
        <v>115744.0</v>
      </c>
      <c r="BV15" s="1">
        <v>6047880.0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238875.0</v>
      </c>
      <c r="T16" s="1">
        <v>239341.0</v>
      </c>
      <c r="U16" s="1">
        <v>239808.0</v>
      </c>
      <c r="V16" s="1">
        <v>240277.0</v>
      </c>
      <c r="W16" s="1">
        <v>240746.0</v>
      </c>
      <c r="X16" s="1">
        <v>241216.0</v>
      </c>
      <c r="Y16" s="1">
        <v>241686.0</v>
      </c>
      <c r="Z16" s="1">
        <v>242158.0</v>
      </c>
      <c r="AA16" s="1">
        <v>242631.0</v>
      </c>
      <c r="AB16" s="1">
        <v>243104.0</v>
      </c>
      <c r="AC16" s="1">
        <v>243579.0</v>
      </c>
      <c r="AD16" s="1">
        <v>244054.0</v>
      </c>
      <c r="AE16" s="1">
        <v>244531.0</v>
      </c>
      <c r="AF16" s="1">
        <v>245008.0</v>
      </c>
      <c r="AG16" s="1">
        <v>245486.0</v>
      </c>
      <c r="AH16" s="1">
        <v>245966.0</v>
      </c>
      <c r="AI16" s="1">
        <v>246446.0</v>
      </c>
      <c r="AJ16" s="1">
        <v>246927.0</v>
      </c>
      <c r="AK16" s="1">
        <v>247409.0</v>
      </c>
      <c r="AL16" s="1">
        <v>247892.0</v>
      </c>
      <c r="AM16" s="1">
        <v>248376.0</v>
      </c>
      <c r="AN16" s="1">
        <v>248860.0</v>
      </c>
      <c r="AO16" s="1">
        <v>249346.0</v>
      </c>
      <c r="AP16" s="1">
        <v>249833.0</v>
      </c>
      <c r="AQ16" s="1">
        <v>250321.0</v>
      </c>
      <c r="AR16" s="1">
        <v>250809.0</v>
      </c>
      <c r="AS16" s="1">
        <v>251299.0</v>
      </c>
      <c r="AT16" s="1">
        <v>251789.0</v>
      </c>
      <c r="AU16" s="1">
        <v>252281.0</v>
      </c>
      <c r="AV16" s="1">
        <v>252773.0</v>
      </c>
      <c r="AW16" s="1">
        <v>253267.0</v>
      </c>
      <c r="AX16" s="1">
        <v>253761.0</v>
      </c>
      <c r="AY16" s="1">
        <v>254256.0</v>
      </c>
      <c r="AZ16" s="1">
        <v>254753.0</v>
      </c>
      <c r="BA16" s="1">
        <v>255250.0</v>
      </c>
      <c r="BB16" s="1">
        <v>255748.0</v>
      </c>
      <c r="BC16" s="1">
        <v>256248.0</v>
      </c>
      <c r="BD16" s="1">
        <v>256748.0</v>
      </c>
      <c r="BE16" s="1">
        <v>257249.0</v>
      </c>
      <c r="BF16" s="1">
        <v>257751.0</v>
      </c>
      <c r="BG16" s="1">
        <v>258254.0</v>
      </c>
      <c r="BH16" s="1">
        <v>258758.0</v>
      </c>
      <c r="BI16" s="1">
        <v>259263.0</v>
      </c>
      <c r="BJ16" s="1">
        <v>259769.0</v>
      </c>
      <c r="BK16" s="1">
        <v>260277.0</v>
      </c>
      <c r="BL16" s="1">
        <v>260785.0</v>
      </c>
      <c r="BM16" s="1">
        <v>261294.0</v>
      </c>
      <c r="BN16" s="1">
        <v>261804.0</v>
      </c>
      <c r="BO16" s="1">
        <v>262315.0</v>
      </c>
      <c r="BP16" s="1">
        <v>262827.0</v>
      </c>
      <c r="BQ16" s="1">
        <v>263340.0</v>
      </c>
      <c r="BR16" s="1">
        <v>263854.0</v>
      </c>
      <c r="BS16" s="1">
        <v>264369.0</v>
      </c>
      <c r="BT16" s="1">
        <v>264885.0</v>
      </c>
      <c r="BU16" s="1">
        <v>265402.0</v>
      </c>
      <c r="BV16" s="1">
        <v>1.3855054E7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253</v>
      </c>
    </row>
    <row r="2">
      <c r="A2" s="1" t="s">
        <v>222</v>
      </c>
    </row>
    <row r="3">
      <c r="A3" s="1" t="s">
        <v>180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200000.0</v>
      </c>
      <c r="V6" s="1">
        <v>200390.0</v>
      </c>
      <c r="W6" s="1">
        <v>200782.0</v>
      </c>
      <c r="X6" s="1">
        <v>201173.0</v>
      </c>
      <c r="Y6" s="1">
        <v>201566.0</v>
      </c>
      <c r="Z6" s="1">
        <v>201960.0</v>
      </c>
      <c r="AA6" s="1">
        <v>202354.0</v>
      </c>
      <c r="AB6" s="1">
        <v>202749.0</v>
      </c>
      <c r="AC6" s="1">
        <v>203145.0</v>
      </c>
      <c r="AD6" s="1">
        <v>203541.0</v>
      </c>
      <c r="AE6" s="1">
        <v>203938.0</v>
      </c>
      <c r="AF6" s="1">
        <v>204337.0</v>
      </c>
      <c r="AG6" s="1">
        <v>204735.0</v>
      </c>
      <c r="AH6" s="1">
        <v>205135.0</v>
      </c>
      <c r="AI6" s="1">
        <v>205535.0</v>
      </c>
      <c r="AJ6" s="1">
        <v>205937.0</v>
      </c>
      <c r="AK6" s="1">
        <v>206339.0</v>
      </c>
      <c r="AL6" s="1">
        <v>206741.0</v>
      </c>
      <c r="AM6" s="1">
        <v>207145.0</v>
      </c>
      <c r="AN6" s="1">
        <v>207549.0</v>
      </c>
      <c r="AO6" s="1">
        <v>207955.0</v>
      </c>
      <c r="AP6" s="1">
        <v>208360.0</v>
      </c>
      <c r="AQ6" s="1">
        <v>208767.0</v>
      </c>
      <c r="AR6" s="1">
        <v>209175.0</v>
      </c>
      <c r="AS6" s="1">
        <v>209583.0</v>
      </c>
      <c r="AT6" s="1">
        <v>209992.0</v>
      </c>
      <c r="AU6" s="1">
        <v>210402.0</v>
      </c>
      <c r="AV6" s="1">
        <v>210813.0</v>
      </c>
      <c r="AW6" s="1">
        <v>211224.0</v>
      </c>
      <c r="AX6" s="1">
        <v>211637.0</v>
      </c>
      <c r="AY6" s="1">
        <v>212050.0</v>
      </c>
      <c r="AZ6" s="1">
        <v>212464.0</v>
      </c>
      <c r="BA6" s="1">
        <v>212878.0</v>
      </c>
      <c r="BB6" s="1">
        <v>213294.0</v>
      </c>
      <c r="BC6" s="1">
        <v>213710.0</v>
      </c>
      <c r="BD6" s="1">
        <v>214127.0</v>
      </c>
      <c r="BE6" s="1">
        <v>214545.0</v>
      </c>
      <c r="BF6" s="1">
        <v>214964.0</v>
      </c>
      <c r="BG6" s="1">
        <v>215384.0</v>
      </c>
      <c r="BH6" s="1">
        <v>215804.0</v>
      </c>
      <c r="BI6" s="1">
        <v>216225.0</v>
      </c>
      <c r="BJ6" s="1">
        <v>216647.0</v>
      </c>
      <c r="BK6" s="1">
        <v>217070.0</v>
      </c>
      <c r="BL6" s="1">
        <v>217494.0</v>
      </c>
      <c r="BM6" s="1">
        <v>217919.0</v>
      </c>
      <c r="BN6" s="1">
        <v>218344.0</v>
      </c>
      <c r="BO6" s="1">
        <v>218770.0</v>
      </c>
      <c r="BP6" s="1">
        <v>219197.0</v>
      </c>
      <c r="BQ6" s="1">
        <v>219625.0</v>
      </c>
      <c r="BR6" s="1">
        <v>220054.0</v>
      </c>
      <c r="BS6" s="1">
        <v>220483.0</v>
      </c>
      <c r="BT6" s="1">
        <v>220914.0</v>
      </c>
      <c r="BU6" s="1">
        <v>221345.0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1200.0</v>
      </c>
      <c r="W7" s="1">
        <v>1202.0</v>
      </c>
      <c r="X7" s="1">
        <v>1205.0</v>
      </c>
      <c r="Y7" s="1">
        <v>1207.0</v>
      </c>
      <c r="Z7" s="1">
        <v>1209.0</v>
      </c>
      <c r="AA7" s="1">
        <v>1212.0</v>
      </c>
      <c r="AB7" s="1">
        <v>1214.0</v>
      </c>
      <c r="AC7" s="1">
        <v>1216.0</v>
      </c>
      <c r="AD7" s="1">
        <v>1219.0</v>
      </c>
      <c r="AE7" s="1">
        <v>1221.0</v>
      </c>
      <c r="AF7" s="1">
        <v>1224.0</v>
      </c>
      <c r="AG7" s="1">
        <v>1226.0</v>
      </c>
      <c r="AH7" s="1">
        <v>1228.0</v>
      </c>
      <c r="AI7" s="1">
        <v>1231.0</v>
      </c>
      <c r="AJ7" s="1">
        <v>1233.0</v>
      </c>
      <c r="AK7" s="1">
        <v>1236.0</v>
      </c>
      <c r="AL7" s="1">
        <v>1238.0</v>
      </c>
      <c r="AM7" s="1">
        <v>1240.0</v>
      </c>
      <c r="AN7" s="1">
        <v>1243.0</v>
      </c>
      <c r="AO7" s="1">
        <v>1245.0</v>
      </c>
      <c r="AP7" s="1">
        <v>1248.0</v>
      </c>
      <c r="AQ7" s="1">
        <v>1250.0</v>
      </c>
      <c r="AR7" s="1">
        <v>1253.0</v>
      </c>
      <c r="AS7" s="1">
        <v>1255.0</v>
      </c>
      <c r="AT7" s="1">
        <v>1257.0</v>
      </c>
      <c r="AU7" s="1">
        <v>1260.0</v>
      </c>
      <c r="AV7" s="1">
        <v>1262.0</v>
      </c>
      <c r="AW7" s="1">
        <v>1265.0</v>
      </c>
      <c r="AX7" s="1">
        <v>1267.0</v>
      </c>
      <c r="AY7" s="1">
        <v>1270.0</v>
      </c>
      <c r="AZ7" s="1">
        <v>1272.0</v>
      </c>
      <c r="BA7" s="1">
        <v>1275.0</v>
      </c>
      <c r="BB7" s="1">
        <v>1277.0</v>
      </c>
      <c r="BC7" s="1">
        <v>1280.0</v>
      </c>
      <c r="BD7" s="1">
        <v>1282.0</v>
      </c>
      <c r="BE7" s="1">
        <v>1285.0</v>
      </c>
      <c r="BF7" s="1">
        <v>1287.0</v>
      </c>
      <c r="BG7" s="1">
        <v>1290.0</v>
      </c>
      <c r="BH7" s="1">
        <v>1292.0</v>
      </c>
      <c r="BI7" s="1">
        <v>1295.0</v>
      </c>
      <c r="BJ7" s="1">
        <v>1297.0</v>
      </c>
      <c r="BK7" s="1">
        <v>1300.0</v>
      </c>
      <c r="BL7" s="1">
        <v>1302.0</v>
      </c>
      <c r="BM7" s="1">
        <v>1305.0</v>
      </c>
      <c r="BN7" s="1">
        <v>1308.0</v>
      </c>
      <c r="BO7" s="1">
        <v>1310.0</v>
      </c>
      <c r="BP7" s="1">
        <v>1313.0</v>
      </c>
      <c r="BQ7" s="1">
        <v>1315.0</v>
      </c>
      <c r="BR7" s="1">
        <v>1318.0</v>
      </c>
      <c r="BS7" s="1">
        <v>1320.0</v>
      </c>
      <c r="BT7" s="1">
        <v>1323.0</v>
      </c>
      <c r="BU7" s="1">
        <v>1325.0</v>
      </c>
      <c r="BV7" s="1">
        <v>65610.0</v>
      </c>
    </row>
    <row r="8">
      <c r="A8" s="1" t="s">
        <v>145</v>
      </c>
      <c r="B8" s="1">
        <v>1.2</v>
      </c>
      <c r="C8" s="1">
        <v>1.2</v>
      </c>
      <c r="D8" s="1">
        <v>1.2</v>
      </c>
      <c r="E8" s="1">
        <v>1.2</v>
      </c>
      <c r="F8" s="1">
        <v>1.2</v>
      </c>
      <c r="G8" s="1">
        <v>1.2</v>
      </c>
      <c r="H8" s="1">
        <v>1.2</v>
      </c>
      <c r="I8" s="1">
        <v>1.2</v>
      </c>
      <c r="J8" s="1">
        <v>1.2</v>
      </c>
      <c r="K8" s="1">
        <v>1.2</v>
      </c>
      <c r="L8" s="1">
        <v>1.2</v>
      </c>
      <c r="M8" s="1">
        <v>1.2</v>
      </c>
      <c r="N8" s="1">
        <v>1.2</v>
      </c>
      <c r="O8" s="1">
        <v>1.2</v>
      </c>
      <c r="P8" s="1">
        <v>1.2</v>
      </c>
      <c r="Q8" s="1">
        <v>1.2</v>
      </c>
      <c r="R8" s="1">
        <v>1.2</v>
      </c>
      <c r="S8" s="1">
        <v>1.2</v>
      </c>
      <c r="T8" s="1">
        <v>1.2</v>
      </c>
      <c r="U8" s="1">
        <v>1.2</v>
      </c>
      <c r="V8" s="1">
        <v>1.2</v>
      </c>
      <c r="W8" s="1">
        <v>1.2</v>
      </c>
      <c r="X8" s="1">
        <v>1.2</v>
      </c>
      <c r="Y8" s="1">
        <v>1.2</v>
      </c>
      <c r="Z8" s="1">
        <v>1.2</v>
      </c>
      <c r="AA8" s="1">
        <v>1.2</v>
      </c>
      <c r="AB8" s="1">
        <v>1.2</v>
      </c>
      <c r="AC8" s="1">
        <v>1.2</v>
      </c>
      <c r="AD8" s="1">
        <v>1.2</v>
      </c>
      <c r="AE8" s="1">
        <v>1.2</v>
      </c>
      <c r="AF8" s="1">
        <v>1.2</v>
      </c>
      <c r="AG8" s="1">
        <v>1.2</v>
      </c>
      <c r="AH8" s="1">
        <v>1.2</v>
      </c>
      <c r="AI8" s="1">
        <v>1.2</v>
      </c>
      <c r="AJ8" s="1">
        <v>1.2</v>
      </c>
      <c r="AK8" s="1">
        <v>1.2</v>
      </c>
      <c r="AL8" s="1">
        <v>1.2</v>
      </c>
      <c r="AM8" s="1">
        <v>1.2</v>
      </c>
      <c r="AN8" s="1">
        <v>1.2</v>
      </c>
      <c r="AO8" s="1">
        <v>1.2</v>
      </c>
      <c r="AP8" s="1">
        <v>1.2</v>
      </c>
      <c r="AQ8" s="1">
        <v>1.2</v>
      </c>
      <c r="AR8" s="1">
        <v>1.2</v>
      </c>
      <c r="AS8" s="1">
        <v>1.2</v>
      </c>
      <c r="AT8" s="1">
        <v>1.2</v>
      </c>
      <c r="AU8" s="1">
        <v>1.2</v>
      </c>
      <c r="AV8" s="1">
        <v>1.2</v>
      </c>
      <c r="AW8" s="1">
        <v>1.2</v>
      </c>
      <c r="AX8" s="1">
        <v>1.2</v>
      </c>
      <c r="AY8" s="1">
        <v>1.2</v>
      </c>
      <c r="AZ8" s="1">
        <v>1.2</v>
      </c>
      <c r="BA8" s="1">
        <v>1.2</v>
      </c>
      <c r="BB8" s="1">
        <v>1.2</v>
      </c>
      <c r="BC8" s="1">
        <v>1.2</v>
      </c>
      <c r="BD8" s="1">
        <v>1.2</v>
      </c>
      <c r="BE8" s="1">
        <v>1.2</v>
      </c>
      <c r="BF8" s="1">
        <v>1.2</v>
      </c>
      <c r="BG8" s="1">
        <v>1.2</v>
      </c>
      <c r="BH8" s="1">
        <v>1.2</v>
      </c>
      <c r="BI8" s="1">
        <v>1.2</v>
      </c>
      <c r="BJ8" s="1">
        <v>1.2</v>
      </c>
      <c r="BK8" s="1">
        <v>1.2</v>
      </c>
      <c r="BL8" s="1">
        <v>1.2</v>
      </c>
      <c r="BM8" s="1">
        <v>1.2</v>
      </c>
      <c r="BN8" s="1">
        <v>1.2</v>
      </c>
      <c r="BO8" s="1">
        <v>1.2</v>
      </c>
      <c r="BP8" s="1">
        <v>1.2</v>
      </c>
      <c r="BQ8" s="1">
        <v>1.2</v>
      </c>
      <c r="BR8" s="1">
        <v>1.2</v>
      </c>
      <c r="BS8" s="1">
        <v>1.2</v>
      </c>
      <c r="BT8" s="1">
        <v>1.2</v>
      </c>
      <c r="BU8" s="1">
        <v>1.2</v>
      </c>
    </row>
    <row r="9">
      <c r="A9" s="1" t="s">
        <v>146</v>
      </c>
      <c r="B9" s="1">
        <v>50.0</v>
      </c>
      <c r="C9" s="1">
        <v>50.0</v>
      </c>
      <c r="D9" s="1">
        <v>50.0</v>
      </c>
      <c r="E9" s="1">
        <v>50.0</v>
      </c>
      <c r="F9" s="1">
        <v>50.0</v>
      </c>
      <c r="G9" s="1">
        <v>50.0</v>
      </c>
      <c r="H9" s="1">
        <v>50.0</v>
      </c>
      <c r="I9" s="1">
        <v>50.0</v>
      </c>
      <c r="J9" s="1">
        <v>50.0</v>
      </c>
      <c r="K9" s="1">
        <v>50.0</v>
      </c>
      <c r="L9" s="1">
        <v>50.0</v>
      </c>
      <c r="M9" s="1">
        <v>50.0</v>
      </c>
      <c r="N9" s="1">
        <v>50.0</v>
      </c>
      <c r="O9" s="1">
        <v>50.0</v>
      </c>
      <c r="P9" s="1">
        <v>50.0</v>
      </c>
      <c r="Q9" s="1">
        <v>50.0</v>
      </c>
      <c r="R9" s="1">
        <v>50.0</v>
      </c>
      <c r="S9" s="1">
        <v>50.0</v>
      </c>
      <c r="T9" s="1">
        <v>50.0</v>
      </c>
      <c r="U9" s="1">
        <v>50.0</v>
      </c>
      <c r="V9" s="1">
        <v>50.0</v>
      </c>
      <c r="W9" s="1">
        <v>50.0</v>
      </c>
      <c r="X9" s="1">
        <v>50.0</v>
      </c>
      <c r="Y9" s="1">
        <v>50.0</v>
      </c>
      <c r="Z9" s="1">
        <v>50.0</v>
      </c>
      <c r="AA9" s="1">
        <v>50.0</v>
      </c>
      <c r="AB9" s="1">
        <v>50.0</v>
      </c>
      <c r="AC9" s="1">
        <v>50.0</v>
      </c>
      <c r="AD9" s="1">
        <v>50.0</v>
      </c>
      <c r="AE9" s="1">
        <v>50.0</v>
      </c>
      <c r="AF9" s="1">
        <v>50.0</v>
      </c>
      <c r="AG9" s="1">
        <v>50.0</v>
      </c>
      <c r="AH9" s="1">
        <v>50.0</v>
      </c>
      <c r="AI9" s="1">
        <v>50.0</v>
      </c>
      <c r="AJ9" s="1">
        <v>50.0</v>
      </c>
      <c r="AK9" s="1">
        <v>50.0</v>
      </c>
      <c r="AL9" s="1">
        <v>50.0</v>
      </c>
      <c r="AM9" s="1">
        <v>50.0</v>
      </c>
      <c r="AN9" s="1">
        <v>50.0</v>
      </c>
      <c r="AO9" s="1">
        <v>50.0</v>
      </c>
      <c r="AP9" s="1">
        <v>50.0</v>
      </c>
      <c r="AQ9" s="1">
        <v>50.0</v>
      </c>
      <c r="AR9" s="1">
        <v>50.0</v>
      </c>
      <c r="AS9" s="1">
        <v>50.0</v>
      </c>
      <c r="AT9" s="1">
        <v>50.0</v>
      </c>
      <c r="AU9" s="1">
        <v>50.0</v>
      </c>
      <c r="AV9" s="1">
        <v>50.0</v>
      </c>
      <c r="AW9" s="1">
        <v>50.0</v>
      </c>
      <c r="AX9" s="1">
        <v>50.0</v>
      </c>
      <c r="AY9" s="1">
        <v>50.0</v>
      </c>
      <c r="AZ9" s="1">
        <v>50.0</v>
      </c>
      <c r="BA9" s="1">
        <v>50.0</v>
      </c>
      <c r="BB9" s="1">
        <v>50.0</v>
      </c>
      <c r="BC9" s="1">
        <v>50.0</v>
      </c>
      <c r="BD9" s="1">
        <v>50.0</v>
      </c>
      <c r="BE9" s="1">
        <v>50.0</v>
      </c>
      <c r="BF9" s="1">
        <v>50.0</v>
      </c>
      <c r="BG9" s="1">
        <v>50.0</v>
      </c>
      <c r="BH9" s="1">
        <v>50.0</v>
      </c>
      <c r="BI9" s="1">
        <v>50.0</v>
      </c>
      <c r="BJ9" s="1">
        <v>50.0</v>
      </c>
      <c r="BK9" s="1">
        <v>50.0</v>
      </c>
      <c r="BL9" s="1">
        <v>50.0</v>
      </c>
      <c r="BM9" s="1">
        <v>50.0</v>
      </c>
      <c r="BN9" s="1">
        <v>50.0</v>
      </c>
      <c r="BO9" s="1">
        <v>50.0</v>
      </c>
      <c r="BP9" s="1">
        <v>50.0</v>
      </c>
      <c r="BQ9" s="1">
        <v>50.0</v>
      </c>
      <c r="BR9" s="1">
        <v>50.0</v>
      </c>
      <c r="BS9" s="1">
        <v>50.0</v>
      </c>
      <c r="BT9" s="1">
        <v>50.0</v>
      </c>
      <c r="BU9" s="1">
        <v>50.0</v>
      </c>
      <c r="BV9" s="1" t="s">
        <v>166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2400.0</v>
      </c>
      <c r="V11" s="1">
        <v>2405.0</v>
      </c>
      <c r="W11" s="1">
        <v>2409.0</v>
      </c>
      <c r="X11" s="1">
        <v>2414.0</v>
      </c>
      <c r="Y11" s="1">
        <v>2419.0</v>
      </c>
      <c r="Z11" s="1">
        <v>2424.0</v>
      </c>
      <c r="AA11" s="1">
        <v>2428.0</v>
      </c>
      <c r="AB11" s="1">
        <v>2433.0</v>
      </c>
      <c r="AC11" s="1">
        <v>2438.0</v>
      </c>
      <c r="AD11" s="1">
        <v>2442.0</v>
      </c>
      <c r="AE11" s="1">
        <v>2447.0</v>
      </c>
      <c r="AF11" s="1">
        <v>2452.0</v>
      </c>
      <c r="AG11" s="1">
        <v>2457.0</v>
      </c>
      <c r="AH11" s="1">
        <v>2462.0</v>
      </c>
      <c r="AI11" s="1">
        <v>2466.0</v>
      </c>
      <c r="AJ11" s="1">
        <v>2471.0</v>
      </c>
      <c r="AK11" s="1">
        <v>2476.0</v>
      </c>
      <c r="AL11" s="1">
        <v>2481.0</v>
      </c>
      <c r="AM11" s="1">
        <v>2486.0</v>
      </c>
      <c r="AN11" s="1">
        <v>2491.0</v>
      </c>
      <c r="AO11" s="1">
        <v>2495.0</v>
      </c>
      <c r="AP11" s="1">
        <v>2500.0</v>
      </c>
      <c r="AQ11" s="1">
        <v>2505.0</v>
      </c>
      <c r="AR11" s="1">
        <v>2510.0</v>
      </c>
      <c r="AS11" s="1">
        <v>2515.0</v>
      </c>
      <c r="AT11" s="1">
        <v>2520.0</v>
      </c>
      <c r="AU11" s="1">
        <v>2525.0</v>
      </c>
      <c r="AV11" s="1">
        <v>2530.0</v>
      </c>
      <c r="AW11" s="1">
        <v>2535.0</v>
      </c>
      <c r="AX11" s="1">
        <v>2540.0</v>
      </c>
      <c r="AY11" s="1">
        <v>2545.0</v>
      </c>
      <c r="AZ11" s="1">
        <v>2550.0</v>
      </c>
      <c r="BA11" s="1">
        <v>2555.0</v>
      </c>
      <c r="BB11" s="1">
        <v>2560.0</v>
      </c>
      <c r="BC11" s="1">
        <v>2565.0</v>
      </c>
      <c r="BD11" s="1">
        <v>2570.0</v>
      </c>
      <c r="BE11" s="1">
        <v>2575.0</v>
      </c>
      <c r="BF11" s="1">
        <v>2580.0</v>
      </c>
      <c r="BG11" s="1">
        <v>2585.0</v>
      </c>
      <c r="BH11" s="1">
        <v>2590.0</v>
      </c>
      <c r="BI11" s="1">
        <v>2595.0</v>
      </c>
      <c r="BJ11" s="1">
        <v>2600.0</v>
      </c>
      <c r="BK11" s="1">
        <v>2605.0</v>
      </c>
      <c r="BL11" s="1">
        <v>2610.0</v>
      </c>
      <c r="BM11" s="1">
        <v>2615.0</v>
      </c>
      <c r="BN11" s="1">
        <v>2620.0</v>
      </c>
      <c r="BO11" s="1">
        <v>2625.0</v>
      </c>
      <c r="BP11" s="1">
        <v>2630.0</v>
      </c>
      <c r="BQ11" s="1">
        <v>2636.0</v>
      </c>
      <c r="BR11" s="1">
        <v>2641.0</v>
      </c>
      <c r="BS11" s="1">
        <v>2646.0</v>
      </c>
      <c r="BT11" s="1">
        <v>2651.0</v>
      </c>
      <c r="BU11" s="1">
        <v>2656.0</v>
      </c>
      <c r="BV11" s="1">
        <v>133875.0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120000.0</v>
      </c>
      <c r="V12" s="1">
        <v>120234.0</v>
      </c>
      <c r="W12" s="1">
        <v>120469.0</v>
      </c>
      <c r="X12" s="1">
        <v>120704.0</v>
      </c>
      <c r="Y12" s="1">
        <v>120940.0</v>
      </c>
      <c r="Z12" s="1">
        <v>121176.0</v>
      </c>
      <c r="AA12" s="1">
        <v>121412.0</v>
      </c>
      <c r="AB12" s="1">
        <v>121649.0</v>
      </c>
      <c r="AC12" s="1">
        <v>121887.0</v>
      </c>
      <c r="AD12" s="1">
        <v>122125.0</v>
      </c>
      <c r="AE12" s="1">
        <v>122363.0</v>
      </c>
      <c r="AF12" s="1">
        <v>122602.0</v>
      </c>
      <c r="AG12" s="1">
        <v>122841.0</v>
      </c>
      <c r="AH12" s="1">
        <v>123081.0</v>
      </c>
      <c r="AI12" s="1">
        <v>123321.0</v>
      </c>
      <c r="AJ12" s="1">
        <v>123562.0</v>
      </c>
      <c r="AK12" s="1">
        <v>123803.0</v>
      </c>
      <c r="AL12" s="1">
        <v>124045.0</v>
      </c>
      <c r="AM12" s="1">
        <v>124287.0</v>
      </c>
      <c r="AN12" s="1">
        <v>124530.0</v>
      </c>
      <c r="AO12" s="1">
        <v>124773.0</v>
      </c>
      <c r="AP12" s="1">
        <v>125016.0</v>
      </c>
      <c r="AQ12" s="1">
        <v>125260.0</v>
      </c>
      <c r="AR12" s="1">
        <v>125505.0</v>
      </c>
      <c r="AS12" s="1">
        <v>125750.0</v>
      </c>
      <c r="AT12" s="1">
        <v>125995.0</v>
      </c>
      <c r="AU12" s="1">
        <v>126241.0</v>
      </c>
      <c r="AV12" s="1">
        <v>126488.0</v>
      </c>
      <c r="AW12" s="1">
        <v>126735.0</v>
      </c>
      <c r="AX12" s="1">
        <v>126982.0</v>
      </c>
      <c r="AY12" s="1">
        <v>127230.0</v>
      </c>
      <c r="AZ12" s="1">
        <v>127478.0</v>
      </c>
      <c r="BA12" s="1">
        <v>127727.0</v>
      </c>
      <c r="BB12" s="1">
        <v>127976.0</v>
      </c>
      <c r="BC12" s="1">
        <v>128226.0</v>
      </c>
      <c r="BD12" s="1">
        <v>128476.0</v>
      </c>
      <c r="BE12" s="1">
        <v>128727.0</v>
      </c>
      <c r="BF12" s="1">
        <v>128978.0</v>
      </c>
      <c r="BG12" s="1">
        <v>129230.0</v>
      </c>
      <c r="BH12" s="1">
        <v>129482.0</v>
      </c>
      <c r="BI12" s="1">
        <v>129735.0</v>
      </c>
      <c r="BJ12" s="1">
        <v>129988.0</v>
      </c>
      <c r="BK12" s="1">
        <v>130242.0</v>
      </c>
      <c r="BL12" s="1">
        <v>130496.0</v>
      </c>
      <c r="BM12" s="1">
        <v>130751.0</v>
      </c>
      <c r="BN12" s="1">
        <v>131006.0</v>
      </c>
      <c r="BO12" s="1">
        <v>131262.0</v>
      </c>
      <c r="BP12" s="1">
        <v>131518.0</v>
      </c>
      <c r="BQ12" s="1">
        <v>131775.0</v>
      </c>
      <c r="BR12" s="1">
        <v>132032.0</v>
      </c>
      <c r="BS12" s="1">
        <v>132290.0</v>
      </c>
      <c r="BT12" s="1">
        <v>132548.0</v>
      </c>
      <c r="BU12" s="1">
        <v>132807.0</v>
      </c>
      <c r="BV12" s="1">
        <v>6693760.0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36000.0</v>
      </c>
      <c r="V13" s="1">
        <v>36070.0</v>
      </c>
      <c r="W13" s="1">
        <v>36141.0</v>
      </c>
      <c r="X13" s="1">
        <v>36211.0</v>
      </c>
      <c r="Y13" s="1">
        <v>36282.0</v>
      </c>
      <c r="Z13" s="1">
        <v>36353.0</v>
      </c>
      <c r="AA13" s="1">
        <v>36424.0</v>
      </c>
      <c r="AB13" s="1">
        <v>36495.0</v>
      </c>
      <c r="AC13" s="1">
        <v>36566.0</v>
      </c>
      <c r="AD13" s="1">
        <v>36637.0</v>
      </c>
      <c r="AE13" s="1">
        <v>36709.0</v>
      </c>
      <c r="AF13" s="1">
        <v>36781.0</v>
      </c>
      <c r="AG13" s="1">
        <v>36852.0</v>
      </c>
      <c r="AH13" s="1">
        <v>36924.0</v>
      </c>
      <c r="AI13" s="1">
        <v>36996.0</v>
      </c>
      <c r="AJ13" s="1">
        <v>37069.0</v>
      </c>
      <c r="AK13" s="1">
        <v>37141.0</v>
      </c>
      <c r="AL13" s="1">
        <v>37213.0</v>
      </c>
      <c r="AM13" s="1">
        <v>37286.0</v>
      </c>
      <c r="AN13" s="1">
        <v>37359.0</v>
      </c>
      <c r="AO13" s="1">
        <v>37432.0</v>
      </c>
      <c r="AP13" s="1">
        <v>37505.0</v>
      </c>
      <c r="AQ13" s="1">
        <v>37578.0</v>
      </c>
      <c r="AR13" s="1">
        <v>37651.0</v>
      </c>
      <c r="AS13" s="1">
        <v>37725.0</v>
      </c>
      <c r="AT13" s="1">
        <v>37799.0</v>
      </c>
      <c r="AU13" s="1">
        <v>37872.0</v>
      </c>
      <c r="AV13" s="1">
        <v>37946.0</v>
      </c>
      <c r="AW13" s="1">
        <v>38020.0</v>
      </c>
      <c r="AX13" s="1">
        <v>38095.0</v>
      </c>
      <c r="AY13" s="1">
        <v>38169.0</v>
      </c>
      <c r="AZ13" s="1">
        <v>38243.0</v>
      </c>
      <c r="BA13" s="1">
        <v>38318.0</v>
      </c>
      <c r="BB13" s="1">
        <v>38393.0</v>
      </c>
      <c r="BC13" s="1">
        <v>38468.0</v>
      </c>
      <c r="BD13" s="1">
        <v>38543.0</v>
      </c>
      <c r="BE13" s="1">
        <v>38618.0</v>
      </c>
      <c r="BF13" s="1">
        <v>38694.0</v>
      </c>
      <c r="BG13" s="1">
        <v>38769.0</v>
      </c>
      <c r="BH13" s="1">
        <v>38845.0</v>
      </c>
      <c r="BI13" s="1">
        <v>38921.0</v>
      </c>
      <c r="BJ13" s="1">
        <v>38997.0</v>
      </c>
      <c r="BK13" s="1">
        <v>39073.0</v>
      </c>
      <c r="BL13" s="1">
        <v>39149.0</v>
      </c>
      <c r="BM13" s="1">
        <v>39225.0</v>
      </c>
      <c r="BN13" s="1">
        <v>39302.0</v>
      </c>
      <c r="BO13" s="1">
        <v>39379.0</v>
      </c>
      <c r="BP13" s="1">
        <v>39456.0</v>
      </c>
      <c r="BQ13" s="1">
        <v>39533.0</v>
      </c>
      <c r="BR13" s="1">
        <v>39610.0</v>
      </c>
      <c r="BS13" s="1">
        <v>39687.0</v>
      </c>
      <c r="BT13" s="1">
        <v>39764.0</v>
      </c>
      <c r="BU13" s="1">
        <v>39842.0</v>
      </c>
      <c r="BV13" s="1">
        <v>2008128.0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36000.0</v>
      </c>
      <c r="V15" s="1">
        <v>36070.0</v>
      </c>
      <c r="W15" s="1">
        <v>36141.0</v>
      </c>
      <c r="X15" s="1">
        <v>36211.0</v>
      </c>
      <c r="Y15" s="1">
        <v>36282.0</v>
      </c>
      <c r="Z15" s="1">
        <v>36353.0</v>
      </c>
      <c r="AA15" s="1">
        <v>36424.0</v>
      </c>
      <c r="AB15" s="1">
        <v>36495.0</v>
      </c>
      <c r="AC15" s="1">
        <v>36566.0</v>
      </c>
      <c r="AD15" s="1">
        <v>36637.0</v>
      </c>
      <c r="AE15" s="1">
        <v>36709.0</v>
      </c>
      <c r="AF15" s="1">
        <v>36781.0</v>
      </c>
      <c r="AG15" s="1">
        <v>36852.0</v>
      </c>
      <c r="AH15" s="1">
        <v>36924.0</v>
      </c>
      <c r="AI15" s="1">
        <v>36996.0</v>
      </c>
      <c r="AJ15" s="1">
        <v>37069.0</v>
      </c>
      <c r="AK15" s="1">
        <v>37141.0</v>
      </c>
      <c r="AL15" s="1">
        <v>37213.0</v>
      </c>
      <c r="AM15" s="1">
        <v>37286.0</v>
      </c>
      <c r="AN15" s="1">
        <v>37359.0</v>
      </c>
      <c r="AO15" s="1">
        <v>37432.0</v>
      </c>
      <c r="AP15" s="1">
        <v>37505.0</v>
      </c>
      <c r="AQ15" s="1">
        <v>37578.0</v>
      </c>
      <c r="AR15" s="1">
        <v>37651.0</v>
      </c>
      <c r="AS15" s="1">
        <v>37725.0</v>
      </c>
      <c r="AT15" s="1">
        <v>37799.0</v>
      </c>
      <c r="AU15" s="1">
        <v>37872.0</v>
      </c>
      <c r="AV15" s="1">
        <v>37946.0</v>
      </c>
      <c r="AW15" s="1">
        <v>38020.0</v>
      </c>
      <c r="AX15" s="1">
        <v>38095.0</v>
      </c>
      <c r="AY15" s="1">
        <v>38169.0</v>
      </c>
      <c r="AZ15" s="1">
        <v>38243.0</v>
      </c>
      <c r="BA15" s="1">
        <v>38318.0</v>
      </c>
      <c r="BB15" s="1">
        <v>38393.0</v>
      </c>
      <c r="BC15" s="1">
        <v>38468.0</v>
      </c>
      <c r="BD15" s="1">
        <v>38543.0</v>
      </c>
      <c r="BE15" s="1">
        <v>38618.0</v>
      </c>
      <c r="BF15" s="1">
        <v>38694.0</v>
      </c>
      <c r="BG15" s="1">
        <v>38769.0</v>
      </c>
      <c r="BH15" s="1">
        <v>38845.0</v>
      </c>
      <c r="BI15" s="1">
        <v>38921.0</v>
      </c>
      <c r="BJ15" s="1">
        <v>38997.0</v>
      </c>
      <c r="BK15" s="1">
        <v>39073.0</v>
      </c>
      <c r="BL15" s="1">
        <v>39149.0</v>
      </c>
      <c r="BM15" s="1">
        <v>39225.0</v>
      </c>
      <c r="BN15" s="1">
        <v>39302.0</v>
      </c>
      <c r="BO15" s="1">
        <v>39379.0</v>
      </c>
      <c r="BP15" s="1">
        <v>39456.0</v>
      </c>
      <c r="BQ15" s="1">
        <v>39533.0</v>
      </c>
      <c r="BR15" s="1">
        <v>39610.0</v>
      </c>
      <c r="BS15" s="1">
        <v>39687.0</v>
      </c>
      <c r="BT15" s="1">
        <v>39764.0</v>
      </c>
      <c r="BU15" s="1">
        <v>39842.0</v>
      </c>
      <c r="BV15" s="1">
        <v>2008128.0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84000.0</v>
      </c>
      <c r="V16" s="1">
        <v>84164.0</v>
      </c>
      <c r="W16" s="1">
        <v>84328.0</v>
      </c>
      <c r="X16" s="1">
        <v>84493.0</v>
      </c>
      <c r="Y16" s="1">
        <v>84658.0</v>
      </c>
      <c r="Z16" s="1">
        <v>84823.0</v>
      </c>
      <c r="AA16" s="1">
        <v>84989.0</v>
      </c>
      <c r="AB16" s="1">
        <v>85155.0</v>
      </c>
      <c r="AC16" s="1">
        <v>85321.0</v>
      </c>
      <c r="AD16" s="1">
        <v>85487.0</v>
      </c>
      <c r="AE16" s="1">
        <v>85654.0</v>
      </c>
      <c r="AF16" s="1">
        <v>85821.0</v>
      </c>
      <c r="AG16" s="1">
        <v>85989.0</v>
      </c>
      <c r="AH16" s="1">
        <v>86157.0</v>
      </c>
      <c r="AI16" s="1">
        <v>86325.0</v>
      </c>
      <c r="AJ16" s="1">
        <v>86493.0</v>
      </c>
      <c r="AK16" s="1">
        <v>86662.0</v>
      </c>
      <c r="AL16" s="1">
        <v>86831.0</v>
      </c>
      <c r="AM16" s="1">
        <v>87001.0</v>
      </c>
      <c r="AN16" s="1">
        <v>87171.0</v>
      </c>
      <c r="AO16" s="1">
        <v>87341.0</v>
      </c>
      <c r="AP16" s="1">
        <v>87511.0</v>
      </c>
      <c r="AQ16" s="1">
        <v>87682.0</v>
      </c>
      <c r="AR16" s="1">
        <v>87853.0</v>
      </c>
      <c r="AS16" s="1">
        <v>88025.0</v>
      </c>
      <c r="AT16" s="1">
        <v>88197.0</v>
      </c>
      <c r="AU16" s="1">
        <v>88369.0</v>
      </c>
      <c r="AV16" s="1">
        <v>88541.0</v>
      </c>
      <c r="AW16" s="1">
        <v>88714.0</v>
      </c>
      <c r="AX16" s="1">
        <v>88887.0</v>
      </c>
      <c r="AY16" s="1">
        <v>89061.0</v>
      </c>
      <c r="AZ16" s="1">
        <v>89235.0</v>
      </c>
      <c r="BA16" s="1">
        <v>89409.0</v>
      </c>
      <c r="BB16" s="1">
        <v>89583.0</v>
      </c>
      <c r="BC16" s="1">
        <v>89758.0</v>
      </c>
      <c r="BD16" s="1">
        <v>89933.0</v>
      </c>
      <c r="BE16" s="1">
        <v>90109.0</v>
      </c>
      <c r="BF16" s="1">
        <v>90285.0</v>
      </c>
      <c r="BG16" s="1">
        <v>90461.0</v>
      </c>
      <c r="BH16" s="1">
        <v>90638.0</v>
      </c>
      <c r="BI16" s="1">
        <v>90815.0</v>
      </c>
      <c r="BJ16" s="1">
        <v>90992.0</v>
      </c>
      <c r="BK16" s="1">
        <v>91170.0</v>
      </c>
      <c r="BL16" s="1">
        <v>91348.0</v>
      </c>
      <c r="BM16" s="1">
        <v>91526.0</v>
      </c>
      <c r="BN16" s="1">
        <v>91704.0</v>
      </c>
      <c r="BO16" s="1">
        <v>91883.0</v>
      </c>
      <c r="BP16" s="1">
        <v>92063.0</v>
      </c>
      <c r="BQ16" s="1">
        <v>92243.0</v>
      </c>
      <c r="BR16" s="1">
        <v>92423.0</v>
      </c>
      <c r="BS16" s="1">
        <v>92603.0</v>
      </c>
      <c r="BT16" s="1">
        <v>92784.0</v>
      </c>
      <c r="BU16" s="1">
        <v>92965.0</v>
      </c>
      <c r="BV16" s="1">
        <v>4685632.0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257</v>
      </c>
    </row>
    <row r="2">
      <c r="A2" s="1" t="s">
        <v>200</v>
      </c>
    </row>
    <row r="3">
      <c r="A3" s="1" t="s">
        <v>201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500000.0</v>
      </c>
      <c r="Q6" s="1">
        <v>501465.0</v>
      </c>
      <c r="R6" s="1">
        <v>502934.0</v>
      </c>
      <c r="S6" s="1">
        <v>504408.0</v>
      </c>
      <c r="T6" s="1">
        <v>505886.0</v>
      </c>
      <c r="U6" s="1">
        <v>507368.0</v>
      </c>
      <c r="V6" s="1">
        <v>508855.0</v>
      </c>
      <c r="W6" s="1">
        <v>510346.0</v>
      </c>
      <c r="X6" s="1">
        <v>511841.0</v>
      </c>
      <c r="Y6" s="1">
        <v>513341.0</v>
      </c>
      <c r="Z6" s="1">
        <v>514845.0</v>
      </c>
      <c r="AA6" s="1">
        <v>516353.0</v>
      </c>
      <c r="AB6" s="1">
        <v>517866.0</v>
      </c>
      <c r="AC6" s="1">
        <v>519383.0</v>
      </c>
      <c r="AD6" s="1">
        <v>520905.0</v>
      </c>
      <c r="AE6" s="1">
        <v>522431.0</v>
      </c>
      <c r="AF6" s="1">
        <v>523962.0</v>
      </c>
      <c r="AG6" s="1">
        <v>525497.0</v>
      </c>
      <c r="AH6" s="1">
        <v>527037.0</v>
      </c>
      <c r="AI6" s="1">
        <v>528581.0</v>
      </c>
      <c r="AJ6" s="1">
        <v>530130.0</v>
      </c>
      <c r="AK6" s="1">
        <v>531683.0</v>
      </c>
      <c r="AL6" s="1">
        <v>533241.0</v>
      </c>
      <c r="AM6" s="1">
        <v>534804.0</v>
      </c>
      <c r="AN6" s="1">
        <v>536371.0</v>
      </c>
      <c r="AO6" s="1">
        <v>537942.0</v>
      </c>
      <c r="AP6" s="1">
        <v>539518.0</v>
      </c>
      <c r="AQ6" s="1">
        <v>541099.0</v>
      </c>
      <c r="AR6" s="1">
        <v>542685.0</v>
      </c>
      <c r="AS6" s="1">
        <v>544275.0</v>
      </c>
      <c r="AT6" s="1">
        <v>545869.0</v>
      </c>
      <c r="AU6" s="1">
        <v>547469.0</v>
      </c>
      <c r="AV6" s="1">
        <v>549073.0</v>
      </c>
      <c r="AW6" s="1">
        <v>550682.0</v>
      </c>
      <c r="AX6" s="1">
        <v>552295.0</v>
      </c>
      <c r="AY6" s="1">
        <v>553913.0</v>
      </c>
      <c r="AZ6" s="1">
        <v>555536.0</v>
      </c>
      <c r="BA6" s="1">
        <v>557164.0</v>
      </c>
      <c r="BB6" s="1">
        <v>558796.0</v>
      </c>
      <c r="BC6" s="1">
        <v>560434.0</v>
      </c>
      <c r="BD6" s="1">
        <v>562076.0</v>
      </c>
      <c r="BE6" s="1">
        <v>563723.0</v>
      </c>
      <c r="BF6" s="1">
        <v>565374.0</v>
      </c>
      <c r="BG6" s="1">
        <v>567031.0</v>
      </c>
      <c r="BH6" s="1">
        <v>568692.0</v>
      </c>
      <c r="BI6" s="1">
        <v>570359.0</v>
      </c>
      <c r="BJ6" s="1">
        <v>572030.0</v>
      </c>
      <c r="BK6" s="1">
        <v>573706.0</v>
      </c>
      <c r="BL6" s="1">
        <v>575387.0</v>
      </c>
      <c r="BM6" s="1">
        <v>577073.0</v>
      </c>
      <c r="BN6" s="1">
        <v>578763.0</v>
      </c>
      <c r="BO6" s="1">
        <v>580459.0</v>
      </c>
      <c r="BP6" s="1">
        <v>582160.0</v>
      </c>
      <c r="BQ6" s="1">
        <v>583866.0</v>
      </c>
      <c r="BR6" s="1">
        <v>585576.0</v>
      </c>
      <c r="BS6" s="1">
        <v>587292.0</v>
      </c>
      <c r="BT6" s="1">
        <v>589013.0</v>
      </c>
      <c r="BU6" s="1">
        <v>590739.0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3500.0</v>
      </c>
      <c r="R7" s="1">
        <v>3510.0</v>
      </c>
      <c r="S7" s="1">
        <v>3521.0</v>
      </c>
      <c r="T7" s="1">
        <v>3531.0</v>
      </c>
      <c r="U7" s="1">
        <v>3541.0</v>
      </c>
      <c r="V7" s="1">
        <v>3552.0</v>
      </c>
      <c r="W7" s="1">
        <v>3562.0</v>
      </c>
      <c r="X7" s="1">
        <v>3572.0</v>
      </c>
      <c r="Y7" s="1">
        <v>3583.0</v>
      </c>
      <c r="Z7" s="1">
        <v>3593.0</v>
      </c>
      <c r="AA7" s="1">
        <v>3604.0</v>
      </c>
      <c r="AB7" s="1">
        <v>3614.0</v>
      </c>
      <c r="AC7" s="1">
        <v>3625.0</v>
      </c>
      <c r="AD7" s="1">
        <v>3636.0</v>
      </c>
      <c r="AE7" s="1">
        <v>3646.0</v>
      </c>
      <c r="AF7" s="1">
        <v>3657.0</v>
      </c>
      <c r="AG7" s="1">
        <v>3668.0</v>
      </c>
      <c r="AH7" s="1">
        <v>3678.0</v>
      </c>
      <c r="AI7" s="1">
        <v>3689.0</v>
      </c>
      <c r="AJ7" s="1">
        <v>3700.0</v>
      </c>
      <c r="AK7" s="1">
        <v>3711.0</v>
      </c>
      <c r="AL7" s="1">
        <v>3722.0</v>
      </c>
      <c r="AM7" s="1">
        <v>3733.0</v>
      </c>
      <c r="AN7" s="1">
        <v>3744.0</v>
      </c>
      <c r="AO7" s="1">
        <v>3755.0</v>
      </c>
      <c r="AP7" s="1">
        <v>3766.0</v>
      </c>
      <c r="AQ7" s="1">
        <v>3777.0</v>
      </c>
      <c r="AR7" s="1">
        <v>3788.0</v>
      </c>
      <c r="AS7" s="1">
        <v>3799.0</v>
      </c>
      <c r="AT7" s="1">
        <v>3810.0</v>
      </c>
      <c r="AU7" s="1">
        <v>3821.0</v>
      </c>
      <c r="AV7" s="1">
        <v>3832.0</v>
      </c>
      <c r="AW7" s="1">
        <v>3844.0</v>
      </c>
      <c r="AX7" s="1">
        <v>3855.0</v>
      </c>
      <c r="AY7" s="1">
        <v>3866.0</v>
      </c>
      <c r="AZ7" s="1">
        <v>3877.0</v>
      </c>
      <c r="BA7" s="1">
        <v>3889.0</v>
      </c>
      <c r="BB7" s="1">
        <v>3900.0</v>
      </c>
      <c r="BC7" s="1">
        <v>3912.0</v>
      </c>
      <c r="BD7" s="1">
        <v>3923.0</v>
      </c>
      <c r="BE7" s="1">
        <v>3935.0</v>
      </c>
      <c r="BF7" s="1">
        <v>3946.0</v>
      </c>
      <c r="BG7" s="1">
        <v>3958.0</v>
      </c>
      <c r="BH7" s="1">
        <v>3969.0</v>
      </c>
      <c r="BI7" s="1">
        <v>3981.0</v>
      </c>
      <c r="BJ7" s="1">
        <v>3993.0</v>
      </c>
      <c r="BK7" s="1">
        <v>4004.0</v>
      </c>
      <c r="BL7" s="1">
        <v>4016.0</v>
      </c>
      <c r="BM7" s="1">
        <v>4028.0</v>
      </c>
      <c r="BN7" s="1">
        <v>4040.0</v>
      </c>
      <c r="BO7" s="1">
        <v>4051.0</v>
      </c>
      <c r="BP7" s="1">
        <v>4063.0</v>
      </c>
      <c r="BQ7" s="1">
        <v>4075.0</v>
      </c>
      <c r="BR7" s="1">
        <v>4087.0</v>
      </c>
      <c r="BS7" s="1">
        <v>4099.0</v>
      </c>
      <c r="BT7" s="1">
        <v>4111.0</v>
      </c>
      <c r="BU7" s="1">
        <v>4123.0</v>
      </c>
      <c r="BV7" s="1">
        <v>216782.0</v>
      </c>
    </row>
    <row r="8">
      <c r="A8" s="1" t="s">
        <v>145</v>
      </c>
      <c r="B8" s="1">
        <v>1.3</v>
      </c>
      <c r="C8" s="1">
        <v>1.3</v>
      </c>
      <c r="D8" s="1">
        <v>1.3</v>
      </c>
      <c r="E8" s="1">
        <v>1.3</v>
      </c>
      <c r="F8" s="1">
        <v>1.3</v>
      </c>
      <c r="G8" s="1">
        <v>1.3</v>
      </c>
      <c r="H8" s="1">
        <v>1.3</v>
      </c>
      <c r="I8" s="1">
        <v>1.3</v>
      </c>
      <c r="J8" s="1">
        <v>1.3</v>
      </c>
      <c r="K8" s="1">
        <v>1.3</v>
      </c>
      <c r="L8" s="1">
        <v>1.3</v>
      </c>
      <c r="M8" s="1">
        <v>1.3</v>
      </c>
      <c r="N8" s="1">
        <v>1.3</v>
      </c>
      <c r="O8" s="1">
        <v>1.3</v>
      </c>
      <c r="P8" s="1">
        <v>1.3</v>
      </c>
      <c r="Q8" s="1">
        <v>1.3</v>
      </c>
      <c r="R8" s="1">
        <v>1.3</v>
      </c>
      <c r="S8" s="1">
        <v>1.3</v>
      </c>
      <c r="T8" s="1">
        <v>1.3</v>
      </c>
      <c r="U8" s="1">
        <v>1.3</v>
      </c>
      <c r="V8" s="1">
        <v>1.3</v>
      </c>
      <c r="W8" s="1">
        <v>1.3</v>
      </c>
      <c r="X8" s="1">
        <v>1.3</v>
      </c>
      <c r="Y8" s="1">
        <v>1.3</v>
      </c>
      <c r="Z8" s="1">
        <v>1.3</v>
      </c>
      <c r="AA8" s="1">
        <v>1.3</v>
      </c>
      <c r="AB8" s="1">
        <v>1.3</v>
      </c>
      <c r="AC8" s="1">
        <v>1.3</v>
      </c>
      <c r="AD8" s="1">
        <v>1.3</v>
      </c>
      <c r="AE8" s="1">
        <v>1.3</v>
      </c>
      <c r="AF8" s="1">
        <v>1.3</v>
      </c>
      <c r="AG8" s="1">
        <v>1.3</v>
      </c>
      <c r="AH8" s="1">
        <v>1.3</v>
      </c>
      <c r="AI8" s="1">
        <v>1.3</v>
      </c>
      <c r="AJ8" s="1">
        <v>1.3</v>
      </c>
      <c r="AK8" s="1">
        <v>1.3</v>
      </c>
      <c r="AL8" s="1">
        <v>1.3</v>
      </c>
      <c r="AM8" s="1">
        <v>1.3</v>
      </c>
      <c r="AN8" s="1">
        <v>1.3</v>
      </c>
      <c r="AO8" s="1">
        <v>1.3</v>
      </c>
      <c r="AP8" s="1">
        <v>1.3</v>
      </c>
      <c r="AQ8" s="1">
        <v>1.3</v>
      </c>
      <c r="AR8" s="1">
        <v>1.3</v>
      </c>
      <c r="AS8" s="1">
        <v>1.3</v>
      </c>
      <c r="AT8" s="1">
        <v>1.3</v>
      </c>
      <c r="AU8" s="1">
        <v>1.3</v>
      </c>
      <c r="AV8" s="1">
        <v>1.3</v>
      </c>
      <c r="AW8" s="1">
        <v>1.3</v>
      </c>
      <c r="AX8" s="1">
        <v>1.3</v>
      </c>
      <c r="AY8" s="1">
        <v>1.3</v>
      </c>
      <c r="AZ8" s="1">
        <v>1.3</v>
      </c>
      <c r="BA8" s="1">
        <v>1.3</v>
      </c>
      <c r="BB8" s="1">
        <v>1.3</v>
      </c>
      <c r="BC8" s="1">
        <v>1.3</v>
      </c>
      <c r="BD8" s="1">
        <v>1.3</v>
      </c>
      <c r="BE8" s="1">
        <v>1.3</v>
      </c>
      <c r="BF8" s="1">
        <v>1.3</v>
      </c>
      <c r="BG8" s="1">
        <v>1.3</v>
      </c>
      <c r="BH8" s="1">
        <v>1.3</v>
      </c>
      <c r="BI8" s="1">
        <v>1.3</v>
      </c>
      <c r="BJ8" s="1">
        <v>1.3</v>
      </c>
      <c r="BK8" s="1">
        <v>1.3</v>
      </c>
      <c r="BL8" s="1">
        <v>1.3</v>
      </c>
      <c r="BM8" s="1">
        <v>1.3</v>
      </c>
      <c r="BN8" s="1">
        <v>1.3</v>
      </c>
      <c r="BO8" s="1">
        <v>1.3</v>
      </c>
      <c r="BP8" s="1">
        <v>1.3</v>
      </c>
      <c r="BQ8" s="1">
        <v>1.3</v>
      </c>
      <c r="BR8" s="1">
        <v>1.3</v>
      </c>
      <c r="BS8" s="1">
        <v>1.3</v>
      </c>
      <c r="BT8" s="1">
        <v>1.3</v>
      </c>
      <c r="BU8" s="1">
        <v>1.3</v>
      </c>
    </row>
    <row r="9">
      <c r="A9" s="1" t="s">
        <v>146</v>
      </c>
      <c r="B9" s="1">
        <v>60.0</v>
      </c>
      <c r="C9" s="1">
        <v>60.0</v>
      </c>
      <c r="D9" s="1">
        <v>60.0</v>
      </c>
      <c r="E9" s="1">
        <v>60.0</v>
      </c>
      <c r="F9" s="1">
        <v>60.0</v>
      </c>
      <c r="G9" s="1">
        <v>60.0</v>
      </c>
      <c r="H9" s="1">
        <v>60.0</v>
      </c>
      <c r="I9" s="1">
        <v>60.0</v>
      </c>
      <c r="J9" s="1">
        <v>60.0</v>
      </c>
      <c r="K9" s="1">
        <v>60.0</v>
      </c>
      <c r="L9" s="1">
        <v>60.0</v>
      </c>
      <c r="M9" s="1">
        <v>60.0</v>
      </c>
      <c r="N9" s="1">
        <v>60.0</v>
      </c>
      <c r="O9" s="1">
        <v>60.0</v>
      </c>
      <c r="P9" s="1">
        <v>60.0</v>
      </c>
      <c r="Q9" s="1">
        <v>60.0</v>
      </c>
      <c r="R9" s="1">
        <v>60.0</v>
      </c>
      <c r="S9" s="1">
        <v>60.0</v>
      </c>
      <c r="T9" s="1">
        <v>60.0</v>
      </c>
      <c r="U9" s="1">
        <v>60.0</v>
      </c>
      <c r="V9" s="1">
        <v>60.0</v>
      </c>
      <c r="W9" s="1">
        <v>60.0</v>
      </c>
      <c r="X9" s="1">
        <v>60.0</v>
      </c>
      <c r="Y9" s="1">
        <v>60.0</v>
      </c>
      <c r="Z9" s="1">
        <v>60.0</v>
      </c>
      <c r="AA9" s="1">
        <v>60.0</v>
      </c>
      <c r="AB9" s="1">
        <v>60.0</v>
      </c>
      <c r="AC9" s="1">
        <v>60.0</v>
      </c>
      <c r="AD9" s="1">
        <v>60.0</v>
      </c>
      <c r="AE9" s="1">
        <v>60.0</v>
      </c>
      <c r="AF9" s="1">
        <v>60.0</v>
      </c>
      <c r="AG9" s="1">
        <v>60.0</v>
      </c>
      <c r="AH9" s="1">
        <v>60.0</v>
      </c>
      <c r="AI9" s="1">
        <v>60.0</v>
      </c>
      <c r="AJ9" s="1">
        <v>60.0</v>
      </c>
      <c r="AK9" s="1">
        <v>60.0</v>
      </c>
      <c r="AL9" s="1">
        <v>60.0</v>
      </c>
      <c r="AM9" s="1">
        <v>60.0</v>
      </c>
      <c r="AN9" s="1">
        <v>60.0</v>
      </c>
      <c r="AO9" s="1">
        <v>60.0</v>
      </c>
      <c r="AP9" s="1">
        <v>60.0</v>
      </c>
      <c r="AQ9" s="1">
        <v>60.0</v>
      </c>
      <c r="AR9" s="1">
        <v>60.0</v>
      </c>
      <c r="AS9" s="1">
        <v>60.0</v>
      </c>
      <c r="AT9" s="1">
        <v>60.0</v>
      </c>
      <c r="AU9" s="1">
        <v>60.0</v>
      </c>
      <c r="AV9" s="1">
        <v>60.0</v>
      </c>
      <c r="AW9" s="1">
        <v>60.0</v>
      </c>
      <c r="AX9" s="1">
        <v>60.0</v>
      </c>
      <c r="AY9" s="1">
        <v>60.0</v>
      </c>
      <c r="AZ9" s="1">
        <v>60.0</v>
      </c>
      <c r="BA9" s="1">
        <v>60.0</v>
      </c>
      <c r="BB9" s="1">
        <v>60.0</v>
      </c>
      <c r="BC9" s="1">
        <v>60.0</v>
      </c>
      <c r="BD9" s="1">
        <v>60.0</v>
      </c>
      <c r="BE9" s="1">
        <v>60.0</v>
      </c>
      <c r="BF9" s="1">
        <v>60.0</v>
      </c>
      <c r="BG9" s="1">
        <v>60.0</v>
      </c>
      <c r="BH9" s="1">
        <v>60.0</v>
      </c>
      <c r="BI9" s="1">
        <v>60.0</v>
      </c>
      <c r="BJ9" s="1">
        <v>60.0</v>
      </c>
      <c r="BK9" s="1">
        <v>60.0</v>
      </c>
      <c r="BL9" s="1">
        <v>60.0</v>
      </c>
      <c r="BM9" s="1">
        <v>60.0</v>
      </c>
      <c r="BN9" s="1">
        <v>60.0</v>
      </c>
      <c r="BO9" s="1">
        <v>60.0</v>
      </c>
      <c r="BP9" s="1">
        <v>60.0</v>
      </c>
      <c r="BQ9" s="1">
        <v>60.0</v>
      </c>
      <c r="BR9" s="1">
        <v>60.0</v>
      </c>
      <c r="BS9" s="1">
        <v>60.0</v>
      </c>
      <c r="BT9" s="1">
        <v>60.0</v>
      </c>
      <c r="BU9" s="1">
        <v>60.0</v>
      </c>
      <c r="BV9" s="1" t="s">
        <v>202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6500.0</v>
      </c>
      <c r="Q11" s="1">
        <v>6519.0</v>
      </c>
      <c r="R11" s="1">
        <v>6538.0</v>
      </c>
      <c r="S11" s="1">
        <v>6557.0</v>
      </c>
      <c r="T11" s="1">
        <v>6577.0</v>
      </c>
      <c r="U11" s="1">
        <v>6596.0</v>
      </c>
      <c r="V11" s="1">
        <v>6615.0</v>
      </c>
      <c r="W11" s="1">
        <v>6634.0</v>
      </c>
      <c r="X11" s="1">
        <v>6654.0</v>
      </c>
      <c r="Y11" s="1">
        <v>6673.0</v>
      </c>
      <c r="Z11" s="1">
        <v>6693.0</v>
      </c>
      <c r="AA11" s="1">
        <v>6713.0</v>
      </c>
      <c r="AB11" s="1">
        <v>6732.0</v>
      </c>
      <c r="AC11" s="1">
        <v>6752.0</v>
      </c>
      <c r="AD11" s="1">
        <v>6772.0</v>
      </c>
      <c r="AE11" s="1">
        <v>6792.0</v>
      </c>
      <c r="AF11" s="1">
        <v>6812.0</v>
      </c>
      <c r="AG11" s="1">
        <v>6831.0</v>
      </c>
      <c r="AH11" s="1">
        <v>6851.0</v>
      </c>
      <c r="AI11" s="1">
        <v>6872.0</v>
      </c>
      <c r="AJ11" s="1">
        <v>6892.0</v>
      </c>
      <c r="AK11" s="1">
        <v>6912.0</v>
      </c>
      <c r="AL11" s="1">
        <v>6932.0</v>
      </c>
      <c r="AM11" s="1">
        <v>6952.0</v>
      </c>
      <c r="AN11" s="1">
        <v>6973.0</v>
      </c>
      <c r="AO11" s="1">
        <v>6993.0</v>
      </c>
      <c r="AP11" s="1">
        <v>7014.0</v>
      </c>
      <c r="AQ11" s="1">
        <v>7034.0</v>
      </c>
      <c r="AR11" s="1">
        <v>7055.0</v>
      </c>
      <c r="AS11" s="1">
        <v>7076.0</v>
      </c>
      <c r="AT11" s="1">
        <v>7096.0</v>
      </c>
      <c r="AU11" s="1">
        <v>7117.0</v>
      </c>
      <c r="AV11" s="1">
        <v>7138.0</v>
      </c>
      <c r="AW11" s="1">
        <v>7159.0</v>
      </c>
      <c r="AX11" s="1">
        <v>7180.0</v>
      </c>
      <c r="AY11" s="1">
        <v>7201.0</v>
      </c>
      <c r="AZ11" s="1">
        <v>7222.0</v>
      </c>
      <c r="BA11" s="1">
        <v>7243.0</v>
      </c>
      <c r="BB11" s="1">
        <v>7264.0</v>
      </c>
      <c r="BC11" s="1">
        <v>7286.0</v>
      </c>
      <c r="BD11" s="1">
        <v>7307.0</v>
      </c>
      <c r="BE11" s="1">
        <v>7328.0</v>
      </c>
      <c r="BF11" s="1">
        <v>7350.0</v>
      </c>
      <c r="BG11" s="1">
        <v>7371.0</v>
      </c>
      <c r="BH11" s="1">
        <v>7393.0</v>
      </c>
      <c r="BI11" s="1">
        <v>7415.0</v>
      </c>
      <c r="BJ11" s="1">
        <v>7436.0</v>
      </c>
      <c r="BK11" s="1">
        <v>7458.0</v>
      </c>
      <c r="BL11" s="1">
        <v>7480.0</v>
      </c>
      <c r="BM11" s="1">
        <v>7502.0</v>
      </c>
      <c r="BN11" s="1">
        <v>7524.0</v>
      </c>
      <c r="BO11" s="1">
        <v>7546.0</v>
      </c>
      <c r="BP11" s="1">
        <v>7568.0</v>
      </c>
      <c r="BQ11" s="1">
        <v>7590.0</v>
      </c>
      <c r="BR11" s="1">
        <v>7612.0</v>
      </c>
      <c r="BS11" s="1">
        <v>7635.0</v>
      </c>
      <c r="BT11" s="1">
        <v>7657.0</v>
      </c>
      <c r="BU11" s="1">
        <v>7680.0</v>
      </c>
      <c r="BV11" s="1">
        <v>410275.0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390000.0</v>
      </c>
      <c r="Q12" s="1">
        <v>391143.0</v>
      </c>
      <c r="R12" s="1">
        <v>392289.0</v>
      </c>
      <c r="S12" s="1">
        <v>393438.0</v>
      </c>
      <c r="T12" s="1">
        <v>394591.0</v>
      </c>
      <c r="U12" s="1">
        <v>395747.0</v>
      </c>
      <c r="V12" s="1">
        <v>396907.0</v>
      </c>
      <c r="W12" s="1">
        <v>398070.0</v>
      </c>
      <c r="X12" s="1">
        <v>399236.0</v>
      </c>
      <c r="Y12" s="1">
        <v>400406.0</v>
      </c>
      <c r="Z12" s="1">
        <v>401579.0</v>
      </c>
      <c r="AA12" s="1">
        <v>402755.0</v>
      </c>
      <c r="AB12" s="1">
        <v>403936.0</v>
      </c>
      <c r="AC12" s="1">
        <v>405119.0</v>
      </c>
      <c r="AD12" s="1">
        <v>406306.0</v>
      </c>
      <c r="AE12" s="1">
        <v>407497.0</v>
      </c>
      <c r="AF12" s="1">
        <v>408691.0</v>
      </c>
      <c r="AG12" s="1">
        <v>409888.0</v>
      </c>
      <c r="AH12" s="1">
        <v>411089.0</v>
      </c>
      <c r="AI12" s="1">
        <v>412293.0</v>
      </c>
      <c r="AJ12" s="1">
        <v>413501.0</v>
      </c>
      <c r="AK12" s="1">
        <v>414713.0</v>
      </c>
      <c r="AL12" s="1">
        <v>415928.0</v>
      </c>
      <c r="AM12" s="1">
        <v>417147.0</v>
      </c>
      <c r="AN12" s="1">
        <v>418369.0</v>
      </c>
      <c r="AO12" s="1">
        <v>419595.0</v>
      </c>
      <c r="AP12" s="1">
        <v>420824.0</v>
      </c>
      <c r="AQ12" s="1">
        <v>422057.0</v>
      </c>
      <c r="AR12" s="1">
        <v>423294.0</v>
      </c>
      <c r="AS12" s="1">
        <v>424534.0</v>
      </c>
      <c r="AT12" s="1">
        <v>425778.0</v>
      </c>
      <c r="AU12" s="1">
        <v>427026.0</v>
      </c>
      <c r="AV12" s="1">
        <v>428277.0</v>
      </c>
      <c r="AW12" s="1">
        <v>429532.0</v>
      </c>
      <c r="AX12" s="1">
        <v>430790.0</v>
      </c>
      <c r="AY12" s="1">
        <v>432052.0</v>
      </c>
      <c r="AZ12" s="1">
        <v>433318.0</v>
      </c>
      <c r="BA12" s="1">
        <v>434588.0</v>
      </c>
      <c r="BB12" s="1">
        <v>435861.0</v>
      </c>
      <c r="BC12" s="1">
        <v>437138.0</v>
      </c>
      <c r="BD12" s="1">
        <v>438419.0</v>
      </c>
      <c r="BE12" s="1">
        <v>439704.0</v>
      </c>
      <c r="BF12" s="1">
        <v>440992.0</v>
      </c>
      <c r="BG12" s="1">
        <v>442284.0</v>
      </c>
      <c r="BH12" s="1">
        <v>443580.0</v>
      </c>
      <c r="BI12" s="1">
        <v>444880.0</v>
      </c>
      <c r="BJ12" s="1">
        <v>446183.0</v>
      </c>
      <c r="BK12" s="1">
        <v>447491.0</v>
      </c>
      <c r="BL12" s="1">
        <v>448802.0</v>
      </c>
      <c r="BM12" s="1">
        <v>450117.0</v>
      </c>
      <c r="BN12" s="1">
        <v>451436.0</v>
      </c>
      <c r="BO12" s="1">
        <v>452758.0</v>
      </c>
      <c r="BP12" s="1">
        <v>454085.0</v>
      </c>
      <c r="BQ12" s="1">
        <v>455415.0</v>
      </c>
      <c r="BR12" s="1">
        <v>456750.0</v>
      </c>
      <c r="BS12" s="1">
        <v>458088.0</v>
      </c>
      <c r="BT12" s="1">
        <v>459430.0</v>
      </c>
      <c r="BU12" s="1">
        <v>460776.0</v>
      </c>
      <c r="BV12" s="1">
        <v>2.461649E7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117000.0</v>
      </c>
      <c r="Q13" s="1">
        <v>117343.0</v>
      </c>
      <c r="R13" s="1">
        <v>117687.0</v>
      </c>
      <c r="S13" s="1">
        <v>118031.0</v>
      </c>
      <c r="T13" s="1">
        <v>118377.0</v>
      </c>
      <c r="U13" s="1">
        <v>118724.0</v>
      </c>
      <c r="V13" s="1">
        <v>119072.0</v>
      </c>
      <c r="W13" s="1">
        <v>119421.0</v>
      </c>
      <c r="X13" s="1">
        <v>119771.0</v>
      </c>
      <c r="Y13" s="1">
        <v>120122.0</v>
      </c>
      <c r="Z13" s="1">
        <v>120474.0</v>
      </c>
      <c r="AA13" s="1">
        <v>120827.0</v>
      </c>
      <c r="AB13" s="1">
        <v>121181.0</v>
      </c>
      <c r="AC13" s="1">
        <v>121536.0</v>
      </c>
      <c r="AD13" s="1">
        <v>121892.0</v>
      </c>
      <c r="AE13" s="1">
        <v>122249.0</v>
      </c>
      <c r="AF13" s="1">
        <v>122607.0</v>
      </c>
      <c r="AG13" s="1">
        <v>122966.0</v>
      </c>
      <c r="AH13" s="1">
        <v>123327.0</v>
      </c>
      <c r="AI13" s="1">
        <v>123688.0</v>
      </c>
      <c r="AJ13" s="1">
        <v>124050.0</v>
      </c>
      <c r="AK13" s="1">
        <v>124414.0</v>
      </c>
      <c r="AL13" s="1">
        <v>124778.0</v>
      </c>
      <c r="AM13" s="1">
        <v>125144.0</v>
      </c>
      <c r="AN13" s="1">
        <v>125511.0</v>
      </c>
      <c r="AO13" s="1">
        <v>125878.0</v>
      </c>
      <c r="AP13" s="1">
        <v>126247.0</v>
      </c>
      <c r="AQ13" s="1">
        <v>126617.0</v>
      </c>
      <c r="AR13" s="1">
        <v>126988.0</v>
      </c>
      <c r="AS13" s="1">
        <v>127360.0</v>
      </c>
      <c r="AT13" s="1">
        <v>127733.0</v>
      </c>
      <c r="AU13" s="1">
        <v>128108.0</v>
      </c>
      <c r="AV13" s="1">
        <v>128483.0</v>
      </c>
      <c r="AW13" s="1">
        <v>128859.0</v>
      </c>
      <c r="AX13" s="1">
        <v>129237.0</v>
      </c>
      <c r="AY13" s="1">
        <v>129616.0</v>
      </c>
      <c r="AZ13" s="1">
        <v>129995.0</v>
      </c>
      <c r="BA13" s="1">
        <v>130376.0</v>
      </c>
      <c r="BB13" s="1">
        <v>130758.0</v>
      </c>
      <c r="BC13" s="1">
        <v>131141.0</v>
      </c>
      <c r="BD13" s="1">
        <v>131526.0</v>
      </c>
      <c r="BE13" s="1">
        <v>131911.0</v>
      </c>
      <c r="BF13" s="1">
        <v>132298.0</v>
      </c>
      <c r="BG13" s="1">
        <v>132685.0</v>
      </c>
      <c r="BH13" s="1">
        <v>133074.0</v>
      </c>
      <c r="BI13" s="1">
        <v>133464.0</v>
      </c>
      <c r="BJ13" s="1">
        <v>133855.0</v>
      </c>
      <c r="BK13" s="1">
        <v>134247.0</v>
      </c>
      <c r="BL13" s="1">
        <v>134641.0</v>
      </c>
      <c r="BM13" s="1">
        <v>135035.0</v>
      </c>
      <c r="BN13" s="1">
        <v>135431.0</v>
      </c>
      <c r="BO13" s="1">
        <v>135827.0</v>
      </c>
      <c r="BP13" s="1">
        <v>136225.0</v>
      </c>
      <c r="BQ13" s="1">
        <v>136625.0</v>
      </c>
      <c r="BR13" s="1">
        <v>137025.0</v>
      </c>
      <c r="BS13" s="1">
        <v>137426.0</v>
      </c>
      <c r="BT13" s="1">
        <v>137829.0</v>
      </c>
      <c r="BU13" s="1">
        <v>138233.0</v>
      </c>
      <c r="BV13" s="1">
        <v>7384947.0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2000.0</v>
      </c>
      <c r="Q14" s="1">
        <v>2000.0</v>
      </c>
      <c r="R14" s="1">
        <v>2000.0</v>
      </c>
      <c r="S14" s="1">
        <v>2000.0</v>
      </c>
      <c r="T14" s="1">
        <v>2000.0</v>
      </c>
      <c r="U14" s="1">
        <v>2000.0</v>
      </c>
      <c r="V14" s="1">
        <v>2000.0</v>
      </c>
      <c r="W14" s="1">
        <v>2000.0</v>
      </c>
      <c r="X14" s="1">
        <v>2000.0</v>
      </c>
      <c r="Y14" s="1">
        <v>2000.0</v>
      </c>
      <c r="Z14" s="1">
        <v>2000.0</v>
      </c>
      <c r="AA14" s="1">
        <v>2000.0</v>
      </c>
      <c r="AB14" s="1">
        <v>2000.0</v>
      </c>
      <c r="AC14" s="1">
        <v>2000.0</v>
      </c>
      <c r="AD14" s="1">
        <v>2000.0</v>
      </c>
      <c r="AE14" s="1">
        <v>2000.0</v>
      </c>
      <c r="AF14" s="1">
        <v>2000.0</v>
      </c>
      <c r="AG14" s="1">
        <v>2000.0</v>
      </c>
      <c r="AH14" s="1">
        <v>2000.0</v>
      </c>
      <c r="AI14" s="1">
        <v>2000.0</v>
      </c>
      <c r="AJ14" s="1">
        <v>2000.0</v>
      </c>
      <c r="AK14" s="1">
        <v>2000.0</v>
      </c>
      <c r="AL14" s="1">
        <v>2000.0</v>
      </c>
      <c r="AM14" s="1">
        <v>2000.0</v>
      </c>
      <c r="AN14" s="1">
        <v>2000.0</v>
      </c>
      <c r="AO14" s="1">
        <v>2000.0</v>
      </c>
      <c r="AP14" s="1">
        <v>2000.0</v>
      </c>
      <c r="AQ14" s="1">
        <v>2000.0</v>
      </c>
      <c r="AR14" s="1">
        <v>2000.0</v>
      </c>
      <c r="AS14" s="1">
        <v>2000.0</v>
      </c>
      <c r="AT14" s="1">
        <v>2000.0</v>
      </c>
      <c r="AU14" s="1">
        <v>2000.0</v>
      </c>
      <c r="AV14" s="1">
        <v>2000.0</v>
      </c>
      <c r="AW14" s="1">
        <v>2000.0</v>
      </c>
      <c r="AX14" s="1">
        <v>2000.0</v>
      </c>
      <c r="AY14" s="1">
        <v>2000.0</v>
      </c>
      <c r="AZ14" s="1">
        <v>2000.0</v>
      </c>
      <c r="BA14" s="1">
        <v>2000.0</v>
      </c>
      <c r="BB14" s="1">
        <v>2000.0</v>
      </c>
      <c r="BC14" s="1">
        <v>2000.0</v>
      </c>
      <c r="BD14" s="1">
        <v>2000.0</v>
      </c>
      <c r="BE14" s="1">
        <v>2000.0</v>
      </c>
      <c r="BF14" s="1">
        <v>2000.0</v>
      </c>
      <c r="BG14" s="1">
        <v>2000.0</v>
      </c>
      <c r="BH14" s="1">
        <v>2000.0</v>
      </c>
      <c r="BI14" s="1">
        <v>2000.0</v>
      </c>
      <c r="BJ14" s="1">
        <v>2000.0</v>
      </c>
      <c r="BK14" s="1">
        <v>2000.0</v>
      </c>
      <c r="BL14" s="1">
        <v>2000.0</v>
      </c>
      <c r="BM14" s="1">
        <v>2000.0</v>
      </c>
      <c r="BN14" s="1">
        <v>2000.0</v>
      </c>
      <c r="BO14" s="1">
        <v>2000.0</v>
      </c>
      <c r="BP14" s="1">
        <v>2000.0</v>
      </c>
      <c r="BQ14" s="1">
        <v>2000.0</v>
      </c>
      <c r="BR14" s="1">
        <v>2000.0</v>
      </c>
      <c r="BS14" s="1">
        <v>2000.0</v>
      </c>
      <c r="BT14" s="1">
        <v>2000.0</v>
      </c>
      <c r="BU14" s="1">
        <v>2000.0</v>
      </c>
      <c r="BV14" s="1">
        <v>116000.0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119000.0</v>
      </c>
      <c r="Q15" s="1">
        <v>119343.0</v>
      </c>
      <c r="R15" s="1">
        <v>119687.0</v>
      </c>
      <c r="S15" s="1">
        <v>120031.0</v>
      </c>
      <c r="T15" s="1">
        <v>120377.0</v>
      </c>
      <c r="U15" s="1">
        <v>120724.0</v>
      </c>
      <c r="V15" s="1">
        <v>121072.0</v>
      </c>
      <c r="W15" s="1">
        <v>121421.0</v>
      </c>
      <c r="X15" s="1">
        <v>121771.0</v>
      </c>
      <c r="Y15" s="1">
        <v>122122.0</v>
      </c>
      <c r="Z15" s="1">
        <v>122474.0</v>
      </c>
      <c r="AA15" s="1">
        <v>122827.0</v>
      </c>
      <c r="AB15" s="1">
        <v>123181.0</v>
      </c>
      <c r="AC15" s="1">
        <v>123536.0</v>
      </c>
      <c r="AD15" s="1">
        <v>123892.0</v>
      </c>
      <c r="AE15" s="1">
        <v>124249.0</v>
      </c>
      <c r="AF15" s="1">
        <v>124607.0</v>
      </c>
      <c r="AG15" s="1">
        <v>124966.0</v>
      </c>
      <c r="AH15" s="1">
        <v>125327.0</v>
      </c>
      <c r="AI15" s="1">
        <v>125688.0</v>
      </c>
      <c r="AJ15" s="1">
        <v>126050.0</v>
      </c>
      <c r="AK15" s="1">
        <v>126414.0</v>
      </c>
      <c r="AL15" s="1">
        <v>126778.0</v>
      </c>
      <c r="AM15" s="1">
        <v>127144.0</v>
      </c>
      <c r="AN15" s="1">
        <v>127511.0</v>
      </c>
      <c r="AO15" s="1">
        <v>127878.0</v>
      </c>
      <c r="AP15" s="1">
        <v>128247.0</v>
      </c>
      <c r="AQ15" s="1">
        <v>128617.0</v>
      </c>
      <c r="AR15" s="1">
        <v>128988.0</v>
      </c>
      <c r="AS15" s="1">
        <v>129360.0</v>
      </c>
      <c r="AT15" s="1">
        <v>129733.0</v>
      </c>
      <c r="AU15" s="1">
        <v>130108.0</v>
      </c>
      <c r="AV15" s="1">
        <v>130483.0</v>
      </c>
      <c r="AW15" s="1">
        <v>130859.0</v>
      </c>
      <c r="AX15" s="1">
        <v>131237.0</v>
      </c>
      <c r="AY15" s="1">
        <v>131616.0</v>
      </c>
      <c r="AZ15" s="1">
        <v>131995.0</v>
      </c>
      <c r="BA15" s="1">
        <v>132376.0</v>
      </c>
      <c r="BB15" s="1">
        <v>132758.0</v>
      </c>
      <c r="BC15" s="1">
        <v>133141.0</v>
      </c>
      <c r="BD15" s="1">
        <v>133526.0</v>
      </c>
      <c r="BE15" s="1">
        <v>133911.0</v>
      </c>
      <c r="BF15" s="1">
        <v>134298.0</v>
      </c>
      <c r="BG15" s="1">
        <v>134685.0</v>
      </c>
      <c r="BH15" s="1">
        <v>135074.0</v>
      </c>
      <c r="BI15" s="1">
        <v>135464.0</v>
      </c>
      <c r="BJ15" s="1">
        <v>135855.0</v>
      </c>
      <c r="BK15" s="1">
        <v>136247.0</v>
      </c>
      <c r="BL15" s="1">
        <v>136641.0</v>
      </c>
      <c r="BM15" s="1">
        <v>137035.0</v>
      </c>
      <c r="BN15" s="1">
        <v>137431.0</v>
      </c>
      <c r="BO15" s="1">
        <v>137827.0</v>
      </c>
      <c r="BP15" s="1">
        <v>138225.0</v>
      </c>
      <c r="BQ15" s="1">
        <v>138625.0</v>
      </c>
      <c r="BR15" s="1">
        <v>139025.0</v>
      </c>
      <c r="BS15" s="1">
        <v>139426.0</v>
      </c>
      <c r="BT15" s="1">
        <v>139829.0</v>
      </c>
      <c r="BU15" s="1">
        <v>140233.0</v>
      </c>
      <c r="BV15" s="1">
        <v>7500947.0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273000.0</v>
      </c>
      <c r="Q16" s="1">
        <v>273800.0</v>
      </c>
      <c r="R16" s="1">
        <v>274602.0</v>
      </c>
      <c r="S16" s="1">
        <v>275407.0</v>
      </c>
      <c r="T16" s="1">
        <v>276214.0</v>
      </c>
      <c r="U16" s="1">
        <v>277023.0</v>
      </c>
      <c r="V16" s="1">
        <v>277835.0</v>
      </c>
      <c r="W16" s="1">
        <v>278649.0</v>
      </c>
      <c r="X16" s="1">
        <v>279465.0</v>
      </c>
      <c r="Y16" s="1">
        <v>280284.0</v>
      </c>
      <c r="Z16" s="1">
        <v>281105.0</v>
      </c>
      <c r="AA16" s="1">
        <v>281929.0</v>
      </c>
      <c r="AB16" s="1">
        <v>282755.0</v>
      </c>
      <c r="AC16" s="1">
        <v>283583.0</v>
      </c>
      <c r="AD16" s="1">
        <v>284414.0</v>
      </c>
      <c r="AE16" s="1">
        <v>285248.0</v>
      </c>
      <c r="AF16" s="1">
        <v>286083.0</v>
      </c>
      <c r="AG16" s="1">
        <v>286922.0</v>
      </c>
      <c r="AH16" s="1">
        <v>287762.0</v>
      </c>
      <c r="AI16" s="1">
        <v>288605.0</v>
      </c>
      <c r="AJ16" s="1">
        <v>289451.0</v>
      </c>
      <c r="AK16" s="1">
        <v>290299.0</v>
      </c>
      <c r="AL16" s="1">
        <v>291150.0</v>
      </c>
      <c r="AM16" s="1">
        <v>292003.0</v>
      </c>
      <c r="AN16" s="1">
        <v>292858.0</v>
      </c>
      <c r="AO16" s="1">
        <v>293716.0</v>
      </c>
      <c r="AP16" s="1">
        <v>294577.0</v>
      </c>
      <c r="AQ16" s="1">
        <v>295440.0</v>
      </c>
      <c r="AR16" s="1">
        <v>296306.0</v>
      </c>
      <c r="AS16" s="1">
        <v>297174.0</v>
      </c>
      <c r="AT16" s="1">
        <v>298045.0</v>
      </c>
      <c r="AU16" s="1">
        <v>298918.0</v>
      </c>
      <c r="AV16" s="1">
        <v>299794.0</v>
      </c>
      <c r="AW16" s="1">
        <v>300672.0</v>
      </c>
      <c r="AX16" s="1">
        <v>301553.0</v>
      </c>
      <c r="AY16" s="1">
        <v>302437.0</v>
      </c>
      <c r="AZ16" s="1">
        <v>303323.0</v>
      </c>
      <c r="BA16" s="1">
        <v>304212.0</v>
      </c>
      <c r="BB16" s="1">
        <v>305103.0</v>
      </c>
      <c r="BC16" s="1">
        <v>305997.0</v>
      </c>
      <c r="BD16" s="1">
        <v>306893.0</v>
      </c>
      <c r="BE16" s="1">
        <v>307793.0</v>
      </c>
      <c r="BF16" s="1">
        <v>308694.0</v>
      </c>
      <c r="BG16" s="1">
        <v>309599.0</v>
      </c>
      <c r="BH16" s="1">
        <v>310506.0</v>
      </c>
      <c r="BI16" s="1">
        <v>311416.0</v>
      </c>
      <c r="BJ16" s="1">
        <v>312328.0</v>
      </c>
      <c r="BK16" s="1">
        <v>313243.0</v>
      </c>
      <c r="BL16" s="1">
        <v>314161.0</v>
      </c>
      <c r="BM16" s="1">
        <v>315082.0</v>
      </c>
      <c r="BN16" s="1">
        <v>316005.0</v>
      </c>
      <c r="BO16" s="1">
        <v>316931.0</v>
      </c>
      <c r="BP16" s="1">
        <v>317859.0</v>
      </c>
      <c r="BQ16" s="1">
        <v>318791.0</v>
      </c>
      <c r="BR16" s="1">
        <v>319725.0</v>
      </c>
      <c r="BS16" s="1">
        <v>320662.0</v>
      </c>
      <c r="BT16" s="1">
        <v>321601.0</v>
      </c>
      <c r="BU16" s="1">
        <v>322543.0</v>
      </c>
      <c r="BV16" s="1">
        <v>1.7231543E7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263</v>
      </c>
    </row>
    <row r="2">
      <c r="A2" s="1" t="s">
        <v>204</v>
      </c>
    </row>
    <row r="3">
      <c r="A3" s="1" t="s">
        <v>201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500000.0</v>
      </c>
      <c r="R6" s="1">
        <v>501465.0</v>
      </c>
      <c r="S6" s="1">
        <v>502934.0</v>
      </c>
      <c r="T6" s="1">
        <v>504408.0</v>
      </c>
      <c r="U6" s="1">
        <v>505886.0</v>
      </c>
      <c r="V6" s="1">
        <v>507368.0</v>
      </c>
      <c r="W6" s="1">
        <v>508855.0</v>
      </c>
      <c r="X6" s="1">
        <v>510346.0</v>
      </c>
      <c r="Y6" s="1">
        <v>511841.0</v>
      </c>
      <c r="Z6" s="1">
        <v>513341.0</v>
      </c>
      <c r="AA6" s="1">
        <v>514845.0</v>
      </c>
      <c r="AB6" s="1">
        <v>516353.0</v>
      </c>
      <c r="AC6" s="1">
        <v>517866.0</v>
      </c>
      <c r="AD6" s="1">
        <v>519383.0</v>
      </c>
      <c r="AE6" s="1">
        <v>520905.0</v>
      </c>
      <c r="AF6" s="1">
        <v>522431.0</v>
      </c>
      <c r="AG6" s="1">
        <v>523962.0</v>
      </c>
      <c r="AH6" s="1">
        <v>525497.0</v>
      </c>
      <c r="AI6" s="1">
        <v>527037.0</v>
      </c>
      <c r="AJ6" s="1">
        <v>528581.0</v>
      </c>
      <c r="AK6" s="1">
        <v>530130.0</v>
      </c>
      <c r="AL6" s="1">
        <v>531683.0</v>
      </c>
      <c r="AM6" s="1">
        <v>533241.0</v>
      </c>
      <c r="AN6" s="1">
        <v>534804.0</v>
      </c>
      <c r="AO6" s="1">
        <v>536371.0</v>
      </c>
      <c r="AP6" s="1">
        <v>537942.0</v>
      </c>
      <c r="AQ6" s="1">
        <v>539518.0</v>
      </c>
      <c r="AR6" s="1">
        <v>541099.0</v>
      </c>
      <c r="AS6" s="1">
        <v>542685.0</v>
      </c>
      <c r="AT6" s="1">
        <v>544275.0</v>
      </c>
      <c r="AU6" s="1">
        <v>545869.0</v>
      </c>
      <c r="AV6" s="1">
        <v>547469.0</v>
      </c>
      <c r="AW6" s="1">
        <v>549073.0</v>
      </c>
      <c r="AX6" s="1">
        <v>550682.0</v>
      </c>
      <c r="AY6" s="1">
        <v>552295.0</v>
      </c>
      <c r="AZ6" s="1">
        <v>553913.0</v>
      </c>
      <c r="BA6" s="1">
        <v>555536.0</v>
      </c>
      <c r="BB6" s="1">
        <v>557164.0</v>
      </c>
      <c r="BC6" s="1">
        <v>558796.0</v>
      </c>
      <c r="BD6" s="1">
        <v>560434.0</v>
      </c>
      <c r="BE6" s="1">
        <v>562076.0</v>
      </c>
      <c r="BF6" s="1">
        <v>563723.0</v>
      </c>
      <c r="BG6" s="1">
        <v>565374.0</v>
      </c>
      <c r="BH6" s="1">
        <v>567031.0</v>
      </c>
      <c r="BI6" s="1">
        <v>568692.0</v>
      </c>
      <c r="BJ6" s="1">
        <v>570359.0</v>
      </c>
      <c r="BK6" s="1">
        <v>572030.0</v>
      </c>
      <c r="BL6" s="1">
        <v>573706.0</v>
      </c>
      <c r="BM6" s="1">
        <v>575387.0</v>
      </c>
      <c r="BN6" s="1">
        <v>577073.0</v>
      </c>
      <c r="BO6" s="1">
        <v>578763.0</v>
      </c>
      <c r="BP6" s="1">
        <v>580459.0</v>
      </c>
      <c r="BQ6" s="1">
        <v>582160.0</v>
      </c>
      <c r="BR6" s="1">
        <v>583866.0</v>
      </c>
      <c r="BS6" s="1">
        <v>585576.0</v>
      </c>
      <c r="BT6" s="1">
        <v>587292.0</v>
      </c>
      <c r="BU6" s="1">
        <v>589013.0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3500.0</v>
      </c>
      <c r="S7" s="1">
        <v>3510.0</v>
      </c>
      <c r="T7" s="1">
        <v>3521.0</v>
      </c>
      <c r="U7" s="1">
        <v>3531.0</v>
      </c>
      <c r="V7" s="1">
        <v>3541.0</v>
      </c>
      <c r="W7" s="1">
        <v>3552.0</v>
      </c>
      <c r="X7" s="1">
        <v>3562.0</v>
      </c>
      <c r="Y7" s="1">
        <v>3572.0</v>
      </c>
      <c r="Z7" s="1">
        <v>3583.0</v>
      </c>
      <c r="AA7" s="1">
        <v>3593.0</v>
      </c>
      <c r="AB7" s="1">
        <v>3604.0</v>
      </c>
      <c r="AC7" s="1">
        <v>3614.0</v>
      </c>
      <c r="AD7" s="1">
        <v>3625.0</v>
      </c>
      <c r="AE7" s="1">
        <v>3636.0</v>
      </c>
      <c r="AF7" s="1">
        <v>3646.0</v>
      </c>
      <c r="AG7" s="1">
        <v>3657.0</v>
      </c>
      <c r="AH7" s="1">
        <v>3668.0</v>
      </c>
      <c r="AI7" s="1">
        <v>3678.0</v>
      </c>
      <c r="AJ7" s="1">
        <v>3689.0</v>
      </c>
      <c r="AK7" s="1">
        <v>3700.0</v>
      </c>
      <c r="AL7" s="1">
        <v>3711.0</v>
      </c>
      <c r="AM7" s="1">
        <v>3722.0</v>
      </c>
      <c r="AN7" s="1">
        <v>3733.0</v>
      </c>
      <c r="AO7" s="1">
        <v>3744.0</v>
      </c>
      <c r="AP7" s="1">
        <v>3755.0</v>
      </c>
      <c r="AQ7" s="1">
        <v>3766.0</v>
      </c>
      <c r="AR7" s="1">
        <v>3777.0</v>
      </c>
      <c r="AS7" s="1">
        <v>3788.0</v>
      </c>
      <c r="AT7" s="1">
        <v>3799.0</v>
      </c>
      <c r="AU7" s="1">
        <v>3810.0</v>
      </c>
      <c r="AV7" s="1">
        <v>3821.0</v>
      </c>
      <c r="AW7" s="1">
        <v>3832.0</v>
      </c>
      <c r="AX7" s="1">
        <v>3844.0</v>
      </c>
      <c r="AY7" s="1">
        <v>3855.0</v>
      </c>
      <c r="AZ7" s="1">
        <v>3866.0</v>
      </c>
      <c r="BA7" s="1">
        <v>3877.0</v>
      </c>
      <c r="BB7" s="1">
        <v>3889.0</v>
      </c>
      <c r="BC7" s="1">
        <v>3900.0</v>
      </c>
      <c r="BD7" s="1">
        <v>3912.0</v>
      </c>
      <c r="BE7" s="1">
        <v>3923.0</v>
      </c>
      <c r="BF7" s="1">
        <v>3935.0</v>
      </c>
      <c r="BG7" s="1">
        <v>3946.0</v>
      </c>
      <c r="BH7" s="1">
        <v>3958.0</v>
      </c>
      <c r="BI7" s="1">
        <v>3969.0</v>
      </c>
      <c r="BJ7" s="1">
        <v>3981.0</v>
      </c>
      <c r="BK7" s="1">
        <v>3993.0</v>
      </c>
      <c r="BL7" s="1">
        <v>4004.0</v>
      </c>
      <c r="BM7" s="1">
        <v>4016.0</v>
      </c>
      <c r="BN7" s="1">
        <v>4028.0</v>
      </c>
      <c r="BO7" s="1">
        <v>4040.0</v>
      </c>
      <c r="BP7" s="1">
        <v>4051.0</v>
      </c>
      <c r="BQ7" s="1">
        <v>4063.0</v>
      </c>
      <c r="BR7" s="1">
        <v>4075.0</v>
      </c>
      <c r="BS7" s="1">
        <v>4087.0</v>
      </c>
      <c r="BT7" s="1">
        <v>4099.0</v>
      </c>
      <c r="BU7" s="1">
        <v>4111.0</v>
      </c>
      <c r="BV7" s="1">
        <v>212659.0</v>
      </c>
    </row>
    <row r="8">
      <c r="A8" s="1" t="s">
        <v>145</v>
      </c>
      <c r="B8" s="1">
        <v>1.2</v>
      </c>
      <c r="C8" s="1">
        <v>1.2</v>
      </c>
      <c r="D8" s="1">
        <v>1.2</v>
      </c>
      <c r="E8" s="1">
        <v>1.2</v>
      </c>
      <c r="F8" s="1">
        <v>1.2</v>
      </c>
      <c r="G8" s="1">
        <v>1.2</v>
      </c>
      <c r="H8" s="1">
        <v>1.2</v>
      </c>
      <c r="I8" s="1">
        <v>1.2</v>
      </c>
      <c r="J8" s="1">
        <v>1.2</v>
      </c>
      <c r="K8" s="1">
        <v>1.2</v>
      </c>
      <c r="L8" s="1">
        <v>1.2</v>
      </c>
      <c r="M8" s="1">
        <v>1.2</v>
      </c>
      <c r="N8" s="1">
        <v>1.2</v>
      </c>
      <c r="O8" s="1">
        <v>1.2</v>
      </c>
      <c r="P8" s="1">
        <v>1.2</v>
      </c>
      <c r="Q8" s="1">
        <v>1.2</v>
      </c>
      <c r="R8" s="1">
        <v>1.2</v>
      </c>
      <c r="S8" s="1">
        <v>1.2</v>
      </c>
      <c r="T8" s="1">
        <v>1.2</v>
      </c>
      <c r="U8" s="1">
        <v>1.2</v>
      </c>
      <c r="V8" s="1">
        <v>1.2</v>
      </c>
      <c r="W8" s="1">
        <v>1.2</v>
      </c>
      <c r="X8" s="1">
        <v>1.2</v>
      </c>
      <c r="Y8" s="1">
        <v>1.2</v>
      </c>
      <c r="Z8" s="1">
        <v>1.2</v>
      </c>
      <c r="AA8" s="1">
        <v>1.2</v>
      </c>
      <c r="AB8" s="1">
        <v>1.2</v>
      </c>
      <c r="AC8" s="1">
        <v>1.2</v>
      </c>
      <c r="AD8" s="1">
        <v>1.2</v>
      </c>
      <c r="AE8" s="1">
        <v>1.2</v>
      </c>
      <c r="AF8" s="1">
        <v>1.2</v>
      </c>
      <c r="AG8" s="1">
        <v>1.2</v>
      </c>
      <c r="AH8" s="1">
        <v>1.2</v>
      </c>
      <c r="AI8" s="1">
        <v>1.2</v>
      </c>
      <c r="AJ8" s="1">
        <v>1.2</v>
      </c>
      <c r="AK8" s="1">
        <v>1.2</v>
      </c>
      <c r="AL8" s="1">
        <v>1.2</v>
      </c>
      <c r="AM8" s="1">
        <v>1.2</v>
      </c>
      <c r="AN8" s="1">
        <v>1.2</v>
      </c>
      <c r="AO8" s="1">
        <v>1.2</v>
      </c>
      <c r="AP8" s="1">
        <v>1.2</v>
      </c>
      <c r="AQ8" s="1">
        <v>1.2</v>
      </c>
      <c r="AR8" s="1">
        <v>1.2</v>
      </c>
      <c r="AS8" s="1">
        <v>1.2</v>
      </c>
      <c r="AT8" s="1">
        <v>1.2</v>
      </c>
      <c r="AU8" s="1">
        <v>1.2</v>
      </c>
      <c r="AV8" s="1">
        <v>1.2</v>
      </c>
      <c r="AW8" s="1">
        <v>1.2</v>
      </c>
      <c r="AX8" s="1">
        <v>1.2</v>
      </c>
      <c r="AY8" s="1">
        <v>1.2</v>
      </c>
      <c r="AZ8" s="1">
        <v>1.2</v>
      </c>
      <c r="BA8" s="1">
        <v>1.2</v>
      </c>
      <c r="BB8" s="1">
        <v>1.2</v>
      </c>
      <c r="BC8" s="1">
        <v>1.2</v>
      </c>
      <c r="BD8" s="1">
        <v>1.2</v>
      </c>
      <c r="BE8" s="1">
        <v>1.2</v>
      </c>
      <c r="BF8" s="1">
        <v>1.2</v>
      </c>
      <c r="BG8" s="1">
        <v>1.2</v>
      </c>
      <c r="BH8" s="1">
        <v>1.2</v>
      </c>
      <c r="BI8" s="1">
        <v>1.2</v>
      </c>
      <c r="BJ8" s="1">
        <v>1.2</v>
      </c>
      <c r="BK8" s="1">
        <v>1.2</v>
      </c>
      <c r="BL8" s="1">
        <v>1.2</v>
      </c>
      <c r="BM8" s="1">
        <v>1.2</v>
      </c>
      <c r="BN8" s="1">
        <v>1.2</v>
      </c>
      <c r="BO8" s="1">
        <v>1.2</v>
      </c>
      <c r="BP8" s="1">
        <v>1.2</v>
      </c>
      <c r="BQ8" s="1">
        <v>1.2</v>
      </c>
      <c r="BR8" s="1">
        <v>1.2</v>
      </c>
      <c r="BS8" s="1">
        <v>1.2</v>
      </c>
      <c r="BT8" s="1">
        <v>1.2</v>
      </c>
      <c r="BU8" s="1">
        <v>1.2</v>
      </c>
    </row>
    <row r="9">
      <c r="A9" s="1" t="s">
        <v>146</v>
      </c>
      <c r="B9" s="1">
        <v>40.0</v>
      </c>
      <c r="C9" s="1">
        <v>40.0</v>
      </c>
      <c r="D9" s="1">
        <v>40.0</v>
      </c>
      <c r="E9" s="1">
        <v>40.0</v>
      </c>
      <c r="F9" s="1">
        <v>40.0</v>
      </c>
      <c r="G9" s="1">
        <v>40.0</v>
      </c>
      <c r="H9" s="1">
        <v>40.0</v>
      </c>
      <c r="I9" s="1">
        <v>40.0</v>
      </c>
      <c r="J9" s="1">
        <v>40.0</v>
      </c>
      <c r="K9" s="1">
        <v>40.0</v>
      </c>
      <c r="L9" s="1">
        <v>40.0</v>
      </c>
      <c r="M9" s="1">
        <v>40.0</v>
      </c>
      <c r="N9" s="1">
        <v>40.0</v>
      </c>
      <c r="O9" s="1">
        <v>40.0</v>
      </c>
      <c r="P9" s="1">
        <v>40.0</v>
      </c>
      <c r="Q9" s="1">
        <v>40.0</v>
      </c>
      <c r="R9" s="1">
        <v>40.0</v>
      </c>
      <c r="S9" s="1">
        <v>40.0</v>
      </c>
      <c r="T9" s="1">
        <v>40.0</v>
      </c>
      <c r="U9" s="1">
        <v>40.0</v>
      </c>
      <c r="V9" s="1">
        <v>40.0</v>
      </c>
      <c r="W9" s="1">
        <v>40.0</v>
      </c>
      <c r="X9" s="1">
        <v>40.0</v>
      </c>
      <c r="Y9" s="1">
        <v>40.0</v>
      </c>
      <c r="Z9" s="1">
        <v>40.0</v>
      </c>
      <c r="AA9" s="1">
        <v>40.0</v>
      </c>
      <c r="AB9" s="1">
        <v>40.0</v>
      </c>
      <c r="AC9" s="1">
        <v>40.0</v>
      </c>
      <c r="AD9" s="1">
        <v>40.0</v>
      </c>
      <c r="AE9" s="1">
        <v>40.0</v>
      </c>
      <c r="AF9" s="1">
        <v>40.0</v>
      </c>
      <c r="AG9" s="1">
        <v>40.0</v>
      </c>
      <c r="AH9" s="1">
        <v>40.0</v>
      </c>
      <c r="AI9" s="1">
        <v>40.0</v>
      </c>
      <c r="AJ9" s="1">
        <v>40.0</v>
      </c>
      <c r="AK9" s="1">
        <v>40.0</v>
      </c>
      <c r="AL9" s="1">
        <v>40.0</v>
      </c>
      <c r="AM9" s="1">
        <v>40.0</v>
      </c>
      <c r="AN9" s="1">
        <v>40.0</v>
      </c>
      <c r="AO9" s="1">
        <v>40.0</v>
      </c>
      <c r="AP9" s="1">
        <v>40.0</v>
      </c>
      <c r="AQ9" s="1">
        <v>40.0</v>
      </c>
      <c r="AR9" s="1">
        <v>40.0</v>
      </c>
      <c r="AS9" s="1">
        <v>40.0</v>
      </c>
      <c r="AT9" s="1">
        <v>40.0</v>
      </c>
      <c r="AU9" s="1">
        <v>40.0</v>
      </c>
      <c r="AV9" s="1">
        <v>40.0</v>
      </c>
      <c r="AW9" s="1">
        <v>40.0</v>
      </c>
      <c r="AX9" s="1">
        <v>40.0</v>
      </c>
      <c r="AY9" s="1">
        <v>40.0</v>
      </c>
      <c r="AZ9" s="1">
        <v>40.0</v>
      </c>
      <c r="BA9" s="1">
        <v>40.0</v>
      </c>
      <c r="BB9" s="1">
        <v>40.0</v>
      </c>
      <c r="BC9" s="1">
        <v>40.0</v>
      </c>
      <c r="BD9" s="1">
        <v>40.0</v>
      </c>
      <c r="BE9" s="1">
        <v>40.0</v>
      </c>
      <c r="BF9" s="1">
        <v>40.0</v>
      </c>
      <c r="BG9" s="1">
        <v>40.0</v>
      </c>
      <c r="BH9" s="1">
        <v>40.0</v>
      </c>
      <c r="BI9" s="1">
        <v>40.0</v>
      </c>
      <c r="BJ9" s="1">
        <v>40.0</v>
      </c>
      <c r="BK9" s="1">
        <v>40.0</v>
      </c>
      <c r="BL9" s="1">
        <v>40.0</v>
      </c>
      <c r="BM9" s="1">
        <v>40.0</v>
      </c>
      <c r="BN9" s="1">
        <v>40.0</v>
      </c>
      <c r="BO9" s="1">
        <v>40.0</v>
      </c>
      <c r="BP9" s="1">
        <v>40.0</v>
      </c>
      <c r="BQ9" s="1">
        <v>40.0</v>
      </c>
      <c r="BR9" s="1">
        <v>40.0</v>
      </c>
      <c r="BS9" s="1">
        <v>40.0</v>
      </c>
      <c r="BT9" s="1">
        <v>40.0</v>
      </c>
      <c r="BU9" s="1">
        <v>40.0</v>
      </c>
      <c r="BV9" s="1" t="s">
        <v>148</v>
      </c>
    </row>
    <row r="10">
      <c r="A10" s="1" t="s">
        <v>149</v>
      </c>
      <c r="B10" s="1">
        <v>30.0</v>
      </c>
      <c r="C10" s="1">
        <v>30.0</v>
      </c>
      <c r="D10" s="1">
        <v>30.0</v>
      </c>
      <c r="E10" s="1">
        <v>30.0</v>
      </c>
      <c r="F10" s="1">
        <v>30.0</v>
      </c>
      <c r="G10" s="1">
        <v>30.0</v>
      </c>
      <c r="H10" s="1">
        <v>30.0</v>
      </c>
      <c r="I10" s="1">
        <v>30.0</v>
      </c>
      <c r="J10" s="1">
        <v>30.0</v>
      </c>
      <c r="K10" s="1">
        <v>30.0</v>
      </c>
      <c r="L10" s="1">
        <v>30.0</v>
      </c>
      <c r="M10" s="1">
        <v>30.0</v>
      </c>
      <c r="N10" s="1">
        <v>30.0</v>
      </c>
      <c r="O10" s="1">
        <v>30.0</v>
      </c>
      <c r="P10" s="1">
        <v>30.0</v>
      </c>
      <c r="Q10" s="1">
        <v>30.0</v>
      </c>
      <c r="R10" s="1">
        <v>30.0</v>
      </c>
      <c r="S10" s="1">
        <v>30.0</v>
      </c>
      <c r="T10" s="1">
        <v>30.0</v>
      </c>
      <c r="U10" s="1">
        <v>30.0</v>
      </c>
      <c r="V10" s="1">
        <v>30.0</v>
      </c>
      <c r="W10" s="1">
        <v>30.0</v>
      </c>
      <c r="X10" s="1">
        <v>30.0</v>
      </c>
      <c r="Y10" s="1">
        <v>30.0</v>
      </c>
      <c r="Z10" s="1">
        <v>30.0</v>
      </c>
      <c r="AA10" s="1">
        <v>30.0</v>
      </c>
      <c r="AB10" s="1">
        <v>30.0</v>
      </c>
      <c r="AC10" s="1">
        <v>30.0</v>
      </c>
      <c r="AD10" s="1">
        <v>30.0</v>
      </c>
      <c r="AE10" s="1">
        <v>30.0</v>
      </c>
      <c r="AF10" s="1">
        <v>30.0</v>
      </c>
      <c r="AG10" s="1">
        <v>30.0</v>
      </c>
      <c r="AH10" s="1">
        <v>30.0</v>
      </c>
      <c r="AI10" s="1">
        <v>30.0</v>
      </c>
      <c r="AJ10" s="1">
        <v>30.0</v>
      </c>
      <c r="AK10" s="1">
        <v>30.0</v>
      </c>
      <c r="AL10" s="1">
        <v>30.0</v>
      </c>
      <c r="AM10" s="1">
        <v>30.0</v>
      </c>
      <c r="AN10" s="1">
        <v>30.0</v>
      </c>
      <c r="AO10" s="1">
        <v>30.0</v>
      </c>
      <c r="AP10" s="1">
        <v>30.0</v>
      </c>
      <c r="AQ10" s="1">
        <v>30.0</v>
      </c>
      <c r="AR10" s="1">
        <v>30.0</v>
      </c>
      <c r="AS10" s="1">
        <v>30.0</v>
      </c>
      <c r="AT10" s="1">
        <v>30.0</v>
      </c>
      <c r="AU10" s="1">
        <v>30.0</v>
      </c>
      <c r="AV10" s="1">
        <v>30.0</v>
      </c>
      <c r="AW10" s="1">
        <v>30.0</v>
      </c>
      <c r="AX10" s="1">
        <v>30.0</v>
      </c>
      <c r="AY10" s="1">
        <v>30.0</v>
      </c>
      <c r="AZ10" s="1">
        <v>30.0</v>
      </c>
      <c r="BA10" s="1">
        <v>30.0</v>
      </c>
      <c r="BB10" s="1">
        <v>30.0</v>
      </c>
      <c r="BC10" s="1">
        <v>30.0</v>
      </c>
      <c r="BD10" s="1">
        <v>30.0</v>
      </c>
      <c r="BE10" s="1">
        <v>30.0</v>
      </c>
      <c r="BF10" s="1">
        <v>30.0</v>
      </c>
      <c r="BG10" s="1">
        <v>30.0</v>
      </c>
      <c r="BH10" s="1">
        <v>30.0</v>
      </c>
      <c r="BI10" s="1">
        <v>30.0</v>
      </c>
      <c r="BJ10" s="1">
        <v>30.0</v>
      </c>
      <c r="BK10" s="1">
        <v>30.0</v>
      </c>
      <c r="BL10" s="1">
        <v>30.0</v>
      </c>
      <c r="BM10" s="1">
        <v>30.0</v>
      </c>
      <c r="BN10" s="1">
        <v>30.0</v>
      </c>
      <c r="BO10" s="1">
        <v>30.0</v>
      </c>
      <c r="BP10" s="1">
        <v>30.0</v>
      </c>
      <c r="BQ10" s="1">
        <v>30.0</v>
      </c>
      <c r="BR10" s="1">
        <v>30.0</v>
      </c>
      <c r="BS10" s="1">
        <v>30.0</v>
      </c>
      <c r="BT10" s="1">
        <v>30.0</v>
      </c>
      <c r="BU10" s="1">
        <v>30.0</v>
      </c>
      <c r="BV10" s="1" t="s">
        <v>150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6000.0</v>
      </c>
      <c r="R11" s="1">
        <v>6018.0</v>
      </c>
      <c r="S11" s="1">
        <v>6035.0</v>
      </c>
      <c r="T11" s="1">
        <v>6053.0</v>
      </c>
      <c r="U11" s="1">
        <v>6071.0</v>
      </c>
      <c r="V11" s="1">
        <v>6088.0</v>
      </c>
      <c r="W11" s="1">
        <v>6106.0</v>
      </c>
      <c r="X11" s="1">
        <v>6124.0</v>
      </c>
      <c r="Y11" s="1">
        <v>6142.0</v>
      </c>
      <c r="Z11" s="1">
        <v>6160.0</v>
      </c>
      <c r="AA11" s="1">
        <v>6178.0</v>
      </c>
      <c r="AB11" s="1">
        <v>6196.0</v>
      </c>
      <c r="AC11" s="1">
        <v>6214.0</v>
      </c>
      <c r="AD11" s="1">
        <v>6233.0</v>
      </c>
      <c r="AE11" s="1">
        <v>6251.0</v>
      </c>
      <c r="AF11" s="1">
        <v>6269.0</v>
      </c>
      <c r="AG11" s="1">
        <v>6288.0</v>
      </c>
      <c r="AH11" s="1">
        <v>6306.0</v>
      </c>
      <c r="AI11" s="1">
        <v>6324.0</v>
      </c>
      <c r="AJ11" s="1">
        <v>6343.0</v>
      </c>
      <c r="AK11" s="1">
        <v>6362.0</v>
      </c>
      <c r="AL11" s="1">
        <v>6380.0</v>
      </c>
      <c r="AM11" s="1">
        <v>6399.0</v>
      </c>
      <c r="AN11" s="1">
        <v>6418.0</v>
      </c>
      <c r="AO11" s="1">
        <v>6436.0</v>
      </c>
      <c r="AP11" s="1">
        <v>6455.0</v>
      </c>
      <c r="AQ11" s="1">
        <v>6474.0</v>
      </c>
      <c r="AR11" s="1">
        <v>6493.0</v>
      </c>
      <c r="AS11" s="1">
        <v>6512.0</v>
      </c>
      <c r="AT11" s="1">
        <v>6531.0</v>
      </c>
      <c r="AU11" s="1">
        <v>6550.0</v>
      </c>
      <c r="AV11" s="1">
        <v>6570.0</v>
      </c>
      <c r="AW11" s="1">
        <v>6589.0</v>
      </c>
      <c r="AX11" s="1">
        <v>6608.0</v>
      </c>
      <c r="AY11" s="1">
        <v>6628.0</v>
      </c>
      <c r="AZ11" s="1">
        <v>6647.0</v>
      </c>
      <c r="BA11" s="1">
        <v>6666.0</v>
      </c>
      <c r="BB11" s="1">
        <v>6686.0</v>
      </c>
      <c r="BC11" s="1">
        <v>6706.0</v>
      </c>
      <c r="BD11" s="1">
        <v>6725.0</v>
      </c>
      <c r="BE11" s="1">
        <v>6745.0</v>
      </c>
      <c r="BF11" s="1">
        <v>6765.0</v>
      </c>
      <c r="BG11" s="1">
        <v>6784.0</v>
      </c>
      <c r="BH11" s="1">
        <v>6804.0</v>
      </c>
      <c r="BI11" s="1">
        <v>6824.0</v>
      </c>
      <c r="BJ11" s="1">
        <v>6844.0</v>
      </c>
      <c r="BK11" s="1">
        <v>6864.0</v>
      </c>
      <c r="BL11" s="1">
        <v>6884.0</v>
      </c>
      <c r="BM11" s="1">
        <v>6905.0</v>
      </c>
      <c r="BN11" s="1">
        <v>6925.0</v>
      </c>
      <c r="BO11" s="1">
        <v>6945.0</v>
      </c>
      <c r="BP11" s="1">
        <v>6966.0</v>
      </c>
      <c r="BQ11" s="1">
        <v>6986.0</v>
      </c>
      <c r="BR11" s="1">
        <v>7006.0</v>
      </c>
      <c r="BS11" s="1">
        <v>7027.0</v>
      </c>
      <c r="BT11" s="1">
        <v>7048.0</v>
      </c>
      <c r="BU11" s="1">
        <v>7068.0</v>
      </c>
      <c r="BV11" s="1">
        <v>371626.0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240000.0</v>
      </c>
      <c r="R12" s="1">
        <v>240703.0</v>
      </c>
      <c r="S12" s="1">
        <v>241408.0</v>
      </c>
      <c r="T12" s="1">
        <v>242116.0</v>
      </c>
      <c r="U12" s="1">
        <v>242825.0</v>
      </c>
      <c r="V12" s="1">
        <v>243537.0</v>
      </c>
      <c r="W12" s="1">
        <v>244250.0</v>
      </c>
      <c r="X12" s="1">
        <v>244966.0</v>
      </c>
      <c r="Y12" s="1">
        <v>245684.0</v>
      </c>
      <c r="Z12" s="1">
        <v>246403.0</v>
      </c>
      <c r="AA12" s="1">
        <v>247125.0</v>
      </c>
      <c r="AB12" s="1">
        <v>247850.0</v>
      </c>
      <c r="AC12" s="1">
        <v>248576.0</v>
      </c>
      <c r="AD12" s="1">
        <v>249304.0</v>
      </c>
      <c r="AE12" s="1">
        <v>250035.0</v>
      </c>
      <c r="AF12" s="1">
        <v>250767.0</v>
      </c>
      <c r="AG12" s="1">
        <v>251502.0</v>
      </c>
      <c r="AH12" s="1">
        <v>252239.0</v>
      </c>
      <c r="AI12" s="1">
        <v>252978.0</v>
      </c>
      <c r="AJ12" s="1">
        <v>253719.0</v>
      </c>
      <c r="AK12" s="1">
        <v>254462.0</v>
      </c>
      <c r="AL12" s="1">
        <v>255208.0</v>
      </c>
      <c r="AM12" s="1">
        <v>255956.0</v>
      </c>
      <c r="AN12" s="1">
        <v>256706.0</v>
      </c>
      <c r="AO12" s="1">
        <v>257458.0</v>
      </c>
      <c r="AP12" s="1">
        <v>258212.0</v>
      </c>
      <c r="AQ12" s="1">
        <v>258969.0</v>
      </c>
      <c r="AR12" s="1">
        <v>259728.0</v>
      </c>
      <c r="AS12" s="1">
        <v>260489.0</v>
      </c>
      <c r="AT12" s="1">
        <v>261252.0</v>
      </c>
      <c r="AU12" s="1">
        <v>262017.0</v>
      </c>
      <c r="AV12" s="1">
        <v>262785.0</v>
      </c>
      <c r="AW12" s="1">
        <v>263555.0</v>
      </c>
      <c r="AX12" s="1">
        <v>264327.0</v>
      </c>
      <c r="AY12" s="1">
        <v>265102.0</v>
      </c>
      <c r="AZ12" s="1">
        <v>265878.0</v>
      </c>
      <c r="BA12" s="1">
        <v>266657.0</v>
      </c>
      <c r="BB12" s="1">
        <v>267439.0</v>
      </c>
      <c r="BC12" s="1">
        <v>268222.0</v>
      </c>
      <c r="BD12" s="1">
        <v>269008.0</v>
      </c>
      <c r="BE12" s="1">
        <v>269796.0</v>
      </c>
      <c r="BF12" s="1">
        <v>270587.0</v>
      </c>
      <c r="BG12" s="1">
        <v>271380.0</v>
      </c>
      <c r="BH12" s="1">
        <v>272175.0</v>
      </c>
      <c r="BI12" s="1">
        <v>272972.0</v>
      </c>
      <c r="BJ12" s="1">
        <v>273772.0</v>
      </c>
      <c r="BK12" s="1">
        <v>274574.0</v>
      </c>
      <c r="BL12" s="1">
        <v>275379.0</v>
      </c>
      <c r="BM12" s="1">
        <v>276186.0</v>
      </c>
      <c r="BN12" s="1">
        <v>276995.0</v>
      </c>
      <c r="BO12" s="1">
        <v>277806.0</v>
      </c>
      <c r="BP12" s="1">
        <v>278620.0</v>
      </c>
      <c r="BQ12" s="1">
        <v>279437.0</v>
      </c>
      <c r="BR12" s="1">
        <v>280256.0</v>
      </c>
      <c r="BS12" s="1">
        <v>281077.0</v>
      </c>
      <c r="BT12" s="1">
        <v>281900.0</v>
      </c>
      <c r="BU12" s="1">
        <v>282726.0</v>
      </c>
      <c r="BV12" s="1">
        <v>1.4865054E7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72000.0</v>
      </c>
      <c r="R13" s="1">
        <v>72211.0</v>
      </c>
      <c r="S13" s="1">
        <v>72423.0</v>
      </c>
      <c r="T13" s="1">
        <v>72635.0</v>
      </c>
      <c r="U13" s="1">
        <v>72848.0</v>
      </c>
      <c r="V13" s="1">
        <v>73061.0</v>
      </c>
      <c r="W13" s="1">
        <v>73275.0</v>
      </c>
      <c r="X13" s="1">
        <v>73490.0</v>
      </c>
      <c r="Y13" s="1">
        <v>73705.0</v>
      </c>
      <c r="Z13" s="1">
        <v>73921.0</v>
      </c>
      <c r="AA13" s="1">
        <v>74138.0</v>
      </c>
      <c r="AB13" s="1">
        <v>74355.0</v>
      </c>
      <c r="AC13" s="1">
        <v>74573.0</v>
      </c>
      <c r="AD13" s="1">
        <v>74791.0</v>
      </c>
      <c r="AE13" s="1">
        <v>75010.0</v>
      </c>
      <c r="AF13" s="1">
        <v>75230.0</v>
      </c>
      <c r="AG13" s="1">
        <v>75451.0</v>
      </c>
      <c r="AH13" s="1">
        <v>75672.0</v>
      </c>
      <c r="AI13" s="1">
        <v>75893.0</v>
      </c>
      <c r="AJ13" s="1">
        <v>76116.0</v>
      </c>
      <c r="AK13" s="1">
        <v>76339.0</v>
      </c>
      <c r="AL13" s="1">
        <v>76562.0</v>
      </c>
      <c r="AM13" s="1">
        <v>76787.0</v>
      </c>
      <c r="AN13" s="1">
        <v>77012.0</v>
      </c>
      <c r="AO13" s="1">
        <v>77237.0</v>
      </c>
      <c r="AP13" s="1">
        <v>77464.0</v>
      </c>
      <c r="AQ13" s="1">
        <v>77691.0</v>
      </c>
      <c r="AR13" s="1">
        <v>77918.0</v>
      </c>
      <c r="AS13" s="1">
        <v>78147.0</v>
      </c>
      <c r="AT13" s="1">
        <v>78376.0</v>
      </c>
      <c r="AU13" s="1">
        <v>78605.0</v>
      </c>
      <c r="AV13" s="1">
        <v>78835.0</v>
      </c>
      <c r="AW13" s="1">
        <v>79066.0</v>
      </c>
      <c r="AX13" s="1">
        <v>79298.0</v>
      </c>
      <c r="AY13" s="1">
        <v>79530.0</v>
      </c>
      <c r="AZ13" s="1">
        <v>79764.0</v>
      </c>
      <c r="BA13" s="1">
        <v>79997.0</v>
      </c>
      <c r="BB13" s="1">
        <v>80232.0</v>
      </c>
      <c r="BC13" s="1">
        <v>80467.0</v>
      </c>
      <c r="BD13" s="1">
        <v>80702.0</v>
      </c>
      <c r="BE13" s="1">
        <v>80939.0</v>
      </c>
      <c r="BF13" s="1">
        <v>81176.0</v>
      </c>
      <c r="BG13" s="1">
        <v>81414.0</v>
      </c>
      <c r="BH13" s="1">
        <v>81652.0</v>
      </c>
      <c r="BI13" s="1">
        <v>81892.0</v>
      </c>
      <c r="BJ13" s="1">
        <v>82132.0</v>
      </c>
      <c r="BK13" s="1">
        <v>82372.0</v>
      </c>
      <c r="BL13" s="1">
        <v>82614.0</v>
      </c>
      <c r="BM13" s="1">
        <v>82856.0</v>
      </c>
      <c r="BN13" s="1">
        <v>83098.0</v>
      </c>
      <c r="BO13" s="1">
        <v>83342.0</v>
      </c>
      <c r="BP13" s="1">
        <v>83586.0</v>
      </c>
      <c r="BQ13" s="1">
        <v>83831.0</v>
      </c>
      <c r="BR13" s="1">
        <v>84077.0</v>
      </c>
      <c r="BS13" s="1">
        <v>84323.0</v>
      </c>
      <c r="BT13" s="1">
        <v>84570.0</v>
      </c>
      <c r="BU13" s="1">
        <v>84818.0</v>
      </c>
      <c r="BV13" s="1">
        <v>4459516.0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72000.0</v>
      </c>
      <c r="R15" s="1">
        <v>72211.0</v>
      </c>
      <c r="S15" s="1">
        <v>72423.0</v>
      </c>
      <c r="T15" s="1">
        <v>72635.0</v>
      </c>
      <c r="U15" s="1">
        <v>72848.0</v>
      </c>
      <c r="V15" s="1">
        <v>73061.0</v>
      </c>
      <c r="W15" s="1">
        <v>73275.0</v>
      </c>
      <c r="X15" s="1">
        <v>73490.0</v>
      </c>
      <c r="Y15" s="1">
        <v>73705.0</v>
      </c>
      <c r="Z15" s="1">
        <v>73921.0</v>
      </c>
      <c r="AA15" s="1">
        <v>74138.0</v>
      </c>
      <c r="AB15" s="1">
        <v>74355.0</v>
      </c>
      <c r="AC15" s="1">
        <v>74573.0</v>
      </c>
      <c r="AD15" s="1">
        <v>74791.0</v>
      </c>
      <c r="AE15" s="1">
        <v>75010.0</v>
      </c>
      <c r="AF15" s="1">
        <v>75230.0</v>
      </c>
      <c r="AG15" s="1">
        <v>75451.0</v>
      </c>
      <c r="AH15" s="1">
        <v>75672.0</v>
      </c>
      <c r="AI15" s="1">
        <v>75893.0</v>
      </c>
      <c r="AJ15" s="1">
        <v>76116.0</v>
      </c>
      <c r="AK15" s="1">
        <v>76339.0</v>
      </c>
      <c r="AL15" s="1">
        <v>76562.0</v>
      </c>
      <c r="AM15" s="1">
        <v>76787.0</v>
      </c>
      <c r="AN15" s="1">
        <v>77012.0</v>
      </c>
      <c r="AO15" s="1">
        <v>77237.0</v>
      </c>
      <c r="AP15" s="1">
        <v>77464.0</v>
      </c>
      <c r="AQ15" s="1">
        <v>77691.0</v>
      </c>
      <c r="AR15" s="1">
        <v>77918.0</v>
      </c>
      <c r="AS15" s="1">
        <v>78147.0</v>
      </c>
      <c r="AT15" s="1">
        <v>78376.0</v>
      </c>
      <c r="AU15" s="1">
        <v>78605.0</v>
      </c>
      <c r="AV15" s="1">
        <v>78835.0</v>
      </c>
      <c r="AW15" s="1">
        <v>79066.0</v>
      </c>
      <c r="AX15" s="1">
        <v>79298.0</v>
      </c>
      <c r="AY15" s="1">
        <v>79530.0</v>
      </c>
      <c r="AZ15" s="1">
        <v>79764.0</v>
      </c>
      <c r="BA15" s="1">
        <v>79997.0</v>
      </c>
      <c r="BB15" s="1">
        <v>80232.0</v>
      </c>
      <c r="BC15" s="1">
        <v>80467.0</v>
      </c>
      <c r="BD15" s="1">
        <v>80702.0</v>
      </c>
      <c r="BE15" s="1">
        <v>80939.0</v>
      </c>
      <c r="BF15" s="1">
        <v>81176.0</v>
      </c>
      <c r="BG15" s="1">
        <v>81414.0</v>
      </c>
      <c r="BH15" s="1">
        <v>81652.0</v>
      </c>
      <c r="BI15" s="1">
        <v>81892.0</v>
      </c>
      <c r="BJ15" s="1">
        <v>82132.0</v>
      </c>
      <c r="BK15" s="1">
        <v>82372.0</v>
      </c>
      <c r="BL15" s="1">
        <v>82614.0</v>
      </c>
      <c r="BM15" s="1">
        <v>82856.0</v>
      </c>
      <c r="BN15" s="1">
        <v>83098.0</v>
      </c>
      <c r="BO15" s="1">
        <v>83342.0</v>
      </c>
      <c r="BP15" s="1">
        <v>83586.0</v>
      </c>
      <c r="BQ15" s="1">
        <v>83831.0</v>
      </c>
      <c r="BR15" s="1">
        <v>84077.0</v>
      </c>
      <c r="BS15" s="1">
        <v>84323.0</v>
      </c>
      <c r="BT15" s="1">
        <v>84570.0</v>
      </c>
      <c r="BU15" s="1">
        <v>84818.0</v>
      </c>
      <c r="BV15" s="1">
        <v>4459516.0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168000.0</v>
      </c>
      <c r="R16" s="1">
        <v>168492.0</v>
      </c>
      <c r="S16" s="1">
        <v>168986.0</v>
      </c>
      <c r="T16" s="1">
        <v>169481.0</v>
      </c>
      <c r="U16" s="1">
        <v>169978.0</v>
      </c>
      <c r="V16" s="1">
        <v>170476.0</v>
      </c>
      <c r="W16" s="1">
        <v>170975.0</v>
      </c>
      <c r="X16" s="1">
        <v>171476.0</v>
      </c>
      <c r="Y16" s="1">
        <v>171979.0</v>
      </c>
      <c r="Z16" s="1">
        <v>172482.0</v>
      </c>
      <c r="AA16" s="1">
        <v>172988.0</v>
      </c>
      <c r="AB16" s="1">
        <v>173495.0</v>
      </c>
      <c r="AC16" s="1">
        <v>174003.0</v>
      </c>
      <c r="AD16" s="1">
        <v>174513.0</v>
      </c>
      <c r="AE16" s="1">
        <v>175024.0</v>
      </c>
      <c r="AF16" s="1">
        <v>175537.0</v>
      </c>
      <c r="AG16" s="1">
        <v>176051.0</v>
      </c>
      <c r="AH16" s="1">
        <v>176567.0</v>
      </c>
      <c r="AI16" s="1">
        <v>177084.0</v>
      </c>
      <c r="AJ16" s="1">
        <v>177603.0</v>
      </c>
      <c r="AK16" s="1">
        <v>178124.0</v>
      </c>
      <c r="AL16" s="1">
        <v>178646.0</v>
      </c>
      <c r="AM16" s="1">
        <v>179169.0</v>
      </c>
      <c r="AN16" s="1">
        <v>179694.0</v>
      </c>
      <c r="AO16" s="1">
        <v>180221.0</v>
      </c>
      <c r="AP16" s="1">
        <v>180749.0</v>
      </c>
      <c r="AQ16" s="1">
        <v>181278.0</v>
      </c>
      <c r="AR16" s="1">
        <v>181809.0</v>
      </c>
      <c r="AS16" s="1">
        <v>182342.0</v>
      </c>
      <c r="AT16" s="1">
        <v>182876.0</v>
      </c>
      <c r="AU16" s="1">
        <v>183412.0</v>
      </c>
      <c r="AV16" s="1">
        <v>183949.0</v>
      </c>
      <c r="AW16" s="1">
        <v>184488.0</v>
      </c>
      <c r="AX16" s="1">
        <v>185029.0</v>
      </c>
      <c r="AY16" s="1">
        <v>185571.0</v>
      </c>
      <c r="AZ16" s="1">
        <v>186115.0</v>
      </c>
      <c r="BA16" s="1">
        <v>186660.0</v>
      </c>
      <c r="BB16" s="1">
        <v>187207.0</v>
      </c>
      <c r="BC16" s="1">
        <v>187756.0</v>
      </c>
      <c r="BD16" s="1">
        <v>188306.0</v>
      </c>
      <c r="BE16" s="1">
        <v>188857.0</v>
      </c>
      <c r="BF16" s="1">
        <v>189411.0</v>
      </c>
      <c r="BG16" s="1">
        <v>189966.0</v>
      </c>
      <c r="BH16" s="1">
        <v>190522.0</v>
      </c>
      <c r="BI16" s="1">
        <v>191081.0</v>
      </c>
      <c r="BJ16" s="1">
        <v>191640.0</v>
      </c>
      <c r="BK16" s="1">
        <v>192202.0</v>
      </c>
      <c r="BL16" s="1">
        <v>192765.0</v>
      </c>
      <c r="BM16" s="1">
        <v>193330.0</v>
      </c>
      <c r="BN16" s="1">
        <v>193896.0</v>
      </c>
      <c r="BO16" s="1">
        <v>194465.0</v>
      </c>
      <c r="BP16" s="1">
        <v>195034.0</v>
      </c>
      <c r="BQ16" s="1">
        <v>195606.0</v>
      </c>
      <c r="BR16" s="1">
        <v>196179.0</v>
      </c>
      <c r="BS16" s="1">
        <v>196754.0</v>
      </c>
      <c r="BT16" s="1">
        <v>197330.0</v>
      </c>
      <c r="BU16" s="1">
        <v>197908.0</v>
      </c>
      <c r="BV16" s="1">
        <v>1.0405538E7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264</v>
      </c>
    </row>
    <row r="2">
      <c r="A2" s="1" t="s">
        <v>238</v>
      </c>
    </row>
    <row r="3">
      <c r="A3" s="1" t="s">
        <v>220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2000000.0</v>
      </c>
      <c r="AA6" s="1">
        <v>2001916.0</v>
      </c>
      <c r="AB6" s="1">
        <v>2003834.0</v>
      </c>
      <c r="AC6" s="1">
        <v>2005754.0</v>
      </c>
      <c r="AD6" s="1">
        <v>2007675.0</v>
      </c>
      <c r="AE6" s="1">
        <v>2009598.0</v>
      </c>
      <c r="AF6" s="1">
        <v>2011524.0</v>
      </c>
      <c r="AG6" s="1">
        <v>2013451.0</v>
      </c>
      <c r="AH6" s="1">
        <v>2015379.0</v>
      </c>
      <c r="AI6" s="1">
        <v>2017310.0</v>
      </c>
      <c r="AJ6" s="1">
        <v>2019243.0</v>
      </c>
      <c r="AK6" s="1">
        <v>2021177.0</v>
      </c>
      <c r="AL6" s="1">
        <v>2023114.0</v>
      </c>
      <c r="AM6" s="1">
        <v>2025052.0</v>
      </c>
      <c r="AN6" s="1">
        <v>2026992.0</v>
      </c>
      <c r="AO6" s="1">
        <v>2028934.0</v>
      </c>
      <c r="AP6" s="1">
        <v>2030877.0</v>
      </c>
      <c r="AQ6" s="1">
        <v>2032823.0</v>
      </c>
      <c r="AR6" s="1">
        <v>2034770.0</v>
      </c>
      <c r="AS6" s="1">
        <v>2036720.0</v>
      </c>
      <c r="AT6" s="1">
        <v>2038671.0</v>
      </c>
      <c r="AU6" s="1">
        <v>2040624.0</v>
      </c>
      <c r="AV6" s="1">
        <v>2042579.0</v>
      </c>
      <c r="AW6" s="1">
        <v>2044536.0</v>
      </c>
      <c r="AX6" s="1">
        <v>2046494.0</v>
      </c>
      <c r="AY6" s="1">
        <v>2048455.0</v>
      </c>
      <c r="AZ6" s="1">
        <v>2050417.0</v>
      </c>
      <c r="BA6" s="1">
        <v>2052381.0</v>
      </c>
      <c r="BB6" s="1">
        <v>2054348.0</v>
      </c>
      <c r="BC6" s="1">
        <v>2056316.0</v>
      </c>
      <c r="BD6" s="1">
        <v>2058286.0</v>
      </c>
      <c r="BE6" s="1">
        <v>2060257.0</v>
      </c>
      <c r="BF6" s="1">
        <v>2062231.0</v>
      </c>
      <c r="BG6" s="1">
        <v>2064207.0</v>
      </c>
      <c r="BH6" s="1">
        <v>2066184.0</v>
      </c>
      <c r="BI6" s="1">
        <v>2068164.0</v>
      </c>
      <c r="BJ6" s="1">
        <v>2070145.0</v>
      </c>
      <c r="BK6" s="1">
        <v>2072128.0</v>
      </c>
      <c r="BL6" s="1">
        <v>2074113.0</v>
      </c>
      <c r="BM6" s="1">
        <v>2076100.0</v>
      </c>
      <c r="BN6" s="1">
        <v>2078089.0</v>
      </c>
      <c r="BO6" s="1">
        <v>2080080.0</v>
      </c>
      <c r="BP6" s="1">
        <v>2082073.0</v>
      </c>
      <c r="BQ6" s="1">
        <v>2084067.0</v>
      </c>
      <c r="BR6" s="1">
        <v>2086064.0</v>
      </c>
      <c r="BS6" s="1">
        <v>2088062.0</v>
      </c>
      <c r="BT6" s="1">
        <v>2090063.0</v>
      </c>
      <c r="BU6" s="1">
        <v>2092065.0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12000.0</v>
      </c>
      <c r="AB7" s="1">
        <v>12011.0</v>
      </c>
      <c r="AC7" s="1">
        <v>12023.0</v>
      </c>
      <c r="AD7" s="1">
        <v>12035.0</v>
      </c>
      <c r="AE7" s="1">
        <v>12046.0</v>
      </c>
      <c r="AF7" s="1">
        <v>12058.0</v>
      </c>
      <c r="AG7" s="1">
        <v>12069.0</v>
      </c>
      <c r="AH7" s="1">
        <v>12081.0</v>
      </c>
      <c r="AI7" s="1">
        <v>12092.0</v>
      </c>
      <c r="AJ7" s="1">
        <v>12104.0</v>
      </c>
      <c r="AK7" s="1">
        <v>12115.0</v>
      </c>
      <c r="AL7" s="1">
        <v>12127.0</v>
      </c>
      <c r="AM7" s="1">
        <v>12139.0</v>
      </c>
      <c r="AN7" s="1">
        <v>12150.0</v>
      </c>
      <c r="AO7" s="1">
        <v>12162.0</v>
      </c>
      <c r="AP7" s="1">
        <v>12174.0</v>
      </c>
      <c r="AQ7" s="1">
        <v>12185.0</v>
      </c>
      <c r="AR7" s="1">
        <v>12197.0</v>
      </c>
      <c r="AS7" s="1">
        <v>12209.0</v>
      </c>
      <c r="AT7" s="1">
        <v>12220.0</v>
      </c>
      <c r="AU7" s="1">
        <v>12232.0</v>
      </c>
      <c r="AV7" s="1">
        <v>12244.0</v>
      </c>
      <c r="AW7" s="1">
        <v>12255.0</v>
      </c>
      <c r="AX7" s="1">
        <v>12267.0</v>
      </c>
      <c r="AY7" s="1">
        <v>12279.0</v>
      </c>
      <c r="AZ7" s="1">
        <v>12291.0</v>
      </c>
      <c r="BA7" s="1">
        <v>12303.0</v>
      </c>
      <c r="BB7" s="1">
        <v>12314.0</v>
      </c>
      <c r="BC7" s="1">
        <v>12326.0</v>
      </c>
      <c r="BD7" s="1">
        <v>12338.0</v>
      </c>
      <c r="BE7" s="1">
        <v>12350.0</v>
      </c>
      <c r="BF7" s="1">
        <v>12362.0</v>
      </c>
      <c r="BG7" s="1">
        <v>12373.0</v>
      </c>
      <c r="BH7" s="1">
        <v>12385.0</v>
      </c>
      <c r="BI7" s="1">
        <v>12397.0</v>
      </c>
      <c r="BJ7" s="1">
        <v>12409.0</v>
      </c>
      <c r="BK7" s="1">
        <v>12421.0</v>
      </c>
      <c r="BL7" s="1">
        <v>12433.0</v>
      </c>
      <c r="BM7" s="1">
        <v>12445.0</v>
      </c>
      <c r="BN7" s="1">
        <v>12457.0</v>
      </c>
      <c r="BO7" s="1">
        <v>12469.0</v>
      </c>
      <c r="BP7" s="1">
        <v>12480.0</v>
      </c>
      <c r="BQ7" s="1">
        <v>12492.0</v>
      </c>
      <c r="BR7" s="1">
        <v>12504.0</v>
      </c>
      <c r="BS7" s="1">
        <v>12516.0</v>
      </c>
      <c r="BT7" s="1">
        <v>12528.0</v>
      </c>
      <c r="BU7" s="1">
        <v>12540.0</v>
      </c>
      <c r="BV7" s="1">
        <v>576608.0</v>
      </c>
    </row>
    <row r="8">
      <c r="A8" s="1" t="s">
        <v>145</v>
      </c>
      <c r="B8" s="1">
        <v>0.8</v>
      </c>
      <c r="C8" s="1">
        <v>0.8</v>
      </c>
      <c r="D8" s="1">
        <v>0.8</v>
      </c>
      <c r="E8" s="1">
        <v>0.8</v>
      </c>
      <c r="F8" s="1">
        <v>0.8</v>
      </c>
      <c r="G8" s="1">
        <v>0.8</v>
      </c>
      <c r="H8" s="1">
        <v>0.8</v>
      </c>
      <c r="I8" s="1">
        <v>0.8</v>
      </c>
      <c r="J8" s="1">
        <v>0.8</v>
      </c>
      <c r="K8" s="1">
        <v>0.8</v>
      </c>
      <c r="L8" s="1">
        <v>0.8</v>
      </c>
      <c r="M8" s="1">
        <v>0.8</v>
      </c>
      <c r="N8" s="1">
        <v>0.8</v>
      </c>
      <c r="O8" s="1">
        <v>0.8</v>
      </c>
      <c r="P8" s="1">
        <v>0.8</v>
      </c>
      <c r="Q8" s="1">
        <v>0.8</v>
      </c>
      <c r="R8" s="1">
        <v>0.8</v>
      </c>
      <c r="S8" s="1">
        <v>0.8</v>
      </c>
      <c r="T8" s="1">
        <v>0.8</v>
      </c>
      <c r="U8" s="1">
        <v>0.8</v>
      </c>
      <c r="V8" s="1">
        <v>0.8</v>
      </c>
      <c r="W8" s="1">
        <v>0.8</v>
      </c>
      <c r="X8" s="1">
        <v>0.8</v>
      </c>
      <c r="Y8" s="1">
        <v>0.8</v>
      </c>
      <c r="Z8" s="1">
        <v>0.8</v>
      </c>
      <c r="AA8" s="1">
        <v>0.8</v>
      </c>
      <c r="AB8" s="1">
        <v>0.8</v>
      </c>
      <c r="AC8" s="1">
        <v>0.8</v>
      </c>
      <c r="AD8" s="1">
        <v>0.8</v>
      </c>
      <c r="AE8" s="1">
        <v>0.8</v>
      </c>
      <c r="AF8" s="1">
        <v>0.8</v>
      </c>
      <c r="AG8" s="1">
        <v>0.8</v>
      </c>
      <c r="AH8" s="1">
        <v>0.8</v>
      </c>
      <c r="AI8" s="1">
        <v>0.8</v>
      </c>
      <c r="AJ8" s="1">
        <v>0.8</v>
      </c>
      <c r="AK8" s="1">
        <v>0.8</v>
      </c>
      <c r="AL8" s="1">
        <v>0.8</v>
      </c>
      <c r="AM8" s="1">
        <v>0.8</v>
      </c>
      <c r="AN8" s="1">
        <v>0.8</v>
      </c>
      <c r="AO8" s="1">
        <v>0.8</v>
      </c>
      <c r="AP8" s="1">
        <v>0.8</v>
      </c>
      <c r="AQ8" s="1">
        <v>0.8</v>
      </c>
      <c r="AR8" s="1">
        <v>0.8</v>
      </c>
      <c r="AS8" s="1">
        <v>0.8</v>
      </c>
      <c r="AT8" s="1">
        <v>0.8</v>
      </c>
      <c r="AU8" s="1">
        <v>0.8</v>
      </c>
      <c r="AV8" s="1">
        <v>0.8</v>
      </c>
      <c r="AW8" s="1">
        <v>0.8</v>
      </c>
      <c r="AX8" s="1">
        <v>0.8</v>
      </c>
      <c r="AY8" s="1">
        <v>0.8</v>
      </c>
      <c r="AZ8" s="1">
        <v>0.8</v>
      </c>
      <c r="BA8" s="1">
        <v>0.8</v>
      </c>
      <c r="BB8" s="1">
        <v>0.8</v>
      </c>
      <c r="BC8" s="1">
        <v>0.8</v>
      </c>
      <c r="BD8" s="1">
        <v>0.8</v>
      </c>
      <c r="BE8" s="1">
        <v>0.8</v>
      </c>
      <c r="BF8" s="1">
        <v>0.8</v>
      </c>
      <c r="BG8" s="1">
        <v>0.8</v>
      </c>
      <c r="BH8" s="1">
        <v>0.8</v>
      </c>
      <c r="BI8" s="1">
        <v>0.8</v>
      </c>
      <c r="BJ8" s="1">
        <v>0.8</v>
      </c>
      <c r="BK8" s="1">
        <v>0.8</v>
      </c>
      <c r="BL8" s="1">
        <v>0.8</v>
      </c>
      <c r="BM8" s="1">
        <v>0.8</v>
      </c>
      <c r="BN8" s="1">
        <v>0.8</v>
      </c>
      <c r="BO8" s="1">
        <v>0.8</v>
      </c>
      <c r="BP8" s="1">
        <v>0.8</v>
      </c>
      <c r="BQ8" s="1">
        <v>0.8</v>
      </c>
      <c r="BR8" s="1">
        <v>0.8</v>
      </c>
      <c r="BS8" s="1">
        <v>0.8</v>
      </c>
      <c r="BT8" s="1">
        <v>0.8</v>
      </c>
      <c r="BU8" s="1">
        <v>0.8</v>
      </c>
    </row>
    <row r="9">
      <c r="A9" s="1" t="s">
        <v>146</v>
      </c>
      <c r="B9" s="1">
        <v>100.0</v>
      </c>
      <c r="C9" s="1">
        <v>100.0</v>
      </c>
      <c r="D9" s="1">
        <v>100.0</v>
      </c>
      <c r="E9" s="1">
        <v>100.0</v>
      </c>
      <c r="F9" s="1">
        <v>100.0</v>
      </c>
      <c r="G9" s="1">
        <v>100.0</v>
      </c>
      <c r="H9" s="1">
        <v>100.0</v>
      </c>
      <c r="I9" s="1">
        <v>100.0</v>
      </c>
      <c r="J9" s="1">
        <v>100.0</v>
      </c>
      <c r="K9" s="1">
        <v>100.0</v>
      </c>
      <c r="L9" s="1">
        <v>100.0</v>
      </c>
      <c r="M9" s="1">
        <v>100.0</v>
      </c>
      <c r="N9" s="1">
        <v>100.0</v>
      </c>
      <c r="O9" s="1">
        <v>100.0</v>
      </c>
      <c r="P9" s="1">
        <v>100.0</v>
      </c>
      <c r="Q9" s="1">
        <v>100.0</v>
      </c>
      <c r="R9" s="1">
        <v>100.0</v>
      </c>
      <c r="S9" s="1">
        <v>100.0</v>
      </c>
      <c r="T9" s="1">
        <v>100.0</v>
      </c>
      <c r="U9" s="1">
        <v>100.0</v>
      </c>
      <c r="V9" s="1">
        <v>100.0</v>
      </c>
      <c r="W9" s="1">
        <v>100.0</v>
      </c>
      <c r="X9" s="1">
        <v>100.0</v>
      </c>
      <c r="Y9" s="1">
        <v>100.0</v>
      </c>
      <c r="Z9" s="1">
        <v>100.0</v>
      </c>
      <c r="AA9" s="1">
        <v>100.0</v>
      </c>
      <c r="AB9" s="1">
        <v>100.0</v>
      </c>
      <c r="AC9" s="1">
        <v>100.0</v>
      </c>
      <c r="AD9" s="1">
        <v>100.0</v>
      </c>
      <c r="AE9" s="1">
        <v>100.0</v>
      </c>
      <c r="AF9" s="1">
        <v>100.0</v>
      </c>
      <c r="AG9" s="1">
        <v>100.0</v>
      </c>
      <c r="AH9" s="1">
        <v>100.0</v>
      </c>
      <c r="AI9" s="1">
        <v>100.0</v>
      </c>
      <c r="AJ9" s="1">
        <v>100.0</v>
      </c>
      <c r="AK9" s="1">
        <v>100.0</v>
      </c>
      <c r="AL9" s="1">
        <v>100.0</v>
      </c>
      <c r="AM9" s="1">
        <v>100.0</v>
      </c>
      <c r="AN9" s="1">
        <v>100.0</v>
      </c>
      <c r="AO9" s="1">
        <v>100.0</v>
      </c>
      <c r="AP9" s="1">
        <v>100.0</v>
      </c>
      <c r="AQ9" s="1">
        <v>100.0</v>
      </c>
      <c r="AR9" s="1">
        <v>100.0</v>
      </c>
      <c r="AS9" s="1">
        <v>100.0</v>
      </c>
      <c r="AT9" s="1">
        <v>100.0</v>
      </c>
      <c r="AU9" s="1">
        <v>100.0</v>
      </c>
      <c r="AV9" s="1">
        <v>100.0</v>
      </c>
      <c r="AW9" s="1">
        <v>100.0</v>
      </c>
      <c r="AX9" s="1">
        <v>100.0</v>
      </c>
      <c r="AY9" s="1">
        <v>100.0</v>
      </c>
      <c r="AZ9" s="1">
        <v>100.0</v>
      </c>
      <c r="BA9" s="1">
        <v>100.0</v>
      </c>
      <c r="BB9" s="1">
        <v>100.0</v>
      </c>
      <c r="BC9" s="1">
        <v>100.0</v>
      </c>
      <c r="BD9" s="1">
        <v>100.0</v>
      </c>
      <c r="BE9" s="1">
        <v>100.0</v>
      </c>
      <c r="BF9" s="1">
        <v>100.0</v>
      </c>
      <c r="BG9" s="1">
        <v>100.0</v>
      </c>
      <c r="BH9" s="1">
        <v>100.0</v>
      </c>
      <c r="BI9" s="1">
        <v>100.0</v>
      </c>
      <c r="BJ9" s="1">
        <v>100.0</v>
      </c>
      <c r="BK9" s="1">
        <v>100.0</v>
      </c>
      <c r="BL9" s="1">
        <v>100.0</v>
      </c>
      <c r="BM9" s="1">
        <v>100.0</v>
      </c>
      <c r="BN9" s="1">
        <v>100.0</v>
      </c>
      <c r="BO9" s="1">
        <v>100.0</v>
      </c>
      <c r="BP9" s="1">
        <v>100.0</v>
      </c>
      <c r="BQ9" s="1">
        <v>100.0</v>
      </c>
      <c r="BR9" s="1">
        <v>100.0</v>
      </c>
      <c r="BS9" s="1">
        <v>100.0</v>
      </c>
      <c r="BT9" s="1">
        <v>100.0</v>
      </c>
      <c r="BU9" s="1">
        <v>100.0</v>
      </c>
      <c r="BV9" s="1" t="s">
        <v>239</v>
      </c>
    </row>
    <row r="10">
      <c r="A10" s="1" t="s">
        <v>149</v>
      </c>
      <c r="B10" s="1">
        <v>20.0</v>
      </c>
      <c r="C10" s="1">
        <v>20.0</v>
      </c>
      <c r="D10" s="1">
        <v>20.0</v>
      </c>
      <c r="E10" s="1">
        <v>20.0</v>
      </c>
      <c r="F10" s="1">
        <v>20.0</v>
      </c>
      <c r="G10" s="1">
        <v>20.0</v>
      </c>
      <c r="H10" s="1">
        <v>20.0</v>
      </c>
      <c r="I10" s="1">
        <v>20.0</v>
      </c>
      <c r="J10" s="1">
        <v>20.0</v>
      </c>
      <c r="K10" s="1">
        <v>20.0</v>
      </c>
      <c r="L10" s="1">
        <v>20.0</v>
      </c>
      <c r="M10" s="1">
        <v>20.0</v>
      </c>
      <c r="N10" s="1">
        <v>20.0</v>
      </c>
      <c r="O10" s="1">
        <v>20.0</v>
      </c>
      <c r="P10" s="1">
        <v>20.0</v>
      </c>
      <c r="Q10" s="1">
        <v>20.0</v>
      </c>
      <c r="R10" s="1">
        <v>20.0</v>
      </c>
      <c r="S10" s="1">
        <v>20.0</v>
      </c>
      <c r="T10" s="1">
        <v>20.0</v>
      </c>
      <c r="U10" s="1">
        <v>20.0</v>
      </c>
      <c r="V10" s="1">
        <v>20.0</v>
      </c>
      <c r="W10" s="1">
        <v>20.0</v>
      </c>
      <c r="X10" s="1">
        <v>20.0</v>
      </c>
      <c r="Y10" s="1">
        <v>20.0</v>
      </c>
      <c r="Z10" s="1">
        <v>20.0</v>
      </c>
      <c r="AA10" s="1">
        <v>20.0</v>
      </c>
      <c r="AB10" s="1">
        <v>20.0</v>
      </c>
      <c r="AC10" s="1">
        <v>20.0</v>
      </c>
      <c r="AD10" s="1">
        <v>20.0</v>
      </c>
      <c r="AE10" s="1">
        <v>20.0</v>
      </c>
      <c r="AF10" s="1">
        <v>20.0</v>
      </c>
      <c r="AG10" s="1">
        <v>20.0</v>
      </c>
      <c r="AH10" s="1">
        <v>20.0</v>
      </c>
      <c r="AI10" s="1">
        <v>20.0</v>
      </c>
      <c r="AJ10" s="1">
        <v>20.0</v>
      </c>
      <c r="AK10" s="1">
        <v>20.0</v>
      </c>
      <c r="AL10" s="1">
        <v>20.0</v>
      </c>
      <c r="AM10" s="1">
        <v>20.0</v>
      </c>
      <c r="AN10" s="1">
        <v>20.0</v>
      </c>
      <c r="AO10" s="1">
        <v>20.0</v>
      </c>
      <c r="AP10" s="1">
        <v>20.0</v>
      </c>
      <c r="AQ10" s="1">
        <v>20.0</v>
      </c>
      <c r="AR10" s="1">
        <v>20.0</v>
      </c>
      <c r="AS10" s="1">
        <v>20.0</v>
      </c>
      <c r="AT10" s="1">
        <v>20.0</v>
      </c>
      <c r="AU10" s="1">
        <v>20.0</v>
      </c>
      <c r="AV10" s="1">
        <v>20.0</v>
      </c>
      <c r="AW10" s="1">
        <v>20.0</v>
      </c>
      <c r="AX10" s="1">
        <v>20.0</v>
      </c>
      <c r="AY10" s="1">
        <v>20.0</v>
      </c>
      <c r="AZ10" s="1">
        <v>20.0</v>
      </c>
      <c r="BA10" s="1">
        <v>20.0</v>
      </c>
      <c r="BB10" s="1">
        <v>20.0</v>
      </c>
      <c r="BC10" s="1">
        <v>20.0</v>
      </c>
      <c r="BD10" s="1">
        <v>20.0</v>
      </c>
      <c r="BE10" s="1">
        <v>20.0</v>
      </c>
      <c r="BF10" s="1">
        <v>20.0</v>
      </c>
      <c r="BG10" s="1">
        <v>20.0</v>
      </c>
      <c r="BH10" s="1">
        <v>20.0</v>
      </c>
      <c r="BI10" s="1">
        <v>20.0</v>
      </c>
      <c r="BJ10" s="1">
        <v>20.0</v>
      </c>
      <c r="BK10" s="1">
        <v>20.0</v>
      </c>
      <c r="BL10" s="1">
        <v>20.0</v>
      </c>
      <c r="BM10" s="1">
        <v>20.0</v>
      </c>
      <c r="BN10" s="1">
        <v>20.0</v>
      </c>
      <c r="BO10" s="1">
        <v>20.0</v>
      </c>
      <c r="BP10" s="1">
        <v>20.0</v>
      </c>
      <c r="BQ10" s="1">
        <v>20.0</v>
      </c>
      <c r="BR10" s="1">
        <v>20.0</v>
      </c>
      <c r="BS10" s="1">
        <v>20.0</v>
      </c>
      <c r="BT10" s="1">
        <v>20.0</v>
      </c>
      <c r="BU10" s="1">
        <v>20.0</v>
      </c>
      <c r="BV10" s="1" t="s">
        <v>178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16000.0</v>
      </c>
      <c r="AA11" s="1">
        <v>16015.0</v>
      </c>
      <c r="AB11" s="1">
        <v>16031.0</v>
      </c>
      <c r="AC11" s="1">
        <v>16046.0</v>
      </c>
      <c r="AD11" s="1">
        <v>16061.0</v>
      </c>
      <c r="AE11" s="1">
        <v>16077.0</v>
      </c>
      <c r="AF11" s="1">
        <v>16092.0</v>
      </c>
      <c r="AG11" s="1">
        <v>16108.0</v>
      </c>
      <c r="AH11" s="1">
        <v>16123.0</v>
      </c>
      <c r="AI11" s="1">
        <v>16138.0</v>
      </c>
      <c r="AJ11" s="1">
        <v>16154.0</v>
      </c>
      <c r="AK11" s="1">
        <v>16169.0</v>
      </c>
      <c r="AL11" s="1">
        <v>16185.0</v>
      </c>
      <c r="AM11" s="1">
        <v>16200.0</v>
      </c>
      <c r="AN11" s="1">
        <v>16216.0</v>
      </c>
      <c r="AO11" s="1">
        <v>16231.0</v>
      </c>
      <c r="AP11" s="1">
        <v>16247.0</v>
      </c>
      <c r="AQ11" s="1">
        <v>16263.0</v>
      </c>
      <c r="AR11" s="1">
        <v>16278.0</v>
      </c>
      <c r="AS11" s="1">
        <v>16294.0</v>
      </c>
      <c r="AT11" s="1">
        <v>16309.0</v>
      </c>
      <c r="AU11" s="1">
        <v>16325.0</v>
      </c>
      <c r="AV11" s="1">
        <v>16341.0</v>
      </c>
      <c r="AW11" s="1">
        <v>16356.0</v>
      </c>
      <c r="AX11" s="1">
        <v>16372.0</v>
      </c>
      <c r="AY11" s="1">
        <v>16388.0</v>
      </c>
      <c r="AZ11" s="1">
        <v>16403.0</v>
      </c>
      <c r="BA11" s="1">
        <v>16419.0</v>
      </c>
      <c r="BB11" s="1">
        <v>16435.0</v>
      </c>
      <c r="BC11" s="1">
        <v>16451.0</v>
      </c>
      <c r="BD11" s="1">
        <v>16466.0</v>
      </c>
      <c r="BE11" s="1">
        <v>16482.0</v>
      </c>
      <c r="BF11" s="1">
        <v>16498.0</v>
      </c>
      <c r="BG11" s="1">
        <v>16514.0</v>
      </c>
      <c r="BH11" s="1">
        <v>16529.0</v>
      </c>
      <c r="BI11" s="1">
        <v>16545.0</v>
      </c>
      <c r="BJ11" s="1">
        <v>16561.0</v>
      </c>
      <c r="BK11" s="1">
        <v>16577.0</v>
      </c>
      <c r="BL11" s="1">
        <v>16593.0</v>
      </c>
      <c r="BM11" s="1">
        <v>16609.0</v>
      </c>
      <c r="BN11" s="1">
        <v>16625.0</v>
      </c>
      <c r="BO11" s="1">
        <v>16641.0</v>
      </c>
      <c r="BP11" s="1">
        <v>16657.0</v>
      </c>
      <c r="BQ11" s="1">
        <v>16673.0</v>
      </c>
      <c r="BR11" s="1">
        <v>16689.0</v>
      </c>
      <c r="BS11" s="1">
        <v>16704.0</v>
      </c>
      <c r="BT11" s="1">
        <v>16721.0</v>
      </c>
      <c r="BU11" s="1">
        <v>16737.0</v>
      </c>
      <c r="BV11" s="1">
        <v>785547.0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1600000.0</v>
      </c>
      <c r="AA12" s="1">
        <v>1601533.0</v>
      </c>
      <c r="AB12" s="1">
        <v>1603067.0</v>
      </c>
      <c r="AC12" s="1">
        <v>1604603.0</v>
      </c>
      <c r="AD12" s="1">
        <v>1606140.0</v>
      </c>
      <c r="AE12" s="1">
        <v>1607679.0</v>
      </c>
      <c r="AF12" s="1">
        <v>1609219.0</v>
      </c>
      <c r="AG12" s="1">
        <v>1610760.0</v>
      </c>
      <c r="AH12" s="1">
        <v>1612304.0</v>
      </c>
      <c r="AI12" s="1">
        <v>1613848.0</v>
      </c>
      <c r="AJ12" s="1">
        <v>1615394.0</v>
      </c>
      <c r="AK12" s="1">
        <v>1616942.0</v>
      </c>
      <c r="AL12" s="1">
        <v>1618491.0</v>
      </c>
      <c r="AM12" s="1">
        <v>1620041.0</v>
      </c>
      <c r="AN12" s="1">
        <v>1621593.0</v>
      </c>
      <c r="AO12" s="1">
        <v>1623147.0</v>
      </c>
      <c r="AP12" s="1">
        <v>1624702.0</v>
      </c>
      <c r="AQ12" s="1">
        <v>1626258.0</v>
      </c>
      <c r="AR12" s="1">
        <v>1627816.0</v>
      </c>
      <c r="AS12" s="1">
        <v>1629376.0</v>
      </c>
      <c r="AT12" s="1">
        <v>1630937.0</v>
      </c>
      <c r="AU12" s="1">
        <v>1632499.0</v>
      </c>
      <c r="AV12" s="1">
        <v>1634063.0</v>
      </c>
      <c r="AW12" s="1">
        <v>1635628.0</v>
      </c>
      <c r="AX12" s="1">
        <v>1637195.0</v>
      </c>
      <c r="AY12" s="1">
        <v>1638764.0</v>
      </c>
      <c r="AZ12" s="1">
        <v>1640334.0</v>
      </c>
      <c r="BA12" s="1">
        <v>1641905.0</v>
      </c>
      <c r="BB12" s="1">
        <v>1643478.0</v>
      </c>
      <c r="BC12" s="1">
        <v>1645053.0</v>
      </c>
      <c r="BD12" s="1">
        <v>1646629.0</v>
      </c>
      <c r="BE12" s="1">
        <v>1648206.0</v>
      </c>
      <c r="BF12" s="1">
        <v>1649785.0</v>
      </c>
      <c r="BG12" s="1">
        <v>1651365.0</v>
      </c>
      <c r="BH12" s="1">
        <v>1652947.0</v>
      </c>
      <c r="BI12" s="1">
        <v>1654531.0</v>
      </c>
      <c r="BJ12" s="1">
        <v>1656116.0</v>
      </c>
      <c r="BK12" s="1">
        <v>1657703.0</v>
      </c>
      <c r="BL12" s="1">
        <v>1659291.0</v>
      </c>
      <c r="BM12" s="1">
        <v>1660880.0</v>
      </c>
      <c r="BN12" s="1">
        <v>1662471.0</v>
      </c>
      <c r="BO12" s="1">
        <v>1664064.0</v>
      </c>
      <c r="BP12" s="1">
        <v>1665658.0</v>
      </c>
      <c r="BQ12" s="1">
        <v>1667254.0</v>
      </c>
      <c r="BR12" s="1">
        <v>1668851.0</v>
      </c>
      <c r="BS12" s="1">
        <v>1670450.0</v>
      </c>
      <c r="BT12" s="1">
        <v>1672050.0</v>
      </c>
      <c r="BU12" s="1">
        <v>1673652.0</v>
      </c>
      <c r="BV12" s="1">
        <v>7.8554672E7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320000.0</v>
      </c>
      <c r="AA13" s="1">
        <v>320307.0</v>
      </c>
      <c r="AB13" s="1">
        <v>320613.0</v>
      </c>
      <c r="AC13" s="1">
        <v>320921.0</v>
      </c>
      <c r="AD13" s="1">
        <v>321228.0</v>
      </c>
      <c r="AE13" s="1">
        <v>321536.0</v>
      </c>
      <c r="AF13" s="1">
        <v>321844.0</v>
      </c>
      <c r="AG13" s="1">
        <v>322152.0</v>
      </c>
      <c r="AH13" s="1">
        <v>322461.0</v>
      </c>
      <c r="AI13" s="1">
        <v>322770.0</v>
      </c>
      <c r="AJ13" s="1">
        <v>323079.0</v>
      </c>
      <c r="AK13" s="1">
        <v>323388.0</v>
      </c>
      <c r="AL13" s="1">
        <v>323698.0</v>
      </c>
      <c r="AM13" s="1">
        <v>324008.0</v>
      </c>
      <c r="AN13" s="1">
        <v>324319.0</v>
      </c>
      <c r="AO13" s="1">
        <v>324629.0</v>
      </c>
      <c r="AP13" s="1">
        <v>324940.0</v>
      </c>
      <c r="AQ13" s="1">
        <v>325252.0</v>
      </c>
      <c r="AR13" s="1">
        <v>325563.0</v>
      </c>
      <c r="AS13" s="1">
        <v>325875.0</v>
      </c>
      <c r="AT13" s="1">
        <v>326187.0</v>
      </c>
      <c r="AU13" s="1">
        <v>326500.0</v>
      </c>
      <c r="AV13" s="1">
        <v>326813.0</v>
      </c>
      <c r="AW13" s="1">
        <v>327126.0</v>
      </c>
      <c r="AX13" s="1">
        <v>327439.0</v>
      </c>
      <c r="AY13" s="1">
        <v>327753.0</v>
      </c>
      <c r="AZ13" s="1">
        <v>328067.0</v>
      </c>
      <c r="BA13" s="1">
        <v>328381.0</v>
      </c>
      <c r="BB13" s="1">
        <v>328696.0</v>
      </c>
      <c r="BC13" s="1">
        <v>329011.0</v>
      </c>
      <c r="BD13" s="1">
        <v>329326.0</v>
      </c>
      <c r="BE13" s="1">
        <v>329641.0</v>
      </c>
      <c r="BF13" s="1">
        <v>329957.0</v>
      </c>
      <c r="BG13" s="1">
        <v>330273.0</v>
      </c>
      <c r="BH13" s="1">
        <v>330589.0</v>
      </c>
      <c r="BI13" s="1">
        <v>330906.0</v>
      </c>
      <c r="BJ13" s="1">
        <v>331223.0</v>
      </c>
      <c r="BK13" s="1">
        <v>331541.0</v>
      </c>
      <c r="BL13" s="1">
        <v>331858.0</v>
      </c>
      <c r="BM13" s="1">
        <v>332176.0</v>
      </c>
      <c r="BN13" s="1">
        <v>332494.0</v>
      </c>
      <c r="BO13" s="1">
        <v>332813.0</v>
      </c>
      <c r="BP13" s="1">
        <v>333132.0</v>
      </c>
      <c r="BQ13" s="1">
        <v>333451.0</v>
      </c>
      <c r="BR13" s="1">
        <v>333770.0</v>
      </c>
      <c r="BS13" s="1">
        <v>334090.0</v>
      </c>
      <c r="BT13" s="1">
        <v>334410.0</v>
      </c>
      <c r="BU13" s="1">
        <v>334730.0</v>
      </c>
      <c r="BV13" s="1">
        <v>1.5710934E7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2000.0</v>
      </c>
      <c r="AA14" s="1">
        <v>2000.0</v>
      </c>
      <c r="AB14" s="1">
        <v>2000.0</v>
      </c>
      <c r="AC14" s="1">
        <v>2000.0</v>
      </c>
      <c r="AD14" s="1">
        <v>2000.0</v>
      </c>
      <c r="AE14" s="1">
        <v>2000.0</v>
      </c>
      <c r="AF14" s="1">
        <v>2000.0</v>
      </c>
      <c r="AG14" s="1">
        <v>2000.0</v>
      </c>
      <c r="AH14" s="1">
        <v>2000.0</v>
      </c>
      <c r="AI14" s="1">
        <v>2000.0</v>
      </c>
      <c r="AJ14" s="1">
        <v>2000.0</v>
      </c>
      <c r="AK14" s="1">
        <v>2000.0</v>
      </c>
      <c r="AL14" s="1">
        <v>2000.0</v>
      </c>
      <c r="AM14" s="1">
        <v>2000.0</v>
      </c>
      <c r="AN14" s="1">
        <v>2000.0</v>
      </c>
      <c r="AO14" s="1">
        <v>2000.0</v>
      </c>
      <c r="AP14" s="1">
        <v>2000.0</v>
      </c>
      <c r="AQ14" s="1">
        <v>2000.0</v>
      </c>
      <c r="AR14" s="1">
        <v>2000.0</v>
      </c>
      <c r="AS14" s="1">
        <v>2000.0</v>
      </c>
      <c r="AT14" s="1">
        <v>2000.0</v>
      </c>
      <c r="AU14" s="1">
        <v>2000.0</v>
      </c>
      <c r="AV14" s="1">
        <v>2000.0</v>
      </c>
      <c r="AW14" s="1">
        <v>2000.0</v>
      </c>
      <c r="AX14" s="1">
        <v>2000.0</v>
      </c>
      <c r="AY14" s="1">
        <v>2000.0</v>
      </c>
      <c r="AZ14" s="1">
        <v>2000.0</v>
      </c>
      <c r="BA14" s="1">
        <v>2000.0</v>
      </c>
      <c r="BB14" s="1">
        <v>2000.0</v>
      </c>
      <c r="BC14" s="1">
        <v>2000.0</v>
      </c>
      <c r="BD14" s="1">
        <v>2000.0</v>
      </c>
      <c r="BE14" s="1">
        <v>2000.0</v>
      </c>
      <c r="BF14" s="1">
        <v>2000.0</v>
      </c>
      <c r="BG14" s="1">
        <v>2000.0</v>
      </c>
      <c r="BH14" s="1">
        <v>2000.0</v>
      </c>
      <c r="BI14" s="1">
        <v>2000.0</v>
      </c>
      <c r="BJ14" s="1">
        <v>2000.0</v>
      </c>
      <c r="BK14" s="1">
        <v>2000.0</v>
      </c>
      <c r="BL14" s="1">
        <v>2000.0</v>
      </c>
      <c r="BM14" s="1">
        <v>2000.0</v>
      </c>
      <c r="BN14" s="1">
        <v>2000.0</v>
      </c>
      <c r="BO14" s="1">
        <v>2000.0</v>
      </c>
      <c r="BP14" s="1">
        <v>2000.0</v>
      </c>
      <c r="BQ14" s="1">
        <v>2000.0</v>
      </c>
      <c r="BR14" s="1">
        <v>2000.0</v>
      </c>
      <c r="BS14" s="1">
        <v>2000.0</v>
      </c>
      <c r="BT14" s="1">
        <v>2000.0</v>
      </c>
      <c r="BU14" s="1">
        <v>2000.0</v>
      </c>
      <c r="BV14" s="1">
        <v>96000.0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322000.0</v>
      </c>
      <c r="AA15" s="1">
        <v>322307.0</v>
      </c>
      <c r="AB15" s="1">
        <v>322613.0</v>
      </c>
      <c r="AC15" s="1">
        <v>322921.0</v>
      </c>
      <c r="AD15" s="1">
        <v>323228.0</v>
      </c>
      <c r="AE15" s="1">
        <v>323536.0</v>
      </c>
      <c r="AF15" s="1">
        <v>323844.0</v>
      </c>
      <c r="AG15" s="1">
        <v>324152.0</v>
      </c>
      <c r="AH15" s="1">
        <v>324461.0</v>
      </c>
      <c r="AI15" s="1">
        <v>324770.0</v>
      </c>
      <c r="AJ15" s="1">
        <v>325079.0</v>
      </c>
      <c r="AK15" s="1">
        <v>325388.0</v>
      </c>
      <c r="AL15" s="1">
        <v>325698.0</v>
      </c>
      <c r="AM15" s="1">
        <v>326008.0</v>
      </c>
      <c r="AN15" s="1">
        <v>326319.0</v>
      </c>
      <c r="AO15" s="1">
        <v>326629.0</v>
      </c>
      <c r="AP15" s="1">
        <v>326940.0</v>
      </c>
      <c r="AQ15" s="1">
        <v>327252.0</v>
      </c>
      <c r="AR15" s="1">
        <v>327563.0</v>
      </c>
      <c r="AS15" s="1">
        <v>327875.0</v>
      </c>
      <c r="AT15" s="1">
        <v>328187.0</v>
      </c>
      <c r="AU15" s="1">
        <v>328500.0</v>
      </c>
      <c r="AV15" s="1">
        <v>328813.0</v>
      </c>
      <c r="AW15" s="1">
        <v>329126.0</v>
      </c>
      <c r="AX15" s="1">
        <v>329439.0</v>
      </c>
      <c r="AY15" s="1">
        <v>329753.0</v>
      </c>
      <c r="AZ15" s="1">
        <v>330067.0</v>
      </c>
      <c r="BA15" s="1">
        <v>330381.0</v>
      </c>
      <c r="BB15" s="1">
        <v>330696.0</v>
      </c>
      <c r="BC15" s="1">
        <v>331011.0</v>
      </c>
      <c r="BD15" s="1">
        <v>331326.0</v>
      </c>
      <c r="BE15" s="1">
        <v>331641.0</v>
      </c>
      <c r="BF15" s="1">
        <v>331957.0</v>
      </c>
      <c r="BG15" s="1">
        <v>332273.0</v>
      </c>
      <c r="BH15" s="1">
        <v>332589.0</v>
      </c>
      <c r="BI15" s="1">
        <v>332906.0</v>
      </c>
      <c r="BJ15" s="1">
        <v>333223.0</v>
      </c>
      <c r="BK15" s="1">
        <v>333541.0</v>
      </c>
      <c r="BL15" s="1">
        <v>333858.0</v>
      </c>
      <c r="BM15" s="1">
        <v>334176.0</v>
      </c>
      <c r="BN15" s="1">
        <v>334494.0</v>
      </c>
      <c r="BO15" s="1">
        <v>334813.0</v>
      </c>
      <c r="BP15" s="1">
        <v>335132.0</v>
      </c>
      <c r="BQ15" s="1">
        <v>335451.0</v>
      </c>
      <c r="BR15" s="1">
        <v>335770.0</v>
      </c>
      <c r="BS15" s="1">
        <v>336090.0</v>
      </c>
      <c r="BT15" s="1">
        <v>336410.0</v>
      </c>
      <c r="BU15" s="1">
        <v>336730.0</v>
      </c>
      <c r="BV15" s="1">
        <v>1.5806934E7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1280000.0</v>
      </c>
      <c r="AA16" s="1">
        <v>1281226.0</v>
      </c>
      <c r="AB16" s="1">
        <v>1282454.0</v>
      </c>
      <c r="AC16" s="1">
        <v>1283682.0</v>
      </c>
      <c r="AD16" s="1">
        <v>1284912.0</v>
      </c>
      <c r="AE16" s="1">
        <v>1286143.0</v>
      </c>
      <c r="AF16" s="1">
        <v>1287375.0</v>
      </c>
      <c r="AG16" s="1">
        <v>1288608.0</v>
      </c>
      <c r="AH16" s="1">
        <v>1289843.0</v>
      </c>
      <c r="AI16" s="1">
        <v>1291079.0</v>
      </c>
      <c r="AJ16" s="1">
        <v>1292315.0</v>
      </c>
      <c r="AK16" s="1">
        <v>1293553.0</v>
      </c>
      <c r="AL16" s="1">
        <v>1294793.0</v>
      </c>
      <c r="AM16" s="1">
        <v>1296033.0</v>
      </c>
      <c r="AN16" s="1">
        <v>1297275.0</v>
      </c>
      <c r="AO16" s="1">
        <v>1298517.0</v>
      </c>
      <c r="AP16" s="1">
        <v>1299761.0</v>
      </c>
      <c r="AQ16" s="1">
        <v>1301007.0</v>
      </c>
      <c r="AR16" s="1">
        <v>1302253.0</v>
      </c>
      <c r="AS16" s="1">
        <v>1303501.0</v>
      </c>
      <c r="AT16" s="1">
        <v>1304749.0</v>
      </c>
      <c r="AU16" s="1">
        <v>1305999.0</v>
      </c>
      <c r="AV16" s="1">
        <v>1307250.0</v>
      </c>
      <c r="AW16" s="1">
        <v>1308503.0</v>
      </c>
      <c r="AX16" s="1">
        <v>1309756.0</v>
      </c>
      <c r="AY16" s="1">
        <v>1311011.0</v>
      </c>
      <c r="AZ16" s="1">
        <v>1312267.0</v>
      </c>
      <c r="BA16" s="1">
        <v>1313524.0</v>
      </c>
      <c r="BB16" s="1">
        <v>1314782.0</v>
      </c>
      <c r="BC16" s="1">
        <v>1316042.0</v>
      </c>
      <c r="BD16" s="1">
        <v>1317303.0</v>
      </c>
      <c r="BE16" s="1">
        <v>1318565.0</v>
      </c>
      <c r="BF16" s="1">
        <v>1319828.0</v>
      </c>
      <c r="BG16" s="1">
        <v>1321092.0</v>
      </c>
      <c r="BH16" s="1">
        <v>1322358.0</v>
      </c>
      <c r="BI16" s="1">
        <v>1323625.0</v>
      </c>
      <c r="BJ16" s="1">
        <v>1324893.0</v>
      </c>
      <c r="BK16" s="1">
        <v>1326162.0</v>
      </c>
      <c r="BL16" s="1">
        <v>1327433.0</v>
      </c>
      <c r="BM16" s="1">
        <v>1328704.0</v>
      </c>
      <c r="BN16" s="1">
        <v>1329977.0</v>
      </c>
      <c r="BO16" s="1">
        <v>1331251.0</v>
      </c>
      <c r="BP16" s="1">
        <v>1332527.0</v>
      </c>
      <c r="BQ16" s="1">
        <v>1333803.0</v>
      </c>
      <c r="BR16" s="1">
        <v>1335081.0</v>
      </c>
      <c r="BS16" s="1">
        <v>1336360.0</v>
      </c>
      <c r="BT16" s="1">
        <v>1337640.0</v>
      </c>
      <c r="BU16" s="1">
        <v>1338922.0</v>
      </c>
      <c r="BV16" s="1">
        <v>6.2843738E7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272</v>
      </c>
    </row>
    <row r="2">
      <c r="A2" s="1" t="s">
        <v>194</v>
      </c>
    </row>
    <row r="3">
      <c r="A3" s="1" t="s">
        <v>220</v>
      </c>
    </row>
    <row r="5">
      <c r="A5" s="1" t="s">
        <v>63</v>
      </c>
      <c r="B5" s="1" t="s">
        <v>64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79</v>
      </c>
      <c r="P5" s="1" t="s">
        <v>80</v>
      </c>
      <c r="Q5" s="1" t="s">
        <v>81</v>
      </c>
      <c r="R5" s="1" t="s">
        <v>82</v>
      </c>
      <c r="S5" s="1" t="s">
        <v>83</v>
      </c>
      <c r="T5" s="1" t="s">
        <v>84</v>
      </c>
      <c r="U5" s="1" t="s">
        <v>85</v>
      </c>
      <c r="V5" s="1" t="s">
        <v>86</v>
      </c>
      <c r="W5" s="1" t="s">
        <v>87</v>
      </c>
      <c r="X5" s="1" t="s">
        <v>89</v>
      </c>
      <c r="Y5" s="1" t="s">
        <v>90</v>
      </c>
      <c r="Z5" s="1" t="s">
        <v>91</v>
      </c>
      <c r="AA5" s="1" t="s">
        <v>92</v>
      </c>
      <c r="AB5" s="1" t="s">
        <v>93</v>
      </c>
      <c r="AC5" s="1" t="s">
        <v>94</v>
      </c>
      <c r="AD5" s="1" t="s">
        <v>95</v>
      </c>
      <c r="AE5" s="1" t="s">
        <v>96</v>
      </c>
      <c r="AF5" s="1" t="s">
        <v>98</v>
      </c>
      <c r="AG5" s="1" t="s">
        <v>99</v>
      </c>
      <c r="AH5" s="1" t="s">
        <v>100</v>
      </c>
      <c r="AI5" s="1" t="s">
        <v>101</v>
      </c>
      <c r="AJ5" s="1" t="s">
        <v>102</v>
      </c>
      <c r="AK5" s="1" t="s">
        <v>103</v>
      </c>
      <c r="AL5" s="1" t="s">
        <v>104</v>
      </c>
      <c r="AM5" s="1" t="s">
        <v>105</v>
      </c>
      <c r="AN5" s="1" t="s">
        <v>106</v>
      </c>
      <c r="AO5" s="1" t="s">
        <v>107</v>
      </c>
      <c r="AP5" s="1" t="s">
        <v>108</v>
      </c>
      <c r="AQ5" s="1" t="s">
        <v>109</v>
      </c>
      <c r="AR5" s="1" t="s">
        <v>110</v>
      </c>
      <c r="AS5" s="1" t="s">
        <v>111</v>
      </c>
      <c r="AT5" s="1" t="s">
        <v>112</v>
      </c>
      <c r="AU5" s="1" t="s">
        <v>113</v>
      </c>
      <c r="AV5" s="1" t="s">
        <v>114</v>
      </c>
      <c r="AW5" s="1" t="s">
        <v>115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124</v>
      </c>
      <c r="BF5" s="1" t="s">
        <v>125</v>
      </c>
      <c r="BG5" s="1" t="s">
        <v>126</v>
      </c>
      <c r="BH5" s="1" t="s">
        <v>127</v>
      </c>
      <c r="BI5" s="1" t="s">
        <v>128</v>
      </c>
      <c r="BJ5" s="1" t="s">
        <v>129</v>
      </c>
      <c r="BK5" s="1" t="s">
        <v>130</v>
      </c>
      <c r="BL5" s="1" t="s">
        <v>131</v>
      </c>
      <c r="BM5" s="1" t="s">
        <v>132</v>
      </c>
      <c r="BN5" s="1" t="s">
        <v>133</v>
      </c>
      <c r="BO5" s="1" t="s">
        <v>134</v>
      </c>
      <c r="BP5" s="1" t="s">
        <v>135</v>
      </c>
      <c r="BQ5" s="1" t="s">
        <v>136</v>
      </c>
      <c r="BR5" s="1" t="s">
        <v>137</v>
      </c>
      <c r="BS5" s="1" t="s">
        <v>138</v>
      </c>
      <c r="BT5" s="1" t="s">
        <v>139</v>
      </c>
      <c r="BU5" s="1" t="s">
        <v>140</v>
      </c>
      <c r="BV5" s="1" t="s">
        <v>97</v>
      </c>
    </row>
    <row r="6">
      <c r="A6" s="1" t="s">
        <v>141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1500000.0</v>
      </c>
      <c r="V6" s="1">
        <v>1501437.0</v>
      </c>
      <c r="W6" s="1">
        <v>1502875.0</v>
      </c>
      <c r="X6" s="1">
        <v>1504315.0</v>
      </c>
      <c r="Y6" s="1">
        <v>1505756.0</v>
      </c>
      <c r="Z6" s="1">
        <v>1507199.0</v>
      </c>
      <c r="AA6" s="1">
        <v>1508643.0</v>
      </c>
      <c r="AB6" s="1">
        <v>1510088.0</v>
      </c>
      <c r="AC6" s="1">
        <v>1511535.0</v>
      </c>
      <c r="AD6" s="1">
        <v>1512983.0</v>
      </c>
      <c r="AE6" s="1">
        <v>1514432.0</v>
      </c>
      <c r="AF6" s="1">
        <v>1515883.0</v>
      </c>
      <c r="AG6" s="1">
        <v>1517335.0</v>
      </c>
      <c r="AH6" s="1">
        <v>1518789.0</v>
      </c>
      <c r="AI6" s="1">
        <v>1520244.0</v>
      </c>
      <c r="AJ6" s="1">
        <v>1521700.0</v>
      </c>
      <c r="AK6" s="1">
        <v>1523158.0</v>
      </c>
      <c r="AL6" s="1">
        <v>1524617.0</v>
      </c>
      <c r="AM6" s="1">
        <v>1526078.0</v>
      </c>
      <c r="AN6" s="1">
        <v>1527540.0</v>
      </c>
      <c r="AO6" s="1">
        <v>1529003.0</v>
      </c>
      <c r="AP6" s="1">
        <v>1530468.0</v>
      </c>
      <c r="AQ6" s="1">
        <v>1531934.0</v>
      </c>
      <c r="AR6" s="1">
        <v>1533402.0</v>
      </c>
      <c r="AS6" s="1">
        <v>1534871.0</v>
      </c>
      <c r="AT6" s="1">
        <v>1536341.0</v>
      </c>
      <c r="AU6" s="1">
        <v>1537813.0</v>
      </c>
      <c r="AV6" s="1">
        <v>1539286.0</v>
      </c>
      <c r="AW6" s="1">
        <v>1540761.0</v>
      </c>
      <c r="AX6" s="1">
        <v>1542237.0</v>
      </c>
      <c r="AY6" s="1">
        <v>1543714.0</v>
      </c>
      <c r="AZ6" s="1">
        <v>1545193.0</v>
      </c>
      <c r="BA6" s="1">
        <v>1546673.0</v>
      </c>
      <c r="BB6" s="1">
        <v>1548155.0</v>
      </c>
      <c r="BC6" s="1">
        <v>1549638.0</v>
      </c>
      <c r="BD6" s="1">
        <v>1551123.0</v>
      </c>
      <c r="BE6" s="1">
        <v>1552609.0</v>
      </c>
      <c r="BF6" s="1">
        <v>1554096.0</v>
      </c>
      <c r="BG6" s="1">
        <v>1555585.0</v>
      </c>
      <c r="BH6" s="1">
        <v>1557075.0</v>
      </c>
      <c r="BI6" s="1">
        <v>1558567.0</v>
      </c>
      <c r="BJ6" s="1">
        <v>1560060.0</v>
      </c>
      <c r="BK6" s="1">
        <v>1561555.0</v>
      </c>
      <c r="BL6" s="1">
        <v>1563051.0</v>
      </c>
      <c r="BM6" s="1">
        <v>1564548.0</v>
      </c>
      <c r="BN6" s="1">
        <v>1566047.0</v>
      </c>
      <c r="BO6" s="1">
        <v>1567547.0</v>
      </c>
      <c r="BP6" s="1">
        <v>1569049.0</v>
      </c>
      <c r="BQ6" s="1">
        <v>1570552.0</v>
      </c>
      <c r="BR6" s="1">
        <v>1572057.0</v>
      </c>
      <c r="BS6" s="1">
        <v>1573563.0</v>
      </c>
      <c r="BT6" s="1">
        <v>1575070.0</v>
      </c>
      <c r="BU6" s="1">
        <v>1576579.0</v>
      </c>
    </row>
    <row r="7">
      <c r="A7" s="1" t="s">
        <v>142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9000.0</v>
      </c>
      <c r="W7" s="1">
        <v>9009.0</v>
      </c>
      <c r="X7" s="1">
        <v>9017.0</v>
      </c>
      <c r="Y7" s="1">
        <v>9026.0</v>
      </c>
      <c r="Z7" s="1">
        <v>9035.0</v>
      </c>
      <c r="AA7" s="1">
        <v>9043.0</v>
      </c>
      <c r="AB7" s="1">
        <v>9052.0</v>
      </c>
      <c r="AC7" s="1">
        <v>9061.0</v>
      </c>
      <c r="AD7" s="1">
        <v>9069.0</v>
      </c>
      <c r="AE7" s="1">
        <v>9078.0</v>
      </c>
      <c r="AF7" s="1">
        <v>9087.0</v>
      </c>
      <c r="AG7" s="1">
        <v>9095.0</v>
      </c>
      <c r="AH7" s="1">
        <v>9104.0</v>
      </c>
      <c r="AI7" s="1">
        <v>9113.0</v>
      </c>
      <c r="AJ7" s="1">
        <v>9121.0</v>
      </c>
      <c r="AK7" s="1">
        <v>9130.0</v>
      </c>
      <c r="AL7" s="1">
        <v>9139.0</v>
      </c>
      <c r="AM7" s="1">
        <v>9148.0</v>
      </c>
      <c r="AN7" s="1">
        <v>9156.0</v>
      </c>
      <c r="AO7" s="1">
        <v>9165.0</v>
      </c>
      <c r="AP7" s="1">
        <v>9174.0</v>
      </c>
      <c r="AQ7" s="1">
        <v>9183.0</v>
      </c>
      <c r="AR7" s="1">
        <v>9192.0</v>
      </c>
      <c r="AS7" s="1">
        <v>9200.0</v>
      </c>
      <c r="AT7" s="1">
        <v>9209.0</v>
      </c>
      <c r="AU7" s="1">
        <v>9218.0</v>
      </c>
      <c r="AV7" s="1">
        <v>9227.0</v>
      </c>
      <c r="AW7" s="1">
        <v>9236.0</v>
      </c>
      <c r="AX7" s="1">
        <v>9245.0</v>
      </c>
      <c r="AY7" s="1">
        <v>9253.0</v>
      </c>
      <c r="AZ7" s="1">
        <v>9262.0</v>
      </c>
      <c r="BA7" s="1">
        <v>9271.0</v>
      </c>
      <c r="BB7" s="1">
        <v>9280.0</v>
      </c>
      <c r="BC7" s="1">
        <v>9289.0</v>
      </c>
      <c r="BD7" s="1">
        <v>9298.0</v>
      </c>
      <c r="BE7" s="1">
        <v>9307.0</v>
      </c>
      <c r="BF7" s="1">
        <v>9316.0</v>
      </c>
      <c r="BG7" s="1">
        <v>9325.0</v>
      </c>
      <c r="BH7" s="1">
        <v>9334.0</v>
      </c>
      <c r="BI7" s="1">
        <v>9342.0</v>
      </c>
      <c r="BJ7" s="1">
        <v>9351.0</v>
      </c>
      <c r="BK7" s="1">
        <v>9360.0</v>
      </c>
      <c r="BL7" s="1">
        <v>9369.0</v>
      </c>
      <c r="BM7" s="1">
        <v>9378.0</v>
      </c>
      <c r="BN7" s="1">
        <v>9387.0</v>
      </c>
      <c r="BO7" s="1">
        <v>9396.0</v>
      </c>
      <c r="BP7" s="1">
        <v>9405.0</v>
      </c>
      <c r="BQ7" s="1">
        <v>9414.0</v>
      </c>
      <c r="BR7" s="1">
        <v>9423.0</v>
      </c>
      <c r="BS7" s="1">
        <v>9432.0</v>
      </c>
      <c r="BT7" s="1">
        <v>9441.0</v>
      </c>
      <c r="BU7" s="1">
        <v>9450.0</v>
      </c>
      <c r="BV7" s="1">
        <v>479617.0</v>
      </c>
    </row>
    <row r="8">
      <c r="A8" s="1" t="s">
        <v>145</v>
      </c>
      <c r="B8" s="1">
        <v>0.7</v>
      </c>
      <c r="C8" s="1">
        <v>0.7</v>
      </c>
      <c r="D8" s="1">
        <v>0.7</v>
      </c>
      <c r="E8" s="1">
        <v>0.7</v>
      </c>
      <c r="F8" s="1">
        <v>0.7</v>
      </c>
      <c r="G8" s="1">
        <v>0.7</v>
      </c>
      <c r="H8" s="1">
        <v>0.7</v>
      </c>
      <c r="I8" s="1">
        <v>0.7</v>
      </c>
      <c r="J8" s="1">
        <v>0.7</v>
      </c>
      <c r="K8" s="1">
        <v>0.7</v>
      </c>
      <c r="L8" s="1">
        <v>0.7</v>
      </c>
      <c r="M8" s="1">
        <v>0.7</v>
      </c>
      <c r="N8" s="1">
        <v>0.7</v>
      </c>
      <c r="O8" s="1">
        <v>0.7</v>
      </c>
      <c r="P8" s="1">
        <v>0.7</v>
      </c>
      <c r="Q8" s="1">
        <v>0.7</v>
      </c>
      <c r="R8" s="1">
        <v>0.7</v>
      </c>
      <c r="S8" s="1">
        <v>0.7</v>
      </c>
      <c r="T8" s="1">
        <v>0.7</v>
      </c>
      <c r="U8" s="1">
        <v>0.7</v>
      </c>
      <c r="V8" s="1">
        <v>0.7</v>
      </c>
      <c r="W8" s="1">
        <v>0.7</v>
      </c>
      <c r="X8" s="1">
        <v>0.7</v>
      </c>
      <c r="Y8" s="1">
        <v>0.7</v>
      </c>
      <c r="Z8" s="1">
        <v>0.7</v>
      </c>
      <c r="AA8" s="1">
        <v>0.7</v>
      </c>
      <c r="AB8" s="1">
        <v>0.7</v>
      </c>
      <c r="AC8" s="1">
        <v>0.7</v>
      </c>
      <c r="AD8" s="1">
        <v>0.7</v>
      </c>
      <c r="AE8" s="1">
        <v>0.7</v>
      </c>
      <c r="AF8" s="1">
        <v>0.7</v>
      </c>
      <c r="AG8" s="1">
        <v>0.7</v>
      </c>
      <c r="AH8" s="1">
        <v>0.7</v>
      </c>
      <c r="AI8" s="1">
        <v>0.7</v>
      </c>
      <c r="AJ8" s="1">
        <v>0.7</v>
      </c>
      <c r="AK8" s="1">
        <v>0.7</v>
      </c>
      <c r="AL8" s="1">
        <v>0.7</v>
      </c>
      <c r="AM8" s="1">
        <v>0.7</v>
      </c>
      <c r="AN8" s="1">
        <v>0.7</v>
      </c>
      <c r="AO8" s="1">
        <v>0.7</v>
      </c>
      <c r="AP8" s="1">
        <v>0.7</v>
      </c>
      <c r="AQ8" s="1">
        <v>0.7</v>
      </c>
      <c r="AR8" s="1">
        <v>0.7</v>
      </c>
      <c r="AS8" s="1">
        <v>0.7</v>
      </c>
      <c r="AT8" s="1">
        <v>0.7</v>
      </c>
      <c r="AU8" s="1">
        <v>0.7</v>
      </c>
      <c r="AV8" s="1">
        <v>0.7</v>
      </c>
      <c r="AW8" s="1">
        <v>0.7</v>
      </c>
      <c r="AX8" s="1">
        <v>0.7</v>
      </c>
      <c r="AY8" s="1">
        <v>0.7</v>
      </c>
      <c r="AZ8" s="1">
        <v>0.7</v>
      </c>
      <c r="BA8" s="1">
        <v>0.7</v>
      </c>
      <c r="BB8" s="1">
        <v>0.7</v>
      </c>
      <c r="BC8" s="1">
        <v>0.7</v>
      </c>
      <c r="BD8" s="1">
        <v>0.7</v>
      </c>
      <c r="BE8" s="1">
        <v>0.7</v>
      </c>
      <c r="BF8" s="1">
        <v>0.7</v>
      </c>
      <c r="BG8" s="1">
        <v>0.7</v>
      </c>
      <c r="BH8" s="1">
        <v>0.7</v>
      </c>
      <c r="BI8" s="1">
        <v>0.7</v>
      </c>
      <c r="BJ8" s="1">
        <v>0.7</v>
      </c>
      <c r="BK8" s="1">
        <v>0.7</v>
      </c>
      <c r="BL8" s="1">
        <v>0.7</v>
      </c>
      <c r="BM8" s="1">
        <v>0.7</v>
      </c>
      <c r="BN8" s="1">
        <v>0.7</v>
      </c>
      <c r="BO8" s="1">
        <v>0.7</v>
      </c>
      <c r="BP8" s="1">
        <v>0.7</v>
      </c>
      <c r="BQ8" s="1">
        <v>0.7</v>
      </c>
      <c r="BR8" s="1">
        <v>0.7</v>
      </c>
      <c r="BS8" s="1">
        <v>0.7</v>
      </c>
      <c r="BT8" s="1">
        <v>0.7</v>
      </c>
      <c r="BU8" s="1">
        <v>0.7</v>
      </c>
    </row>
    <row r="9">
      <c r="A9" s="1" t="s">
        <v>146</v>
      </c>
      <c r="B9" s="1">
        <v>150.0</v>
      </c>
      <c r="C9" s="1">
        <v>150.0</v>
      </c>
      <c r="D9" s="1">
        <v>150.0</v>
      </c>
      <c r="E9" s="1">
        <v>150.0</v>
      </c>
      <c r="F9" s="1">
        <v>150.0</v>
      </c>
      <c r="G9" s="1">
        <v>150.0</v>
      </c>
      <c r="H9" s="1">
        <v>150.0</v>
      </c>
      <c r="I9" s="1">
        <v>150.0</v>
      </c>
      <c r="J9" s="1">
        <v>150.0</v>
      </c>
      <c r="K9" s="1">
        <v>150.0</v>
      </c>
      <c r="L9" s="1">
        <v>150.0</v>
      </c>
      <c r="M9" s="1">
        <v>150.0</v>
      </c>
      <c r="N9" s="1">
        <v>150.0</v>
      </c>
      <c r="O9" s="1">
        <v>150.0</v>
      </c>
      <c r="P9" s="1">
        <v>150.0</v>
      </c>
      <c r="Q9" s="1">
        <v>150.0</v>
      </c>
      <c r="R9" s="1">
        <v>150.0</v>
      </c>
      <c r="S9" s="1">
        <v>150.0</v>
      </c>
      <c r="T9" s="1">
        <v>150.0</v>
      </c>
      <c r="U9" s="1">
        <v>150.0</v>
      </c>
      <c r="V9" s="1">
        <v>150.0</v>
      </c>
      <c r="W9" s="1">
        <v>150.0</v>
      </c>
      <c r="X9" s="1">
        <v>150.0</v>
      </c>
      <c r="Y9" s="1">
        <v>150.0</v>
      </c>
      <c r="Z9" s="1">
        <v>150.0</v>
      </c>
      <c r="AA9" s="1">
        <v>150.0</v>
      </c>
      <c r="AB9" s="1">
        <v>150.0</v>
      </c>
      <c r="AC9" s="1">
        <v>150.0</v>
      </c>
      <c r="AD9" s="1">
        <v>150.0</v>
      </c>
      <c r="AE9" s="1">
        <v>150.0</v>
      </c>
      <c r="AF9" s="1">
        <v>150.0</v>
      </c>
      <c r="AG9" s="1">
        <v>150.0</v>
      </c>
      <c r="AH9" s="1">
        <v>150.0</v>
      </c>
      <c r="AI9" s="1">
        <v>150.0</v>
      </c>
      <c r="AJ9" s="1">
        <v>150.0</v>
      </c>
      <c r="AK9" s="1">
        <v>150.0</v>
      </c>
      <c r="AL9" s="1">
        <v>150.0</v>
      </c>
      <c r="AM9" s="1">
        <v>150.0</v>
      </c>
      <c r="AN9" s="1">
        <v>150.0</v>
      </c>
      <c r="AO9" s="1">
        <v>150.0</v>
      </c>
      <c r="AP9" s="1">
        <v>150.0</v>
      </c>
      <c r="AQ9" s="1">
        <v>150.0</v>
      </c>
      <c r="AR9" s="1">
        <v>150.0</v>
      </c>
      <c r="AS9" s="1">
        <v>150.0</v>
      </c>
      <c r="AT9" s="1">
        <v>150.0</v>
      </c>
      <c r="AU9" s="1">
        <v>150.0</v>
      </c>
      <c r="AV9" s="1">
        <v>150.0</v>
      </c>
      <c r="AW9" s="1">
        <v>150.0</v>
      </c>
      <c r="AX9" s="1">
        <v>150.0</v>
      </c>
      <c r="AY9" s="1">
        <v>150.0</v>
      </c>
      <c r="AZ9" s="1">
        <v>150.0</v>
      </c>
      <c r="BA9" s="1">
        <v>150.0</v>
      </c>
      <c r="BB9" s="1">
        <v>150.0</v>
      </c>
      <c r="BC9" s="1">
        <v>150.0</v>
      </c>
      <c r="BD9" s="1">
        <v>150.0</v>
      </c>
      <c r="BE9" s="1">
        <v>150.0</v>
      </c>
      <c r="BF9" s="1">
        <v>150.0</v>
      </c>
      <c r="BG9" s="1">
        <v>150.0</v>
      </c>
      <c r="BH9" s="1">
        <v>150.0</v>
      </c>
      <c r="BI9" s="1">
        <v>150.0</v>
      </c>
      <c r="BJ9" s="1">
        <v>150.0</v>
      </c>
      <c r="BK9" s="1">
        <v>150.0</v>
      </c>
      <c r="BL9" s="1">
        <v>150.0</v>
      </c>
      <c r="BM9" s="1">
        <v>150.0</v>
      </c>
      <c r="BN9" s="1">
        <v>150.0</v>
      </c>
      <c r="BO9" s="1">
        <v>150.0</v>
      </c>
      <c r="BP9" s="1">
        <v>150.0</v>
      </c>
      <c r="BQ9" s="1">
        <v>150.0</v>
      </c>
      <c r="BR9" s="1">
        <v>150.0</v>
      </c>
      <c r="BS9" s="1">
        <v>150.0</v>
      </c>
      <c r="BT9" s="1">
        <v>150.0</v>
      </c>
      <c r="BU9" s="1">
        <v>150.0</v>
      </c>
      <c r="BV9" s="1" t="s">
        <v>195</v>
      </c>
    </row>
    <row r="10">
      <c r="A10" s="1" t="s">
        <v>149</v>
      </c>
      <c r="B10" s="1">
        <v>20.0</v>
      </c>
      <c r="C10" s="1">
        <v>20.0</v>
      </c>
      <c r="D10" s="1">
        <v>20.0</v>
      </c>
      <c r="E10" s="1">
        <v>20.0</v>
      </c>
      <c r="F10" s="1">
        <v>20.0</v>
      </c>
      <c r="G10" s="1">
        <v>20.0</v>
      </c>
      <c r="H10" s="1">
        <v>20.0</v>
      </c>
      <c r="I10" s="1">
        <v>20.0</v>
      </c>
      <c r="J10" s="1">
        <v>20.0</v>
      </c>
      <c r="K10" s="1">
        <v>20.0</v>
      </c>
      <c r="L10" s="1">
        <v>20.0</v>
      </c>
      <c r="M10" s="1">
        <v>20.0</v>
      </c>
      <c r="N10" s="1">
        <v>20.0</v>
      </c>
      <c r="O10" s="1">
        <v>20.0</v>
      </c>
      <c r="P10" s="1">
        <v>20.0</v>
      </c>
      <c r="Q10" s="1">
        <v>20.0</v>
      </c>
      <c r="R10" s="1">
        <v>20.0</v>
      </c>
      <c r="S10" s="1">
        <v>20.0</v>
      </c>
      <c r="T10" s="1">
        <v>20.0</v>
      </c>
      <c r="U10" s="1">
        <v>20.0</v>
      </c>
      <c r="V10" s="1">
        <v>20.0</v>
      </c>
      <c r="W10" s="1">
        <v>20.0</v>
      </c>
      <c r="X10" s="1">
        <v>20.0</v>
      </c>
      <c r="Y10" s="1">
        <v>20.0</v>
      </c>
      <c r="Z10" s="1">
        <v>20.0</v>
      </c>
      <c r="AA10" s="1">
        <v>20.0</v>
      </c>
      <c r="AB10" s="1">
        <v>20.0</v>
      </c>
      <c r="AC10" s="1">
        <v>20.0</v>
      </c>
      <c r="AD10" s="1">
        <v>20.0</v>
      </c>
      <c r="AE10" s="1">
        <v>20.0</v>
      </c>
      <c r="AF10" s="1">
        <v>20.0</v>
      </c>
      <c r="AG10" s="1">
        <v>20.0</v>
      </c>
      <c r="AH10" s="1">
        <v>20.0</v>
      </c>
      <c r="AI10" s="1">
        <v>20.0</v>
      </c>
      <c r="AJ10" s="1">
        <v>20.0</v>
      </c>
      <c r="AK10" s="1">
        <v>20.0</v>
      </c>
      <c r="AL10" s="1">
        <v>20.0</v>
      </c>
      <c r="AM10" s="1">
        <v>20.0</v>
      </c>
      <c r="AN10" s="1">
        <v>20.0</v>
      </c>
      <c r="AO10" s="1">
        <v>20.0</v>
      </c>
      <c r="AP10" s="1">
        <v>20.0</v>
      </c>
      <c r="AQ10" s="1">
        <v>20.0</v>
      </c>
      <c r="AR10" s="1">
        <v>20.0</v>
      </c>
      <c r="AS10" s="1">
        <v>20.0</v>
      </c>
      <c r="AT10" s="1">
        <v>20.0</v>
      </c>
      <c r="AU10" s="1">
        <v>20.0</v>
      </c>
      <c r="AV10" s="1">
        <v>20.0</v>
      </c>
      <c r="AW10" s="1">
        <v>20.0</v>
      </c>
      <c r="AX10" s="1">
        <v>20.0</v>
      </c>
      <c r="AY10" s="1">
        <v>20.0</v>
      </c>
      <c r="AZ10" s="1">
        <v>20.0</v>
      </c>
      <c r="BA10" s="1">
        <v>20.0</v>
      </c>
      <c r="BB10" s="1">
        <v>20.0</v>
      </c>
      <c r="BC10" s="1">
        <v>20.0</v>
      </c>
      <c r="BD10" s="1">
        <v>20.0</v>
      </c>
      <c r="BE10" s="1">
        <v>20.0</v>
      </c>
      <c r="BF10" s="1">
        <v>20.0</v>
      </c>
      <c r="BG10" s="1">
        <v>20.0</v>
      </c>
      <c r="BH10" s="1">
        <v>20.0</v>
      </c>
      <c r="BI10" s="1">
        <v>20.0</v>
      </c>
      <c r="BJ10" s="1">
        <v>20.0</v>
      </c>
      <c r="BK10" s="1">
        <v>20.0</v>
      </c>
      <c r="BL10" s="1">
        <v>20.0</v>
      </c>
      <c r="BM10" s="1">
        <v>20.0</v>
      </c>
      <c r="BN10" s="1">
        <v>20.0</v>
      </c>
      <c r="BO10" s="1">
        <v>20.0</v>
      </c>
      <c r="BP10" s="1">
        <v>20.0</v>
      </c>
      <c r="BQ10" s="1">
        <v>20.0</v>
      </c>
      <c r="BR10" s="1">
        <v>20.0</v>
      </c>
      <c r="BS10" s="1">
        <v>20.0</v>
      </c>
      <c r="BT10" s="1">
        <v>20.0</v>
      </c>
      <c r="BU10" s="1">
        <v>20.0</v>
      </c>
      <c r="BV10" s="1" t="s">
        <v>178</v>
      </c>
    </row>
    <row r="11">
      <c r="A11" s="1" t="s">
        <v>2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10500.0</v>
      </c>
      <c r="V11" s="1">
        <v>10510.0</v>
      </c>
      <c r="W11" s="1">
        <v>10520.0</v>
      </c>
      <c r="X11" s="1">
        <v>10530.0</v>
      </c>
      <c r="Y11" s="1">
        <v>10540.0</v>
      </c>
      <c r="Z11" s="1">
        <v>10550.0</v>
      </c>
      <c r="AA11" s="1">
        <v>10560.0</v>
      </c>
      <c r="AB11" s="1">
        <v>10571.0</v>
      </c>
      <c r="AC11" s="1">
        <v>10581.0</v>
      </c>
      <c r="AD11" s="1">
        <v>10591.0</v>
      </c>
      <c r="AE11" s="1">
        <v>10601.0</v>
      </c>
      <c r="AF11" s="1">
        <v>10611.0</v>
      </c>
      <c r="AG11" s="1">
        <v>10621.0</v>
      </c>
      <c r="AH11" s="1">
        <v>10632.0</v>
      </c>
      <c r="AI11" s="1">
        <v>10642.0</v>
      </c>
      <c r="AJ11" s="1">
        <v>10652.0</v>
      </c>
      <c r="AK11" s="1">
        <v>10662.0</v>
      </c>
      <c r="AL11" s="1">
        <v>10672.0</v>
      </c>
      <c r="AM11" s="1">
        <v>10683.0</v>
      </c>
      <c r="AN11" s="1">
        <v>10693.0</v>
      </c>
      <c r="AO11" s="1">
        <v>10703.0</v>
      </c>
      <c r="AP11" s="1">
        <v>10713.0</v>
      </c>
      <c r="AQ11" s="1">
        <v>10724.0</v>
      </c>
      <c r="AR11" s="1">
        <v>10734.0</v>
      </c>
      <c r="AS11" s="1">
        <v>10744.0</v>
      </c>
      <c r="AT11" s="1">
        <v>10754.0</v>
      </c>
      <c r="AU11" s="1">
        <v>10765.0</v>
      </c>
      <c r="AV11" s="1">
        <v>10775.0</v>
      </c>
      <c r="AW11" s="1">
        <v>10785.0</v>
      </c>
      <c r="AX11" s="1">
        <v>10796.0</v>
      </c>
      <c r="AY11" s="1">
        <v>10806.0</v>
      </c>
      <c r="AZ11" s="1">
        <v>10816.0</v>
      </c>
      <c r="BA11" s="1">
        <v>10827.0</v>
      </c>
      <c r="BB11" s="1">
        <v>10837.0</v>
      </c>
      <c r="BC11" s="1">
        <v>10847.0</v>
      </c>
      <c r="BD11" s="1">
        <v>10858.0</v>
      </c>
      <c r="BE11" s="1">
        <v>10868.0</v>
      </c>
      <c r="BF11" s="1">
        <v>10879.0</v>
      </c>
      <c r="BG11" s="1">
        <v>10889.0</v>
      </c>
      <c r="BH11" s="1">
        <v>10900.0</v>
      </c>
      <c r="BI11" s="1">
        <v>10910.0</v>
      </c>
      <c r="BJ11" s="1">
        <v>10920.0</v>
      </c>
      <c r="BK11" s="1">
        <v>10931.0</v>
      </c>
      <c r="BL11" s="1">
        <v>10941.0</v>
      </c>
      <c r="BM11" s="1">
        <v>10952.0</v>
      </c>
      <c r="BN11" s="1">
        <v>10962.0</v>
      </c>
      <c r="BO11" s="1">
        <v>10973.0</v>
      </c>
      <c r="BP11" s="1">
        <v>10983.0</v>
      </c>
      <c r="BQ11" s="1">
        <v>10994.0</v>
      </c>
      <c r="BR11" s="1">
        <v>11004.0</v>
      </c>
      <c r="BS11" s="1">
        <v>11015.0</v>
      </c>
      <c r="BT11" s="1">
        <v>11025.0</v>
      </c>
      <c r="BU11" s="1">
        <v>11036.0</v>
      </c>
      <c r="BV11" s="1">
        <v>570590.0</v>
      </c>
    </row>
    <row r="12">
      <c r="A12" s="1" t="s">
        <v>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1575000.0</v>
      </c>
      <c r="V12" s="1">
        <v>1576509.0</v>
      </c>
      <c r="W12" s="1">
        <v>1578019.0</v>
      </c>
      <c r="X12" s="1">
        <v>1579531.0</v>
      </c>
      <c r="Y12" s="1">
        <v>1581044.0</v>
      </c>
      <c r="Z12" s="1">
        <v>1582559.0</v>
      </c>
      <c r="AA12" s="1">
        <v>1584075.0</v>
      </c>
      <c r="AB12" s="1">
        <v>1585592.0</v>
      </c>
      <c r="AC12" s="1">
        <v>1587111.0</v>
      </c>
      <c r="AD12" s="1">
        <v>1588632.0</v>
      </c>
      <c r="AE12" s="1">
        <v>1590154.0</v>
      </c>
      <c r="AF12" s="1">
        <v>1591677.0</v>
      </c>
      <c r="AG12" s="1">
        <v>1593202.0</v>
      </c>
      <c r="AH12" s="1">
        <v>1594728.0</v>
      </c>
      <c r="AI12" s="1">
        <v>1596256.0</v>
      </c>
      <c r="AJ12" s="1">
        <v>1597785.0</v>
      </c>
      <c r="AK12" s="1">
        <v>1599316.0</v>
      </c>
      <c r="AL12" s="1">
        <v>1600848.0</v>
      </c>
      <c r="AM12" s="1">
        <v>1602382.0</v>
      </c>
      <c r="AN12" s="1">
        <v>1603917.0</v>
      </c>
      <c r="AO12" s="1">
        <v>1605453.0</v>
      </c>
      <c r="AP12" s="1">
        <v>1606991.0</v>
      </c>
      <c r="AQ12" s="1">
        <v>1608531.0</v>
      </c>
      <c r="AR12" s="1">
        <v>1610072.0</v>
      </c>
      <c r="AS12" s="1">
        <v>1611614.0</v>
      </c>
      <c r="AT12" s="1">
        <v>1613158.0</v>
      </c>
      <c r="AU12" s="1">
        <v>1614704.0</v>
      </c>
      <c r="AV12" s="1">
        <v>1616250.0</v>
      </c>
      <c r="AW12" s="1">
        <v>1617799.0</v>
      </c>
      <c r="AX12" s="1">
        <v>1619349.0</v>
      </c>
      <c r="AY12" s="1">
        <v>1620900.0</v>
      </c>
      <c r="AZ12" s="1">
        <v>1622453.0</v>
      </c>
      <c r="BA12" s="1">
        <v>1624007.0</v>
      </c>
      <c r="BB12" s="1">
        <v>1625563.0</v>
      </c>
      <c r="BC12" s="1">
        <v>1627120.0</v>
      </c>
      <c r="BD12" s="1">
        <v>1628679.0</v>
      </c>
      <c r="BE12" s="1">
        <v>1630239.0</v>
      </c>
      <c r="BF12" s="1">
        <v>1631801.0</v>
      </c>
      <c r="BG12" s="1">
        <v>1633364.0</v>
      </c>
      <c r="BH12" s="1">
        <v>1634929.0</v>
      </c>
      <c r="BI12" s="1">
        <v>1636495.0</v>
      </c>
      <c r="BJ12" s="1">
        <v>1638063.0</v>
      </c>
      <c r="BK12" s="1">
        <v>1639632.0</v>
      </c>
      <c r="BL12" s="1">
        <v>1641203.0</v>
      </c>
      <c r="BM12" s="1">
        <v>1642775.0</v>
      </c>
      <c r="BN12" s="1">
        <v>1644349.0</v>
      </c>
      <c r="BO12" s="1">
        <v>1645924.0</v>
      </c>
      <c r="BP12" s="1">
        <v>1647501.0</v>
      </c>
      <c r="BQ12" s="1">
        <v>1649080.0</v>
      </c>
      <c r="BR12" s="1">
        <v>1650659.0</v>
      </c>
      <c r="BS12" s="1">
        <v>1652241.0</v>
      </c>
      <c r="BT12" s="1">
        <v>1653824.0</v>
      </c>
      <c r="BU12" s="1">
        <v>1655408.0</v>
      </c>
      <c r="BV12" s="1">
        <v>8.5588466E7</v>
      </c>
    </row>
    <row r="13">
      <c r="A13" s="1" t="s">
        <v>152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315000.0</v>
      </c>
      <c r="V13" s="1">
        <v>315302.0</v>
      </c>
      <c r="W13" s="1">
        <v>315604.0</v>
      </c>
      <c r="X13" s="1">
        <v>315906.0</v>
      </c>
      <c r="Y13" s="1">
        <v>316209.0</v>
      </c>
      <c r="Z13" s="1">
        <v>316512.0</v>
      </c>
      <c r="AA13" s="1">
        <v>316815.0</v>
      </c>
      <c r="AB13" s="1">
        <v>317118.0</v>
      </c>
      <c r="AC13" s="1">
        <v>317422.0</v>
      </c>
      <c r="AD13" s="1">
        <v>317726.0</v>
      </c>
      <c r="AE13" s="1">
        <v>318031.0</v>
      </c>
      <c r="AF13" s="1">
        <v>318335.0</v>
      </c>
      <c r="AG13" s="1">
        <v>318640.0</v>
      </c>
      <c r="AH13" s="1">
        <v>318946.0</v>
      </c>
      <c r="AI13" s="1">
        <v>319251.0</v>
      </c>
      <c r="AJ13" s="1">
        <v>319557.0</v>
      </c>
      <c r="AK13" s="1">
        <v>319863.0</v>
      </c>
      <c r="AL13" s="1">
        <v>320170.0</v>
      </c>
      <c r="AM13" s="1">
        <v>320476.0</v>
      </c>
      <c r="AN13" s="1">
        <v>320783.0</v>
      </c>
      <c r="AO13" s="1">
        <v>321091.0</v>
      </c>
      <c r="AP13" s="1">
        <v>321398.0</v>
      </c>
      <c r="AQ13" s="1">
        <v>321706.0</v>
      </c>
      <c r="AR13" s="1">
        <v>322014.0</v>
      </c>
      <c r="AS13" s="1">
        <v>322323.0</v>
      </c>
      <c r="AT13" s="1">
        <v>322632.0</v>
      </c>
      <c r="AU13" s="1">
        <v>322941.0</v>
      </c>
      <c r="AV13" s="1">
        <v>323250.0</v>
      </c>
      <c r="AW13" s="1">
        <v>323560.0</v>
      </c>
      <c r="AX13" s="1">
        <v>323870.0</v>
      </c>
      <c r="AY13" s="1">
        <v>324180.0</v>
      </c>
      <c r="AZ13" s="1">
        <v>324491.0</v>
      </c>
      <c r="BA13" s="1">
        <v>324801.0</v>
      </c>
      <c r="BB13" s="1">
        <v>325113.0</v>
      </c>
      <c r="BC13" s="1">
        <v>325424.0</v>
      </c>
      <c r="BD13" s="1">
        <v>325736.0</v>
      </c>
      <c r="BE13" s="1">
        <v>326048.0</v>
      </c>
      <c r="BF13" s="1">
        <v>326360.0</v>
      </c>
      <c r="BG13" s="1">
        <v>326673.0</v>
      </c>
      <c r="BH13" s="1">
        <v>326986.0</v>
      </c>
      <c r="BI13" s="1">
        <v>327299.0</v>
      </c>
      <c r="BJ13" s="1">
        <v>327613.0</v>
      </c>
      <c r="BK13" s="1">
        <v>327926.0</v>
      </c>
      <c r="BL13" s="1">
        <v>328241.0</v>
      </c>
      <c r="BM13" s="1">
        <v>328555.0</v>
      </c>
      <c r="BN13" s="1">
        <v>328870.0</v>
      </c>
      <c r="BO13" s="1">
        <v>329185.0</v>
      </c>
      <c r="BP13" s="1">
        <v>329500.0</v>
      </c>
      <c r="BQ13" s="1">
        <v>329816.0</v>
      </c>
      <c r="BR13" s="1">
        <v>330132.0</v>
      </c>
      <c r="BS13" s="1">
        <v>330448.0</v>
      </c>
      <c r="BT13" s="1">
        <v>330765.0</v>
      </c>
      <c r="BU13" s="1">
        <v>331082.0</v>
      </c>
      <c r="BV13" s="1">
        <v>1.7117693E7</v>
      </c>
    </row>
    <row r="14">
      <c r="A14" s="1" t="s">
        <v>153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</row>
    <row r="15">
      <c r="A15" s="1" t="s">
        <v>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315000.0</v>
      </c>
      <c r="V15" s="1">
        <v>315302.0</v>
      </c>
      <c r="W15" s="1">
        <v>315604.0</v>
      </c>
      <c r="X15" s="1">
        <v>315906.0</v>
      </c>
      <c r="Y15" s="1">
        <v>316209.0</v>
      </c>
      <c r="Z15" s="1">
        <v>316512.0</v>
      </c>
      <c r="AA15" s="1">
        <v>316815.0</v>
      </c>
      <c r="AB15" s="1">
        <v>317118.0</v>
      </c>
      <c r="AC15" s="1">
        <v>317422.0</v>
      </c>
      <c r="AD15" s="1">
        <v>317726.0</v>
      </c>
      <c r="AE15" s="1">
        <v>318031.0</v>
      </c>
      <c r="AF15" s="1">
        <v>318335.0</v>
      </c>
      <c r="AG15" s="1">
        <v>318640.0</v>
      </c>
      <c r="AH15" s="1">
        <v>318946.0</v>
      </c>
      <c r="AI15" s="1">
        <v>319251.0</v>
      </c>
      <c r="AJ15" s="1">
        <v>319557.0</v>
      </c>
      <c r="AK15" s="1">
        <v>319863.0</v>
      </c>
      <c r="AL15" s="1">
        <v>320170.0</v>
      </c>
      <c r="AM15" s="1">
        <v>320476.0</v>
      </c>
      <c r="AN15" s="1">
        <v>320783.0</v>
      </c>
      <c r="AO15" s="1">
        <v>321091.0</v>
      </c>
      <c r="AP15" s="1">
        <v>321398.0</v>
      </c>
      <c r="AQ15" s="1">
        <v>321706.0</v>
      </c>
      <c r="AR15" s="1">
        <v>322014.0</v>
      </c>
      <c r="AS15" s="1">
        <v>322323.0</v>
      </c>
      <c r="AT15" s="1">
        <v>322632.0</v>
      </c>
      <c r="AU15" s="1">
        <v>322941.0</v>
      </c>
      <c r="AV15" s="1">
        <v>323250.0</v>
      </c>
      <c r="AW15" s="1">
        <v>323560.0</v>
      </c>
      <c r="AX15" s="1">
        <v>323870.0</v>
      </c>
      <c r="AY15" s="1">
        <v>324180.0</v>
      </c>
      <c r="AZ15" s="1">
        <v>324491.0</v>
      </c>
      <c r="BA15" s="1">
        <v>324801.0</v>
      </c>
      <c r="BB15" s="1">
        <v>325113.0</v>
      </c>
      <c r="BC15" s="1">
        <v>325424.0</v>
      </c>
      <c r="BD15" s="1">
        <v>325736.0</v>
      </c>
      <c r="BE15" s="1">
        <v>326048.0</v>
      </c>
      <c r="BF15" s="1">
        <v>326360.0</v>
      </c>
      <c r="BG15" s="1">
        <v>326673.0</v>
      </c>
      <c r="BH15" s="1">
        <v>326986.0</v>
      </c>
      <c r="BI15" s="1">
        <v>327299.0</v>
      </c>
      <c r="BJ15" s="1">
        <v>327613.0</v>
      </c>
      <c r="BK15" s="1">
        <v>327926.0</v>
      </c>
      <c r="BL15" s="1">
        <v>328241.0</v>
      </c>
      <c r="BM15" s="1">
        <v>328555.0</v>
      </c>
      <c r="BN15" s="1">
        <v>328870.0</v>
      </c>
      <c r="BO15" s="1">
        <v>329185.0</v>
      </c>
      <c r="BP15" s="1">
        <v>329500.0</v>
      </c>
      <c r="BQ15" s="1">
        <v>329816.0</v>
      </c>
      <c r="BR15" s="1">
        <v>330132.0</v>
      </c>
      <c r="BS15" s="1">
        <v>330448.0</v>
      </c>
      <c r="BT15" s="1">
        <v>330765.0</v>
      </c>
      <c r="BU15" s="1">
        <v>331082.0</v>
      </c>
      <c r="BV15" s="1">
        <v>1.7117693E7</v>
      </c>
    </row>
    <row r="16">
      <c r="A16" s="1" t="s">
        <v>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1260000.0</v>
      </c>
      <c r="V16" s="1">
        <v>1261207.0</v>
      </c>
      <c r="W16" s="1">
        <v>1262415.0</v>
      </c>
      <c r="X16" s="1">
        <v>1263625.0</v>
      </c>
      <c r="Y16" s="1">
        <v>1264835.0</v>
      </c>
      <c r="Z16" s="1">
        <v>1266047.0</v>
      </c>
      <c r="AA16" s="1">
        <v>1267260.0</v>
      </c>
      <c r="AB16" s="1">
        <v>1268474.0</v>
      </c>
      <c r="AC16" s="1">
        <v>1269689.0</v>
      </c>
      <c r="AD16" s="1">
        <v>1270905.0</v>
      </c>
      <c r="AE16" s="1">
        <v>1272123.0</v>
      </c>
      <c r="AF16" s="1">
        <v>1273342.0</v>
      </c>
      <c r="AG16" s="1">
        <v>1274562.0</v>
      </c>
      <c r="AH16" s="1">
        <v>1275783.0</v>
      </c>
      <c r="AI16" s="1">
        <v>1277005.0</v>
      </c>
      <c r="AJ16" s="1">
        <v>1278228.0</v>
      </c>
      <c r="AK16" s="1">
        <v>1279453.0</v>
      </c>
      <c r="AL16" s="1">
        <v>1280678.0</v>
      </c>
      <c r="AM16" s="1">
        <v>1281905.0</v>
      </c>
      <c r="AN16" s="1">
        <v>1283133.0</v>
      </c>
      <c r="AO16" s="1">
        <v>1284363.0</v>
      </c>
      <c r="AP16" s="1">
        <v>1285593.0</v>
      </c>
      <c r="AQ16" s="1">
        <v>1286825.0</v>
      </c>
      <c r="AR16" s="1">
        <v>1288057.0</v>
      </c>
      <c r="AS16" s="1">
        <v>1289291.0</v>
      </c>
      <c r="AT16" s="1">
        <v>1290526.0</v>
      </c>
      <c r="AU16" s="1">
        <v>1291763.0</v>
      </c>
      <c r="AV16" s="1">
        <v>1293000.0</v>
      </c>
      <c r="AW16" s="1">
        <v>1294239.0</v>
      </c>
      <c r="AX16" s="1">
        <v>1295479.0</v>
      </c>
      <c r="AY16" s="1">
        <v>1296720.0</v>
      </c>
      <c r="AZ16" s="1">
        <v>1297962.0</v>
      </c>
      <c r="BA16" s="1">
        <v>1299206.0</v>
      </c>
      <c r="BB16" s="1">
        <v>1300450.0</v>
      </c>
      <c r="BC16" s="1">
        <v>1301696.0</v>
      </c>
      <c r="BD16" s="1">
        <v>1302943.0</v>
      </c>
      <c r="BE16" s="1">
        <v>1304191.0</v>
      </c>
      <c r="BF16" s="1">
        <v>1305441.0</v>
      </c>
      <c r="BG16" s="1">
        <v>1306691.0</v>
      </c>
      <c r="BH16" s="1">
        <v>1307943.0</v>
      </c>
      <c r="BI16" s="1">
        <v>1309196.0</v>
      </c>
      <c r="BJ16" s="1">
        <v>1310450.0</v>
      </c>
      <c r="BK16" s="1">
        <v>1311706.0</v>
      </c>
      <c r="BL16" s="1">
        <v>1312962.0</v>
      </c>
      <c r="BM16" s="1">
        <v>1314220.0</v>
      </c>
      <c r="BN16" s="1">
        <v>1315479.0</v>
      </c>
      <c r="BO16" s="1">
        <v>1316740.0</v>
      </c>
      <c r="BP16" s="1">
        <v>1318001.0</v>
      </c>
      <c r="BQ16" s="1">
        <v>1319264.0</v>
      </c>
      <c r="BR16" s="1">
        <v>1320527.0</v>
      </c>
      <c r="BS16" s="1">
        <v>1321793.0</v>
      </c>
      <c r="BT16" s="1">
        <v>1323059.0</v>
      </c>
      <c r="BU16" s="1">
        <v>1324326.0</v>
      </c>
      <c r="BV16" s="1">
        <v>6.8470773E7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